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o0930\Dropbox\公司資料室\五常社區服務系統\商業\上品聊閣重新店\帳務\重新\"/>
    </mc:Choice>
  </mc:AlternateContent>
  <xr:revisionPtr revIDLastSave="0" documentId="13_ncr:1_{F0349AD1-80AC-4FF8-8B86-610C80DD30DF}" xr6:coauthVersionLast="47" xr6:coauthVersionMax="47" xr10:uidLastSave="{00000000-0000-0000-0000-000000000000}"/>
  <bookViews>
    <workbookView xWindow="-108" yWindow="-108" windowWidth="23256" windowHeight="13896" tabRatio="784" xr2:uid="{00000000-000D-0000-FFFF-FFFF00000000}"/>
  </bookViews>
  <sheets>
    <sheet name="2501現金日記帳 " sheetId="22" r:id="rId1"/>
    <sheet name="2412現金日記帳  " sheetId="20" r:id="rId2"/>
    <sheet name="2501費用明細憑證" sheetId="23" r:id="rId3"/>
    <sheet name="2412費用明細憑證 " sheetId="19" r:id="rId4"/>
    <sheet name="2411費用明細憑證" sheetId="18" r:id="rId5"/>
    <sheet name="2411現金日記帳 " sheetId="17" r:id="rId6"/>
    <sheet name="2410現金日記帳" sheetId="13" r:id="rId7"/>
    <sheet name="2410費用明細憑證" sheetId="14" r:id="rId8"/>
    <sheet name="2409現金日記帳" sheetId="11" r:id="rId9"/>
    <sheet name="2409費用明細憑證" sheetId="12" r:id="rId10"/>
    <sheet name="2408現金日記帳" sheetId="9" r:id="rId11"/>
    <sheet name="2408費用明細憑證 " sheetId="10" r:id="rId12"/>
    <sheet name="2407現金日記帳" sheetId="7" r:id="rId13"/>
    <sheet name="2407費用明細憑證" sheetId="8" r:id="rId14"/>
    <sheet name="2406現金日記帳" sheetId="3" r:id="rId15"/>
    <sheet name="2406費用明細憑證" sheetId="4" r:id="rId16"/>
    <sheet name="2405現金日記帳" sheetId="1" r:id="rId17"/>
    <sheet name="2405費用明細憑證" sheetId="2" r:id="rId18"/>
  </sheets>
  <definedNames>
    <definedName name="_xlnm._FilterDatabase" localSheetId="13" hidden="1">'2407費用明細憑證'!$A$1:$K$35</definedName>
    <definedName name="_xlnm._FilterDatabase" localSheetId="11" hidden="1">'2408費用明細憑證 '!$A$1:$K$35</definedName>
    <definedName name="_xlnm._FilterDatabase" localSheetId="9" hidden="1">'2409費用明細憑證'!$A$1:$K$34</definedName>
    <definedName name="_xlnm._FilterDatabase" localSheetId="7" hidden="1">'2410費用明細憑證'!$A$1:$K$35</definedName>
    <definedName name="_xlnm._FilterDatabase" localSheetId="4" hidden="1">'2411費用明細憑證'!$A$1:$K$35</definedName>
    <definedName name="_xlnm._FilterDatabase" localSheetId="3" hidden="1">'2412費用明細憑證 '!$A$1:$K$35</definedName>
    <definedName name="_xlnm._FilterDatabase" localSheetId="2" hidden="1">'2501費用明細憑證'!$A$1:$K$35</definedName>
    <definedName name="_xlnm.Print_Area" localSheetId="16">'2405現金日記帳'!$A$1:$M$35</definedName>
    <definedName name="_xlnm.Print_Area" localSheetId="14">'2406現金日記帳'!$A$1:$M$34</definedName>
    <definedName name="_xlnm.Print_Area" localSheetId="12">'2407現金日記帳'!$A$1:$M$35</definedName>
    <definedName name="_xlnm.Print_Area" localSheetId="10">'2408現金日記帳'!$A$1:$M$35</definedName>
    <definedName name="_xlnm.Print_Area" localSheetId="8">'2409現金日記帳'!$A$1:$M$34</definedName>
    <definedName name="_xlnm.Print_Area" localSheetId="6">'2410現金日記帳'!$A$1:$M$35</definedName>
    <definedName name="_xlnm.Print_Area" localSheetId="5">'2411現金日記帳 '!$A$1:$N$35</definedName>
    <definedName name="_xlnm.Print_Area" localSheetId="1">'2412現金日記帳  '!$A$1:$N$36</definedName>
    <definedName name="_xlnm.Print_Area" localSheetId="0">'2501現金日記帳 '!$A$1:$N$36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2" l="1"/>
  <c r="N4" i="22" s="1"/>
  <c r="N8" i="22" s="1"/>
  <c r="H36" i="22" s="1"/>
  <c r="L3" i="22"/>
  <c r="C34" i="22"/>
  <c r="G36" i="22" s="1"/>
  <c r="I6" i="22"/>
  <c r="I17" i="22"/>
  <c r="N3" i="22"/>
  <c r="L5" i="22"/>
  <c r="M4" i="22"/>
  <c r="I3" i="22"/>
  <c r="I7" i="22"/>
  <c r="I9" i="22"/>
  <c r="I11" i="22"/>
  <c r="I12" i="22"/>
  <c r="I13" i="22"/>
  <c r="I14" i="22"/>
  <c r="I15" i="22"/>
  <c r="I16" i="22"/>
  <c r="I20" i="22"/>
  <c r="I21" i="22"/>
  <c r="I22" i="22"/>
  <c r="I23" i="22"/>
  <c r="I24" i="22"/>
  <c r="I25" i="22"/>
  <c r="I27" i="22"/>
  <c r="I28" i="22"/>
  <c r="I16" i="20"/>
  <c r="M4" i="20"/>
  <c r="E16" i="19"/>
  <c r="H4" i="22"/>
  <c r="H5" i="22"/>
  <c r="H7" i="22"/>
  <c r="H8" i="22"/>
  <c r="I8" i="22" s="1"/>
  <c r="H9" i="22"/>
  <c r="H11" i="22"/>
  <c r="H12" i="22"/>
  <c r="H13" i="22"/>
  <c r="H14" i="22"/>
  <c r="H15" i="22"/>
  <c r="H16" i="22"/>
  <c r="H19" i="22"/>
  <c r="I19" i="22" s="1"/>
  <c r="H20" i="22"/>
  <c r="H21" i="22"/>
  <c r="H22" i="22"/>
  <c r="H23" i="22"/>
  <c r="H24" i="22"/>
  <c r="H25" i="22"/>
  <c r="H26" i="22"/>
  <c r="I26" i="22" s="1"/>
  <c r="H27" i="22"/>
  <c r="H28" i="22"/>
  <c r="H29" i="22"/>
  <c r="H30" i="22"/>
  <c r="H31" i="22"/>
  <c r="I31" i="22" s="1"/>
  <c r="H32" i="22"/>
  <c r="I32" i="22" s="1"/>
  <c r="H33" i="22"/>
  <c r="I33" i="22" s="1"/>
  <c r="H3" i="22"/>
  <c r="L3" i="20"/>
  <c r="L4" i="20"/>
  <c r="D34" i="23"/>
  <c r="C34" i="23"/>
  <c r="B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H18" i="22" s="1"/>
  <c r="I18" i="22" s="1"/>
  <c r="E17" i="23"/>
  <c r="H17" i="22" s="1"/>
  <c r="E16" i="23"/>
  <c r="E15" i="23"/>
  <c r="E14" i="23"/>
  <c r="E13" i="23"/>
  <c r="E12" i="23"/>
  <c r="E11" i="23"/>
  <c r="E10" i="23"/>
  <c r="H10" i="22" s="1"/>
  <c r="I10" i="22" s="1"/>
  <c r="E9" i="23"/>
  <c r="E8" i="23"/>
  <c r="E7" i="23"/>
  <c r="E6" i="23"/>
  <c r="H6" i="22" s="1"/>
  <c r="E5" i="23"/>
  <c r="E4" i="23"/>
  <c r="E3" i="23"/>
  <c r="B36" i="22"/>
  <c r="E34" i="22"/>
  <c r="D34" i="22"/>
  <c r="I30" i="22"/>
  <c r="I29" i="22"/>
  <c r="N7" i="22"/>
  <c r="N6" i="22"/>
  <c r="N5" i="22"/>
  <c r="I5" i="22"/>
  <c r="I4" i="22"/>
  <c r="I24" i="20"/>
  <c r="I19" i="20"/>
  <c r="I7" i="20"/>
  <c r="H33" i="20"/>
  <c r="I22" i="20"/>
  <c r="I18" i="20"/>
  <c r="L6" i="20"/>
  <c r="O4" i="22" l="1"/>
  <c r="O3" i="22"/>
  <c r="O5" i="22"/>
  <c r="E34" i="23"/>
  <c r="C36" i="22" s="1"/>
  <c r="D36" i="22" l="1"/>
  <c r="N10" i="22"/>
  <c r="E22" i="19" l="1"/>
  <c r="H22" i="20" s="1"/>
  <c r="E20" i="19"/>
  <c r="E21" i="19"/>
  <c r="E23" i="19"/>
  <c r="H23" i="20" s="1"/>
  <c r="I23" i="20" s="1"/>
  <c r="E24" i="19"/>
  <c r="H24" i="20" s="1"/>
  <c r="E25" i="19"/>
  <c r="H25" i="20" s="1"/>
  <c r="I25" i="20" s="1"/>
  <c r="E26" i="19"/>
  <c r="H26" i="20" s="1"/>
  <c r="I26" i="20" s="1"/>
  <c r="E27" i="19"/>
  <c r="H27" i="20" s="1"/>
  <c r="I27" i="20" s="1"/>
  <c r="E28" i="19"/>
  <c r="H28" i="20" s="1"/>
  <c r="I28" i="20" s="1"/>
  <c r="E29" i="19"/>
  <c r="H29" i="20" s="1"/>
  <c r="I29" i="20" s="1"/>
  <c r="E30" i="19"/>
  <c r="E31" i="19"/>
  <c r="H31" i="20" s="1"/>
  <c r="I31" i="20" s="1"/>
  <c r="E32" i="19"/>
  <c r="H32" i="20" s="1"/>
  <c r="I32" i="20" s="1"/>
  <c r="E33" i="19"/>
  <c r="E4" i="19"/>
  <c r="H4" i="20" s="1"/>
  <c r="I4" i="20" s="1"/>
  <c r="E5" i="19"/>
  <c r="H5" i="20" s="1"/>
  <c r="I5" i="20" s="1"/>
  <c r="E6" i="19"/>
  <c r="H6" i="20" s="1"/>
  <c r="I6" i="20" s="1"/>
  <c r="E7" i="19"/>
  <c r="H7" i="20" s="1"/>
  <c r="E8" i="19"/>
  <c r="H8" i="20" s="1"/>
  <c r="E9" i="19"/>
  <c r="E10" i="19"/>
  <c r="H10" i="20" s="1"/>
  <c r="I10" i="20" s="1"/>
  <c r="E11" i="19"/>
  <c r="E12" i="19"/>
  <c r="E13" i="19"/>
  <c r="H13" i="20" s="1"/>
  <c r="I13" i="20" s="1"/>
  <c r="E14" i="19"/>
  <c r="E15" i="19"/>
  <c r="H16" i="20"/>
  <c r="E17" i="19"/>
  <c r="H17" i="20" s="1"/>
  <c r="I17" i="20" s="1"/>
  <c r="E18" i="19"/>
  <c r="H18" i="20" s="1"/>
  <c r="E19" i="19"/>
  <c r="H19" i="20" s="1"/>
  <c r="E3" i="19"/>
  <c r="H3" i="20" s="1"/>
  <c r="I3" i="20" s="1"/>
  <c r="M3" i="20"/>
  <c r="C34" i="20"/>
  <c r="I33" i="20"/>
  <c r="E34" i="20"/>
  <c r="D34" i="20"/>
  <c r="B36" i="20"/>
  <c r="H9" i="20"/>
  <c r="I9" i="20" s="1"/>
  <c r="H11" i="20"/>
  <c r="H12" i="20"/>
  <c r="I12" i="20" s="1"/>
  <c r="H14" i="20"/>
  <c r="I14" i="20" s="1"/>
  <c r="H15" i="20"/>
  <c r="I15" i="20" s="1"/>
  <c r="H20" i="20"/>
  <c r="I20" i="20" s="1"/>
  <c r="H21" i="20"/>
  <c r="I21" i="20" s="1"/>
  <c r="H30" i="20"/>
  <c r="I30" i="20" s="1"/>
  <c r="I11" i="20"/>
  <c r="N7" i="20"/>
  <c r="N6" i="20"/>
  <c r="L5" i="20"/>
  <c r="N5" i="20" s="1"/>
  <c r="C34" i="19"/>
  <c r="H28" i="17"/>
  <c r="H18" i="17"/>
  <c r="H14" i="17"/>
  <c r="C33" i="17"/>
  <c r="L6" i="17"/>
  <c r="N4" i="17"/>
  <c r="N8" i="17" s="1"/>
  <c r="H35" i="17" s="1"/>
  <c r="O4" i="17" s="1"/>
  <c r="M4" i="17"/>
  <c r="B16" i="18"/>
  <c r="E16" i="18" s="1"/>
  <c r="H15" i="17" s="1"/>
  <c r="I15" i="17" s="1"/>
  <c r="N6" i="17"/>
  <c r="L5" i="17"/>
  <c r="L4" i="17"/>
  <c r="L3" i="17"/>
  <c r="M3" i="17"/>
  <c r="B15" i="18"/>
  <c r="B8" i="17"/>
  <c r="B7" i="17"/>
  <c r="H12" i="17"/>
  <c r="H16" i="17"/>
  <c r="I16" i="17" s="1"/>
  <c r="H17" i="17"/>
  <c r="I18" i="17"/>
  <c r="H19" i="17"/>
  <c r="I19" i="17" s="1"/>
  <c r="H20" i="17"/>
  <c r="I20" i="17" s="1"/>
  <c r="H21" i="17"/>
  <c r="H22" i="17"/>
  <c r="I24" i="17"/>
  <c r="H29" i="17"/>
  <c r="H6" i="17"/>
  <c r="H7" i="17"/>
  <c r="H8" i="17"/>
  <c r="H9" i="17"/>
  <c r="H11" i="17"/>
  <c r="I11" i="17" s="1"/>
  <c r="H4" i="17"/>
  <c r="I3" i="17"/>
  <c r="I4" i="17"/>
  <c r="I6" i="17"/>
  <c r="I7" i="17"/>
  <c r="I8" i="17"/>
  <c r="I9" i="17"/>
  <c r="I12" i="17"/>
  <c r="I17" i="17"/>
  <c r="I21" i="17"/>
  <c r="I22" i="17"/>
  <c r="I29" i="17"/>
  <c r="H3" i="17"/>
  <c r="C34" i="18"/>
  <c r="D34" i="18"/>
  <c r="E33" i="18"/>
  <c r="H32" i="17" s="1"/>
  <c r="I32" i="17" s="1"/>
  <c r="E5" i="18"/>
  <c r="E6" i="18"/>
  <c r="H5" i="17" s="1"/>
  <c r="I5" i="17" s="1"/>
  <c r="E7" i="18"/>
  <c r="E8" i="18"/>
  <c r="E9" i="18"/>
  <c r="E10" i="18"/>
  <c r="E11" i="18"/>
  <c r="H10" i="17" s="1"/>
  <c r="I10" i="17" s="1"/>
  <c r="E12" i="18"/>
  <c r="E13" i="18"/>
  <c r="E14" i="18"/>
  <c r="H13" i="17" s="1"/>
  <c r="I13" i="17" s="1"/>
  <c r="E15" i="18"/>
  <c r="E17" i="18"/>
  <c r="E18" i="18"/>
  <c r="E19" i="18"/>
  <c r="E20" i="18"/>
  <c r="E21" i="18"/>
  <c r="E22" i="18"/>
  <c r="E23" i="18"/>
  <c r="E24" i="18"/>
  <c r="H23" i="17" s="1"/>
  <c r="I23" i="17" s="1"/>
  <c r="E25" i="18"/>
  <c r="E26" i="18"/>
  <c r="H25" i="17" s="1"/>
  <c r="I25" i="17" s="1"/>
  <c r="E27" i="18"/>
  <c r="H26" i="17" s="1"/>
  <c r="I26" i="17" s="1"/>
  <c r="E28" i="18"/>
  <c r="H27" i="17" s="1"/>
  <c r="I27" i="17" s="1"/>
  <c r="E29" i="18"/>
  <c r="E30" i="18"/>
  <c r="E31" i="18"/>
  <c r="H30" i="17" s="1"/>
  <c r="I30" i="17" s="1"/>
  <c r="E32" i="18"/>
  <c r="H31" i="17" s="1"/>
  <c r="I31" i="17" s="1"/>
  <c r="E4" i="18"/>
  <c r="E33" i="17"/>
  <c r="D33" i="17"/>
  <c r="N4" i="20" l="1"/>
  <c r="N8" i="20" s="1"/>
  <c r="N3" i="20"/>
  <c r="I8" i="20"/>
  <c r="B34" i="19"/>
  <c r="I14" i="17"/>
  <c r="I28" i="17"/>
  <c r="B34" i="18"/>
  <c r="E34" i="18"/>
  <c r="C35" i="17" s="1"/>
  <c r="D35" i="17" s="1"/>
  <c r="B35" i="17"/>
  <c r="N7" i="17"/>
  <c r="N5" i="17"/>
  <c r="N3" i="17"/>
  <c r="L3" i="13"/>
  <c r="G35" i="13"/>
  <c r="L4" i="13"/>
  <c r="D33" i="14"/>
  <c r="L4" i="11"/>
  <c r="M4" i="11" s="1"/>
  <c r="M8" i="11" s="1"/>
  <c r="K6" i="13"/>
  <c r="K3" i="13"/>
  <c r="M3" i="13" s="1"/>
  <c r="K4" i="13"/>
  <c r="H31" i="13"/>
  <c r="D31" i="14"/>
  <c r="E30" i="14"/>
  <c r="G30" i="13"/>
  <c r="H30" i="13"/>
  <c r="H29" i="13"/>
  <c r="B27" i="14"/>
  <c r="H17" i="13"/>
  <c r="D17" i="14"/>
  <c r="H25" i="13"/>
  <c r="C25" i="13"/>
  <c r="E24" i="14"/>
  <c r="E17" i="14"/>
  <c r="K5" i="13"/>
  <c r="H23" i="13"/>
  <c r="L5" i="13"/>
  <c r="B23" i="14"/>
  <c r="B35" i="14"/>
  <c r="H20" i="13"/>
  <c r="E20" i="14"/>
  <c r="H18" i="13"/>
  <c r="D16" i="14"/>
  <c r="B16" i="14"/>
  <c r="F15" i="13"/>
  <c r="E9" i="14"/>
  <c r="H3" i="13"/>
  <c r="C3" i="13"/>
  <c r="C32" i="11"/>
  <c r="K3" i="11"/>
  <c r="L3" i="11"/>
  <c r="H32" i="11"/>
  <c r="B6" i="14"/>
  <c r="H5" i="13"/>
  <c r="M3" i="11"/>
  <c r="E32" i="14"/>
  <c r="G32" i="13"/>
  <c r="H32" i="13"/>
  <c r="H22" i="13"/>
  <c r="H14" i="13"/>
  <c r="E11" i="14"/>
  <c r="G11" i="13"/>
  <c r="H11" i="13"/>
  <c r="H7" i="13"/>
  <c r="E4" i="14"/>
  <c r="G4" i="13"/>
  <c r="G5" i="13"/>
  <c r="G6" i="13"/>
  <c r="H6" i="13"/>
  <c r="G7" i="13"/>
  <c r="G8" i="13"/>
  <c r="G9" i="13"/>
  <c r="G10" i="13"/>
  <c r="H10" i="13"/>
  <c r="G12" i="13"/>
  <c r="H12" i="13"/>
  <c r="E13" i="14"/>
  <c r="G13" i="13"/>
  <c r="H13" i="13"/>
  <c r="G14" i="13"/>
  <c r="G15" i="13"/>
  <c r="H15" i="13"/>
  <c r="E16" i="14"/>
  <c r="G16" i="13"/>
  <c r="G19" i="13"/>
  <c r="G20" i="13"/>
  <c r="G21" i="13"/>
  <c r="H21" i="13"/>
  <c r="G22" i="13"/>
  <c r="G25" i="13"/>
  <c r="G26" i="13"/>
  <c r="G28" i="13"/>
  <c r="G3" i="13"/>
  <c r="E31" i="14"/>
  <c r="G31" i="13"/>
  <c r="K6" i="11"/>
  <c r="C35" i="14"/>
  <c r="E34" i="14"/>
  <c r="E33" i="14"/>
  <c r="G33" i="13" s="1"/>
  <c r="E29" i="14"/>
  <c r="E28" i="14"/>
  <c r="E27" i="14"/>
  <c r="G27" i="13"/>
  <c r="H27" i="13"/>
  <c r="E26" i="14"/>
  <c r="E25" i="14"/>
  <c r="G24" i="13"/>
  <c r="D35" i="14"/>
  <c r="E21" i="14"/>
  <c r="E19" i="14"/>
  <c r="E18" i="14"/>
  <c r="G18" i="13"/>
  <c r="E15" i="14"/>
  <c r="E14" i="14"/>
  <c r="E12" i="14"/>
  <c r="E10" i="14"/>
  <c r="E7" i="14"/>
  <c r="E6" i="14"/>
  <c r="E5" i="14"/>
  <c r="E3" i="14"/>
  <c r="H28" i="13"/>
  <c r="H26" i="13"/>
  <c r="H19" i="13"/>
  <c r="H16" i="13"/>
  <c r="H8" i="13"/>
  <c r="M7" i="13"/>
  <c r="M6" i="13"/>
  <c r="M5" i="13"/>
  <c r="H4" i="13"/>
  <c r="B32" i="11"/>
  <c r="D32" i="12"/>
  <c r="E8" i="14"/>
  <c r="E22" i="14"/>
  <c r="B35" i="13"/>
  <c r="K4" i="11"/>
  <c r="E32" i="12"/>
  <c r="G32" i="11"/>
  <c r="K5" i="11"/>
  <c r="E29" i="12"/>
  <c r="E27" i="12"/>
  <c r="G27" i="11"/>
  <c r="H27" i="11"/>
  <c r="H25" i="11"/>
  <c r="D25" i="12"/>
  <c r="E25" i="12"/>
  <c r="D22" i="12"/>
  <c r="E22" i="12"/>
  <c r="G22" i="11"/>
  <c r="H22" i="11"/>
  <c r="E20" i="12"/>
  <c r="H18" i="11"/>
  <c r="H17" i="11"/>
  <c r="E18" i="12"/>
  <c r="E17" i="12"/>
  <c r="E15" i="12"/>
  <c r="H14" i="11"/>
  <c r="K4" i="7"/>
  <c r="K4" i="9"/>
  <c r="M6" i="11"/>
  <c r="B11" i="12"/>
  <c r="B8" i="12"/>
  <c r="E4" i="12"/>
  <c r="E5" i="12"/>
  <c r="G5" i="11"/>
  <c r="H5" i="11"/>
  <c r="E6" i="12"/>
  <c r="G6" i="11"/>
  <c r="H6" i="11"/>
  <c r="E7" i="12"/>
  <c r="G7" i="11"/>
  <c r="H7" i="11"/>
  <c r="E8" i="12"/>
  <c r="G8" i="11"/>
  <c r="H8" i="11"/>
  <c r="E9" i="12"/>
  <c r="G9" i="11"/>
  <c r="H9" i="11"/>
  <c r="E10" i="12"/>
  <c r="G10" i="11"/>
  <c r="H10" i="11"/>
  <c r="E11" i="12"/>
  <c r="G11" i="11"/>
  <c r="H11" i="11"/>
  <c r="E13" i="12"/>
  <c r="E12" i="12"/>
  <c r="G12" i="11"/>
  <c r="H12" i="11"/>
  <c r="G13" i="11"/>
  <c r="H13" i="11"/>
  <c r="E14" i="12"/>
  <c r="G15" i="11"/>
  <c r="H15" i="11"/>
  <c r="E16" i="12"/>
  <c r="E19" i="12"/>
  <c r="E21" i="12"/>
  <c r="E23" i="12"/>
  <c r="G23" i="11"/>
  <c r="H23" i="11"/>
  <c r="E24" i="12"/>
  <c r="G24" i="11"/>
  <c r="H24" i="11"/>
  <c r="E26" i="12"/>
  <c r="G26" i="11"/>
  <c r="H26" i="11"/>
  <c r="E28" i="12"/>
  <c r="E30" i="12"/>
  <c r="G30" i="11"/>
  <c r="H30" i="11"/>
  <c r="E31" i="12"/>
  <c r="G31" i="11"/>
  <c r="H31" i="11"/>
  <c r="E33" i="12"/>
  <c r="M7" i="11"/>
  <c r="E3" i="12"/>
  <c r="L3" i="9"/>
  <c r="K3" i="9"/>
  <c r="E35" i="10"/>
  <c r="C35" i="10"/>
  <c r="D35" i="10"/>
  <c r="E35" i="8"/>
  <c r="H23" i="9"/>
  <c r="B23" i="10"/>
  <c r="H29" i="11"/>
  <c r="G4" i="11"/>
  <c r="H4" i="11"/>
  <c r="G16" i="11"/>
  <c r="H16" i="11"/>
  <c r="G17" i="11"/>
  <c r="G19" i="11"/>
  <c r="H19" i="11"/>
  <c r="G20" i="11"/>
  <c r="H20" i="11"/>
  <c r="H21" i="11"/>
  <c r="G21" i="11"/>
  <c r="G28" i="11"/>
  <c r="H28" i="11"/>
  <c r="G29" i="11"/>
  <c r="C34" i="12"/>
  <c r="B34" i="11"/>
  <c r="M5" i="11"/>
  <c r="B34" i="10"/>
  <c r="E34" i="10"/>
  <c r="M7" i="9"/>
  <c r="H15" i="9"/>
  <c r="K6" i="9"/>
  <c r="H32" i="9"/>
  <c r="L4" i="9"/>
  <c r="H30" i="9"/>
  <c r="B30" i="10"/>
  <c r="E28" i="10"/>
  <c r="G28" i="9"/>
  <c r="H28" i="9"/>
  <c r="M3" i="9"/>
  <c r="M4" i="9"/>
  <c r="M5" i="9"/>
  <c r="M6" i="9"/>
  <c r="M8" i="9"/>
  <c r="M10" i="9"/>
  <c r="D24" i="10"/>
  <c r="H20" i="9"/>
  <c r="H17" i="9"/>
  <c r="D16" i="10"/>
  <c r="E16" i="10"/>
  <c r="G16" i="9"/>
  <c r="H16" i="9"/>
  <c r="D15" i="10"/>
  <c r="E13" i="10"/>
  <c r="H5" i="9"/>
  <c r="H4" i="9"/>
  <c r="H6" i="9"/>
  <c r="H7" i="9"/>
  <c r="H8" i="9"/>
  <c r="H9" i="9"/>
  <c r="H11" i="9"/>
  <c r="H12" i="9"/>
  <c r="H13" i="9"/>
  <c r="E17" i="10"/>
  <c r="G17" i="9"/>
  <c r="E18" i="10"/>
  <c r="G18" i="9"/>
  <c r="H18" i="9"/>
  <c r="H19" i="9"/>
  <c r="E20" i="10"/>
  <c r="G20" i="9"/>
  <c r="H21" i="9"/>
  <c r="H22" i="9"/>
  <c r="E23" i="10"/>
  <c r="G23" i="9"/>
  <c r="E24" i="10"/>
  <c r="G24" i="9"/>
  <c r="H25" i="9"/>
  <c r="H26" i="9"/>
  <c r="H27" i="9"/>
  <c r="H29" i="9"/>
  <c r="E30" i="10"/>
  <c r="G30" i="9"/>
  <c r="H31" i="9"/>
  <c r="E32" i="10"/>
  <c r="G32" i="9"/>
  <c r="H33" i="9"/>
  <c r="H14" i="9"/>
  <c r="B9" i="10"/>
  <c r="E9" i="10"/>
  <c r="G9" i="9"/>
  <c r="B34" i="8"/>
  <c r="E33" i="10"/>
  <c r="E31" i="10"/>
  <c r="E29" i="10"/>
  <c r="E27" i="10"/>
  <c r="G27" i="9"/>
  <c r="E26" i="10"/>
  <c r="E25" i="10"/>
  <c r="E22" i="10"/>
  <c r="E21" i="10"/>
  <c r="G21" i="9"/>
  <c r="E19" i="10"/>
  <c r="G19" i="9"/>
  <c r="E14" i="10"/>
  <c r="G14" i="9"/>
  <c r="E12" i="10"/>
  <c r="E11" i="10"/>
  <c r="G11" i="9"/>
  <c r="G10" i="9"/>
  <c r="E8" i="10"/>
  <c r="E7" i="10"/>
  <c r="E6" i="10"/>
  <c r="G12" i="9"/>
  <c r="G13" i="9"/>
  <c r="G29" i="9"/>
  <c r="G8" i="9"/>
  <c r="G25" i="9"/>
  <c r="G26" i="9"/>
  <c r="E3" i="8"/>
  <c r="G3" i="7"/>
  <c r="E5" i="10"/>
  <c r="E4" i="10"/>
  <c r="E3" i="10"/>
  <c r="G5" i="9"/>
  <c r="G6" i="9"/>
  <c r="G7" i="9"/>
  <c r="G22" i="9"/>
  <c r="G31" i="9"/>
  <c r="G33" i="9"/>
  <c r="G4" i="9"/>
  <c r="G3" i="9"/>
  <c r="K3" i="7"/>
  <c r="C35" i="8"/>
  <c r="D35" i="8"/>
  <c r="B35" i="10"/>
  <c r="B35" i="8"/>
  <c r="B35" i="9"/>
  <c r="H3" i="9"/>
  <c r="K5" i="7"/>
  <c r="M4" i="7"/>
  <c r="K6" i="7"/>
  <c r="B32" i="8"/>
  <c r="L4" i="7"/>
  <c r="C30" i="7"/>
  <c r="D31" i="8"/>
  <c r="E31" i="8"/>
  <c r="G31" i="7"/>
  <c r="H31" i="7"/>
  <c r="E30" i="8"/>
  <c r="D30" i="8"/>
  <c r="G30" i="7"/>
  <c r="H30" i="7"/>
  <c r="C29" i="7"/>
  <c r="G25" i="7"/>
  <c r="G26" i="7"/>
  <c r="E25" i="8"/>
  <c r="E26" i="8"/>
  <c r="G14" i="7"/>
  <c r="H14" i="7"/>
  <c r="G15" i="7"/>
  <c r="H15" i="7"/>
  <c r="G16" i="7"/>
  <c r="H16" i="7"/>
  <c r="G22" i="7"/>
  <c r="G23" i="7"/>
  <c r="G27" i="7"/>
  <c r="G29" i="7"/>
  <c r="H29" i="7"/>
  <c r="E32" i="8"/>
  <c r="G32" i="7"/>
  <c r="B24" i="8"/>
  <c r="E24" i="8"/>
  <c r="G24" i="7"/>
  <c r="H24" i="7"/>
  <c r="C22" i="7"/>
  <c r="E17" i="8"/>
  <c r="G17" i="7"/>
  <c r="H17" i="7"/>
  <c r="H8" i="7"/>
  <c r="E19" i="8"/>
  <c r="G19" i="7"/>
  <c r="H19" i="7"/>
  <c r="E20" i="8"/>
  <c r="G20" i="7"/>
  <c r="H20" i="7"/>
  <c r="E21" i="8"/>
  <c r="G21" i="7"/>
  <c r="H21" i="7"/>
  <c r="B14" i="8"/>
  <c r="D13" i="8"/>
  <c r="E13" i="8"/>
  <c r="G13" i="7"/>
  <c r="H13" i="7"/>
  <c r="E34" i="8"/>
  <c r="M7" i="7"/>
  <c r="E4" i="8"/>
  <c r="G4" i="7"/>
  <c r="H4" i="7"/>
  <c r="E5" i="8"/>
  <c r="G5" i="7"/>
  <c r="H5" i="7"/>
  <c r="M7" i="3"/>
  <c r="D3" i="8"/>
  <c r="L4" i="3"/>
  <c r="M4" i="3"/>
  <c r="M8" i="3"/>
  <c r="G34" i="3"/>
  <c r="N4" i="3"/>
  <c r="N3" i="3"/>
  <c r="L3" i="3"/>
  <c r="M6" i="3"/>
  <c r="M3" i="3"/>
  <c r="M5" i="3"/>
  <c r="E33" i="8"/>
  <c r="G33" i="7"/>
  <c r="H33" i="7"/>
  <c r="E29" i="8"/>
  <c r="E28" i="8"/>
  <c r="G28" i="7"/>
  <c r="H28" i="7"/>
  <c r="E27" i="8"/>
  <c r="E23" i="8"/>
  <c r="E22" i="8"/>
  <c r="E18" i="8"/>
  <c r="G18" i="7"/>
  <c r="H18" i="7"/>
  <c r="E16" i="8"/>
  <c r="E15" i="8"/>
  <c r="E14" i="8"/>
  <c r="E12" i="8"/>
  <c r="G12" i="7"/>
  <c r="H12" i="7"/>
  <c r="E11" i="8"/>
  <c r="G11" i="7"/>
  <c r="H11" i="7"/>
  <c r="E10" i="8"/>
  <c r="G10" i="7"/>
  <c r="H10" i="7"/>
  <c r="E9" i="8"/>
  <c r="G9" i="7"/>
  <c r="H9" i="7"/>
  <c r="E8" i="8"/>
  <c r="G8" i="7"/>
  <c r="E7" i="8"/>
  <c r="G7" i="7"/>
  <c r="E6" i="8"/>
  <c r="G6" i="7"/>
  <c r="H6" i="7"/>
  <c r="M3" i="7"/>
  <c r="M5" i="7"/>
  <c r="M6" i="7"/>
  <c r="H7" i="7"/>
  <c r="H22" i="7"/>
  <c r="H23" i="7"/>
  <c r="H26" i="7"/>
  <c r="H27" i="7"/>
  <c r="H32" i="7"/>
  <c r="B35" i="7"/>
  <c r="K3" i="3"/>
  <c r="K4" i="3"/>
  <c r="H29" i="3"/>
  <c r="E28" i="4"/>
  <c r="H24" i="3"/>
  <c r="F24" i="3"/>
  <c r="B19" i="4"/>
  <c r="B18" i="4"/>
  <c r="D18" i="4"/>
  <c r="F17" i="3"/>
  <c r="H17" i="3"/>
  <c r="H16" i="3"/>
  <c r="G16" i="3"/>
  <c r="D16" i="4"/>
  <c r="B14" i="3"/>
  <c r="E7" i="4"/>
  <c r="E8" i="4"/>
  <c r="E9" i="4"/>
  <c r="E10" i="4"/>
  <c r="E11" i="4"/>
  <c r="E12" i="4"/>
  <c r="B12" i="4"/>
  <c r="F12" i="3"/>
  <c r="G7" i="3"/>
  <c r="G8" i="3"/>
  <c r="G9" i="3"/>
  <c r="G11" i="3"/>
  <c r="G12" i="3"/>
  <c r="G14" i="3"/>
  <c r="G15" i="3"/>
  <c r="G17" i="3"/>
  <c r="G28" i="3"/>
  <c r="G31" i="3"/>
  <c r="E32" i="4"/>
  <c r="G32" i="3"/>
  <c r="G4" i="3"/>
  <c r="D8" i="4"/>
  <c r="D7" i="4"/>
  <c r="B34" i="4"/>
  <c r="C34" i="4"/>
  <c r="D34" i="4"/>
  <c r="E33" i="4"/>
  <c r="E30" i="4"/>
  <c r="G30" i="3"/>
  <c r="E31" i="4"/>
  <c r="E19" i="4"/>
  <c r="G19" i="3"/>
  <c r="H19" i="3"/>
  <c r="E20" i="4"/>
  <c r="G20" i="3"/>
  <c r="E21" i="4"/>
  <c r="G21" i="3"/>
  <c r="E22" i="4"/>
  <c r="G22" i="3"/>
  <c r="E23" i="4"/>
  <c r="G23" i="3"/>
  <c r="E24" i="4"/>
  <c r="G24" i="3"/>
  <c r="E25" i="4"/>
  <c r="G25" i="3"/>
  <c r="E26" i="4"/>
  <c r="G26" i="3"/>
  <c r="E27" i="4"/>
  <c r="G27" i="3"/>
  <c r="E29" i="4"/>
  <c r="G29" i="3"/>
  <c r="L3" i="1"/>
  <c r="E3" i="4"/>
  <c r="E4" i="4"/>
  <c r="E5" i="4"/>
  <c r="E6" i="4"/>
  <c r="G6" i="3"/>
  <c r="G10" i="3"/>
  <c r="E13" i="4"/>
  <c r="G13" i="3"/>
  <c r="E14" i="4"/>
  <c r="E15" i="4"/>
  <c r="E16" i="4"/>
  <c r="E17" i="4"/>
  <c r="E18" i="4"/>
  <c r="G18" i="3"/>
  <c r="E5" i="2"/>
  <c r="E5" i="1"/>
  <c r="K3" i="1"/>
  <c r="B34" i="2"/>
  <c r="L4" i="1"/>
  <c r="G5" i="3"/>
  <c r="G3" i="3"/>
  <c r="H3" i="3"/>
  <c r="H30" i="3"/>
  <c r="H11" i="3"/>
  <c r="H9" i="3"/>
  <c r="B34" i="3"/>
  <c r="H31" i="3"/>
  <c r="H28" i="3"/>
  <c r="H25" i="3"/>
  <c r="H23" i="3"/>
  <c r="H22" i="3"/>
  <c r="H21" i="3"/>
  <c r="H20" i="3"/>
  <c r="H18" i="3"/>
  <c r="H15" i="3"/>
  <c r="H14" i="3"/>
  <c r="H13" i="3"/>
  <c r="H12" i="3"/>
  <c r="H10" i="3"/>
  <c r="H8" i="3"/>
  <c r="H6" i="3"/>
  <c r="N5" i="3"/>
  <c r="H5" i="3"/>
  <c r="K4" i="1"/>
  <c r="L7" i="1"/>
  <c r="M7" i="1"/>
  <c r="K6" i="1"/>
  <c r="K5" i="1"/>
  <c r="F22" i="1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G33" i="1"/>
  <c r="B35" i="1"/>
  <c r="H33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M3" i="1"/>
  <c r="M6" i="1"/>
  <c r="M5" i="1"/>
  <c r="E11" i="2"/>
  <c r="E12" i="2"/>
  <c r="E13" i="2"/>
  <c r="E14" i="2"/>
  <c r="E15" i="2"/>
  <c r="G15" i="1"/>
  <c r="H15" i="1"/>
  <c r="E16" i="2"/>
  <c r="G16" i="1"/>
  <c r="H16" i="1"/>
  <c r="E17" i="2"/>
  <c r="G17" i="1"/>
  <c r="H17" i="1"/>
  <c r="G13" i="1"/>
  <c r="H13" i="1"/>
  <c r="G14" i="1"/>
  <c r="H14" i="1"/>
  <c r="D35" i="2"/>
  <c r="C35" i="2"/>
  <c r="B35" i="2"/>
  <c r="E10" i="2"/>
  <c r="E9" i="2"/>
  <c r="G9" i="1"/>
  <c r="H9" i="1"/>
  <c r="E8" i="2"/>
  <c r="G8" i="1"/>
  <c r="H8" i="1"/>
  <c r="E7" i="2"/>
  <c r="E6" i="2"/>
  <c r="G6" i="1"/>
  <c r="H6" i="1"/>
  <c r="G5" i="1"/>
  <c r="H5" i="1"/>
  <c r="E4" i="2"/>
  <c r="E3" i="2"/>
  <c r="G3" i="1"/>
  <c r="H3" i="1"/>
  <c r="G12" i="1"/>
  <c r="H12" i="1"/>
  <c r="G11" i="1"/>
  <c r="H11" i="1"/>
  <c r="G10" i="1"/>
  <c r="H10" i="1"/>
  <c r="G4" i="1"/>
  <c r="H4" i="1"/>
  <c r="H4" i="3"/>
  <c r="G7" i="1"/>
  <c r="H7" i="1"/>
  <c r="H32" i="3"/>
  <c r="H27" i="3"/>
  <c r="H26" i="3"/>
  <c r="E34" i="4"/>
  <c r="H7" i="3"/>
  <c r="M8" i="1"/>
  <c r="C34" i="3"/>
  <c r="F34" i="3"/>
  <c r="D34" i="3"/>
  <c r="F35" i="1"/>
  <c r="C35" i="1"/>
  <c r="D35" i="1"/>
  <c r="M4" i="1"/>
  <c r="E35" i="2"/>
  <c r="M10" i="3"/>
  <c r="M10" i="1"/>
  <c r="G35" i="1"/>
  <c r="N5" i="1"/>
  <c r="N4" i="1"/>
  <c r="N3" i="1"/>
  <c r="H25" i="7"/>
  <c r="M8" i="7"/>
  <c r="M10" i="7"/>
  <c r="G35" i="7"/>
  <c r="N5" i="7"/>
  <c r="N3" i="7"/>
  <c r="N4" i="7"/>
  <c r="H3" i="7"/>
  <c r="F35" i="7"/>
  <c r="C35" i="7"/>
  <c r="D35" i="7"/>
  <c r="E15" i="10"/>
  <c r="G15" i="9"/>
  <c r="H10" i="9"/>
  <c r="H24" i="9"/>
  <c r="G3" i="11"/>
  <c r="H3" i="11"/>
  <c r="G35" i="9"/>
  <c r="N5" i="9"/>
  <c r="N4" i="9"/>
  <c r="N3" i="9"/>
  <c r="F35" i="9"/>
  <c r="C35" i="9"/>
  <c r="D35" i="9"/>
  <c r="B34" i="12"/>
  <c r="G14" i="11"/>
  <c r="G18" i="11"/>
  <c r="G25" i="11"/>
  <c r="E34" i="12"/>
  <c r="D34" i="12"/>
  <c r="F34" i="11"/>
  <c r="C34" i="11"/>
  <c r="D34" i="11"/>
  <c r="H9" i="13"/>
  <c r="G17" i="13"/>
  <c r="E23" i="14"/>
  <c r="G23" i="13"/>
  <c r="H24" i="13"/>
  <c r="G29" i="13"/>
  <c r="H36" i="20" l="1"/>
  <c r="G35" i="17"/>
  <c r="M4" i="13"/>
  <c r="M8" i="13" s="1"/>
  <c r="M10" i="11"/>
  <c r="G34" i="11"/>
  <c r="C35" i="13"/>
  <c r="D35" i="13" s="1"/>
  <c r="H33" i="13"/>
  <c r="F35" i="13" s="1"/>
  <c r="E35" i="14"/>
  <c r="N10" i="20" l="1"/>
  <c r="O5" i="20"/>
  <c r="O4" i="20"/>
  <c r="O3" i="20"/>
  <c r="N10" i="17"/>
  <c r="N5" i="11"/>
  <c r="N3" i="11"/>
  <c r="N4" i="11"/>
  <c r="M10" i="13"/>
  <c r="O3" i="17" l="1"/>
  <c r="O5" i="17"/>
  <c r="N5" i="13"/>
  <c r="N3" i="13"/>
  <c r="N4" i="13"/>
  <c r="D34" i="19"/>
  <c r="E34" i="19"/>
  <c r="C36" i="20" s="1"/>
  <c r="G36" i="20" l="1"/>
  <c r="D3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江政隆</author>
  </authors>
  <commentList>
    <comment ref="K3" authorId="0" shapeId="0" xr:uid="{23497906-4EAE-CE4E-8196-6CBFA7FF8009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1.2.6.7.9.10.13.14</t>
        </r>
        <r>
          <rPr>
            <sz val="9"/>
            <color rgb="FF000000"/>
            <rFont val="細明體"/>
            <family val="1"/>
            <charset val="136"/>
          </rPr>
          <t>現金收入</t>
        </r>
      </text>
    </comment>
    <comment ref="L3" authorId="0" shapeId="0" xr:uid="{95F13B8B-ED9B-1746-9DD7-6954E868E1D2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14</t>
        </r>
        <r>
          <rPr>
            <sz val="9"/>
            <color rgb="FF000000"/>
            <rFont val="細明體"/>
            <family val="1"/>
            <charset val="136"/>
          </rPr>
          <t>日轉江帳繳房租</t>
        </r>
      </text>
    </comment>
    <comment ref="M3" authorId="0" shapeId="0" xr:uid="{C81164A7-7269-0B48-8028-46DFB886820F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1.2.6.7.9.10.13.14
</t>
        </r>
      </text>
    </comment>
    <comment ref="K4" authorId="0" shapeId="0" xr:uid="{2AB9823B-0205-844D-8502-EE5F70D4A798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3.4.5.8.11.12.15</t>
        </r>
        <r>
          <rPr>
            <sz val="9"/>
            <color rgb="FF000000"/>
            <rFont val="細明體"/>
            <family val="1"/>
            <charset val="136"/>
          </rPr>
          <t>收入</t>
        </r>
        <r>
          <rPr>
            <sz val="9"/>
            <color rgb="FF000000"/>
            <rFont val="細明體"/>
            <family val="1"/>
            <charset val="136"/>
          </rPr>
          <t>+15</t>
        </r>
        <r>
          <rPr>
            <sz val="9"/>
            <color rgb="FF000000"/>
            <rFont val="細明體"/>
            <family val="1"/>
            <charset val="136"/>
          </rPr>
          <t>日銀行提領及吳献堂轉入</t>
        </r>
      </text>
    </comment>
    <comment ref="L4" authorId="0" shapeId="0" xr:uid="{939C91C7-F34C-4C4A-A54D-A17D6B41DCAD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細明體"/>
            <family val="1"/>
            <charset val="136"/>
          </rPr>
          <t>咖啡豆</t>
        </r>
        <r>
          <rPr>
            <sz val="9"/>
            <color rgb="FF000000"/>
            <rFont val="Tahoma"/>
            <family val="2"/>
          </rPr>
          <t>10980+</t>
        </r>
        <r>
          <rPr>
            <sz val="9"/>
            <color rgb="FF000000"/>
            <rFont val="細明體"/>
            <family val="1"/>
            <charset val="136"/>
          </rPr>
          <t>匯費</t>
        </r>
        <r>
          <rPr>
            <sz val="9"/>
            <color rgb="FF000000"/>
            <rFont val="細明體"/>
            <family val="1"/>
            <charset val="136"/>
          </rPr>
          <t>45+</t>
        </r>
        <r>
          <rPr>
            <sz val="9"/>
            <color rgb="FF000000"/>
            <rFont val="細明體"/>
            <family val="1"/>
            <charset val="136"/>
          </rPr>
          <t>房租轉帳</t>
        </r>
        <r>
          <rPr>
            <sz val="9"/>
            <color rgb="FF000000"/>
            <rFont val="細明體"/>
            <family val="1"/>
            <charset val="136"/>
          </rPr>
          <t>60000-32493</t>
        </r>
        <r>
          <rPr>
            <sz val="9"/>
            <color rgb="FF000000"/>
            <rFont val="細明體"/>
            <family val="1"/>
            <charset val="136"/>
          </rPr>
          <t>吳献堂轉入</t>
        </r>
        <r>
          <rPr>
            <sz val="9"/>
            <color rgb="FF000000"/>
            <rFont val="細明體"/>
            <family val="1"/>
            <charset val="136"/>
          </rPr>
          <t>-7633</t>
        </r>
        <r>
          <rPr>
            <sz val="9"/>
            <color rgb="FF000000"/>
            <rFont val="細明體"/>
            <family val="1"/>
            <charset val="136"/>
          </rPr>
          <t>存款提領</t>
        </r>
      </text>
    </comment>
    <comment ref="K5" authorId="0" shapeId="0" xr:uid="{6388F581-E8BE-AA44-948C-90EC74EEC9B9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6</t>
        </r>
        <r>
          <rPr>
            <sz val="9"/>
            <color rgb="FF000000"/>
            <rFont val="細明體"/>
            <family val="1"/>
            <charset val="136"/>
          </rPr>
          <t>日現金收入提領</t>
        </r>
      </text>
    </comment>
    <comment ref="K6" authorId="0" shapeId="0" xr:uid="{BC60B797-8566-1142-9054-AC2E5BC3E9DF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15</t>
        </r>
        <r>
          <rPr>
            <sz val="9"/>
            <color rgb="FF000000"/>
            <rFont val="細明體"/>
            <family val="1"/>
            <charset val="136"/>
          </rPr>
          <t>日結餘金額提領歸</t>
        </r>
        <r>
          <rPr>
            <sz val="9"/>
            <color rgb="FF000000"/>
            <rFont val="細明體"/>
            <family val="1"/>
            <charset val="136"/>
          </rPr>
          <t>0</t>
        </r>
      </text>
    </comment>
    <comment ref="L6" authorId="0" shapeId="0" xr:uid="{0CFC8768-1625-BF48-B82B-4B7C9F371B7B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14</t>
        </r>
        <r>
          <rPr>
            <sz val="9"/>
            <color rgb="FF000000"/>
            <rFont val="細明體"/>
            <family val="1"/>
            <charset val="136"/>
          </rPr>
          <t>日繳交房租提領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江政隆</author>
  </authors>
  <commentList>
    <comment ref="K3" authorId="0" shapeId="0" xr:uid="{88AE3E57-A2F6-43D2-8104-7024757F0796}">
      <text>
        <r>
          <rPr>
            <sz val="10"/>
            <color rgb="FF000000"/>
            <rFont val="Arial"/>
            <family val="2"/>
          </rPr>
          <t>江政隆</t>
        </r>
        <r>
          <rPr>
            <sz val="10"/>
            <color rgb="FF000000"/>
            <rFont val="Arial"/>
            <family val="2"/>
          </rPr>
          <t xml:space="preserve">:
</t>
        </r>
        <r>
          <rPr>
            <sz val="10"/>
            <color rgb="FF000000"/>
            <rFont val="Arial"/>
            <family val="2"/>
          </rPr>
          <t>2.3.4</t>
        </r>
        <r>
          <rPr>
            <sz val="10"/>
            <color rgb="FF000000"/>
            <rFont val="Arial"/>
            <family val="2"/>
          </rPr>
          <t>現金收入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L3" authorId="0" shapeId="0" xr:uid="{5C8C658C-34CC-47B2-829A-36F19BA4C8E0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14</t>
        </r>
        <r>
          <rPr>
            <sz val="9"/>
            <color indexed="81"/>
            <rFont val="細明體"/>
            <family val="3"/>
            <charset val="136"/>
          </rPr>
          <t>日轉江帳繳房租</t>
        </r>
      </text>
    </comment>
    <comment ref="M3" authorId="0" shapeId="0" xr:uid="{8FE34B00-8445-4C69-BC62-F8B58B0E5FDA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1.2.6.7.9.10.13.14
</t>
        </r>
      </text>
    </comment>
    <comment ref="K4" authorId="0" shapeId="0" xr:uid="{D4F7A17D-2C76-4AC1-91B2-F74C155AE476}">
      <text>
        <r>
          <rPr>
            <sz val="10"/>
            <color rgb="FF000000"/>
            <rFont val="Arial"/>
            <family val="2"/>
          </rPr>
          <t>江政隆</t>
        </r>
        <r>
          <rPr>
            <sz val="10"/>
            <color rgb="FF000000"/>
            <rFont val="Arial"/>
            <family val="2"/>
          </rPr>
          <t xml:space="preserve">:
</t>
        </r>
        <r>
          <rPr>
            <sz val="10"/>
            <color rgb="FF000000"/>
            <rFont val="Arial"/>
            <family val="2"/>
          </rPr>
          <t>1+5</t>
        </r>
        <r>
          <rPr>
            <sz val="10"/>
            <color rgb="FF000000"/>
            <rFont val="Arial"/>
            <family val="2"/>
          </rPr>
          <t>收入</t>
        </r>
      </text>
    </comment>
    <comment ref="L4" authorId="0" shapeId="0" xr:uid="{26630D56-2D88-4751-B437-6017BAFAC16B}">
      <text>
        <r>
          <rPr>
            <sz val="10"/>
            <color rgb="FF000000"/>
            <rFont val="Arial"/>
            <family val="2"/>
            <scheme val="minor"/>
          </rPr>
          <t>江政隆:
5日器具一批2774</t>
        </r>
      </text>
    </comment>
    <comment ref="K5" authorId="0" shapeId="0" xr:uid="{DF94666F-64FA-492A-98B6-F29D205E491E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</t>
        </r>
        <r>
          <rPr>
            <sz val="9"/>
            <color indexed="81"/>
            <rFont val="細明體"/>
            <family val="3"/>
            <charset val="136"/>
          </rPr>
          <t>日現金收入提領</t>
        </r>
      </text>
    </comment>
    <comment ref="K6" authorId="0" shapeId="0" xr:uid="{58B398A3-0102-4099-9554-B94F06EBE267}">
      <text>
        <r>
          <rPr>
            <b/>
            <sz val="9"/>
            <color rgb="FF000000"/>
            <rFont val="細明體"/>
            <family val="1"/>
            <charset val="136"/>
          </rPr>
          <t>江政隆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15</t>
        </r>
        <r>
          <rPr>
            <sz val="9"/>
            <color rgb="FF000000"/>
            <rFont val="細明體"/>
            <family val="1"/>
            <charset val="136"/>
          </rPr>
          <t>日結餘金額提領歸</t>
        </r>
        <r>
          <rPr>
            <sz val="9"/>
            <color rgb="FF000000"/>
            <rFont val="細明體"/>
            <family val="1"/>
            <charset val="136"/>
          </rPr>
          <t>0</t>
        </r>
      </text>
    </comment>
    <comment ref="L6" authorId="0" shapeId="0" xr:uid="{DBE79134-34C5-4239-BC2D-608B5E79BC25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14</t>
        </r>
        <r>
          <rPr>
            <sz val="9"/>
            <color indexed="81"/>
            <rFont val="細明體"/>
            <family val="3"/>
            <charset val="136"/>
          </rPr>
          <t>日繳交房租提領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江政隆</author>
  </authors>
  <commentList>
    <comment ref="F7" authorId="0" shapeId="0" xr:uid="{9FA9D3B8-347A-44A6-B0BB-8069DC95E955}">
      <text>
        <r>
          <rPr>
            <sz val="10"/>
            <color rgb="FF000000"/>
            <rFont val="Arial"/>
            <family val="2"/>
            <scheme val="minor"/>
          </rPr>
          <t>江政隆:
濾杯、濾布 275
電動攪拌棒 338
量杯 1000
拉花杯 258
不鏽鋼濾紙、濾紙 248
1磅咖啡袋 655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江政隆</author>
  </authors>
  <commentList>
    <comment ref="K3" authorId="0" shapeId="0" xr:uid="{6B988DE1-D2B2-41F1-B579-F7BEF6058550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1.2.6.7.9.10.13.14</t>
        </r>
        <r>
          <rPr>
            <sz val="9"/>
            <color indexed="81"/>
            <rFont val="細明體"/>
            <family val="3"/>
            <charset val="136"/>
          </rPr>
          <t>現金收入</t>
        </r>
      </text>
    </comment>
    <comment ref="L3" authorId="0" shapeId="0" xr:uid="{3B33E1DB-5FD1-4721-B2D2-CC90199BA8EF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14</t>
        </r>
        <r>
          <rPr>
            <sz val="9"/>
            <color indexed="81"/>
            <rFont val="細明體"/>
            <family val="3"/>
            <charset val="136"/>
          </rPr>
          <t>日轉江帳繳房租</t>
        </r>
      </text>
    </comment>
    <comment ref="M3" authorId="0" shapeId="0" xr:uid="{29BC91CE-2F4F-48A5-8A28-3209097C9967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1.2.6.7.9.10.13.14
</t>
        </r>
      </text>
    </comment>
    <comment ref="K4" authorId="0" shapeId="0" xr:uid="{A2AA3027-09BC-4E6B-9C72-72D6890B420C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3.4.5.8.11.12.15</t>
        </r>
        <r>
          <rPr>
            <sz val="9"/>
            <color indexed="81"/>
            <rFont val="細明體"/>
            <family val="3"/>
            <charset val="136"/>
          </rPr>
          <t>收入+15日銀行提領及吳献堂轉入</t>
        </r>
      </text>
    </comment>
    <comment ref="L4" authorId="0" shapeId="0" xr:uid="{9DE2CBCD-0F51-4FE9-A7AA-3E95DF46452D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咖啡豆</t>
        </r>
        <r>
          <rPr>
            <sz val="9"/>
            <color indexed="81"/>
            <rFont val="Tahoma"/>
            <family val="2"/>
          </rPr>
          <t>10980+</t>
        </r>
        <r>
          <rPr>
            <sz val="9"/>
            <color indexed="81"/>
            <rFont val="細明體"/>
            <family val="3"/>
            <charset val="136"/>
          </rPr>
          <t>匯費45+房租轉帳60000-32493吳献堂轉入-7633存款提領</t>
        </r>
      </text>
    </comment>
    <comment ref="K5" authorId="0" shapeId="0" xr:uid="{CAEB1CE5-A8B8-4392-AADC-AF08070ADDDD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</t>
        </r>
        <r>
          <rPr>
            <sz val="9"/>
            <color indexed="81"/>
            <rFont val="細明體"/>
            <family val="3"/>
            <charset val="136"/>
          </rPr>
          <t>日現金收入提領</t>
        </r>
      </text>
    </comment>
    <comment ref="K6" authorId="0" shapeId="0" xr:uid="{418C3712-5A87-45BA-B9E9-1DC403CAB1DC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15</t>
        </r>
        <r>
          <rPr>
            <sz val="9"/>
            <color indexed="81"/>
            <rFont val="細明體"/>
            <family val="3"/>
            <charset val="136"/>
          </rPr>
          <t>日結餘金額提領歸0</t>
        </r>
      </text>
    </comment>
    <comment ref="L6" authorId="0" shapeId="0" xr:uid="{A09BB3DF-A670-4DB6-ADAB-F92A2B573B20}">
      <text>
        <r>
          <rPr>
            <b/>
            <sz val="9"/>
            <color indexed="81"/>
            <rFont val="細明體"/>
            <family val="3"/>
            <charset val="136"/>
          </rPr>
          <t>江政隆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14</t>
        </r>
        <r>
          <rPr>
            <sz val="9"/>
            <color indexed="81"/>
            <rFont val="細明體"/>
            <family val="3"/>
            <charset val="136"/>
          </rPr>
          <t>日繳交房租提領</t>
        </r>
      </text>
    </comment>
  </commentList>
</comments>
</file>

<file path=xl/sharedStrings.xml><?xml version="1.0" encoding="utf-8"?>
<sst xmlns="http://schemas.openxmlformats.org/spreadsheetml/2006/main" count="613" uniqueCount="258">
  <si>
    <t>聊閣咖啡重新店日記帳</t>
    <phoneticPr fontId="5" type="noConversion"/>
  </si>
  <si>
    <t>日期</t>
  </si>
  <si>
    <t>營業收入</t>
  </si>
  <si>
    <t>現金收入</t>
  </si>
  <si>
    <t>linepay</t>
  </si>
  <si>
    <t>街口支付</t>
  </si>
  <si>
    <t>點點付</t>
  </si>
  <si>
    <t>營業費用</t>
  </si>
  <si>
    <t>當日損益</t>
    <phoneticPr fontId="5" type="noConversion"/>
  </si>
  <si>
    <t>保管金額</t>
    <phoneticPr fontId="5" type="noConversion"/>
  </si>
  <si>
    <t>現金收支</t>
    <phoneticPr fontId="5" type="noConversion"/>
  </si>
  <si>
    <t>現金餘額</t>
    <phoneticPr fontId="5" type="noConversion"/>
  </si>
  <si>
    <t>溢領金額</t>
  </si>
  <si>
    <t>吳献堂</t>
    <phoneticPr fontId="5" type="noConversion"/>
  </si>
  <si>
    <t>江政隆</t>
    <phoneticPr fontId="5" type="noConversion"/>
  </si>
  <si>
    <t>林權松</t>
  </si>
  <si>
    <t>銀行存款</t>
    <phoneticPr fontId="5" type="noConversion"/>
  </si>
  <si>
    <t>應付賬款</t>
  </si>
  <si>
    <t>流動現金</t>
    <phoneticPr fontId="5" type="noConversion"/>
  </si>
  <si>
    <t>營運預備金</t>
    <phoneticPr fontId="5" type="noConversion"/>
  </si>
  <si>
    <t>現金總計</t>
    <phoneticPr fontId="5" type="noConversion"/>
  </si>
  <si>
    <t>項目</t>
  </si>
  <si>
    <t>月營業額</t>
  </si>
  <si>
    <t>費用總額</t>
  </si>
  <si>
    <t>毛利</t>
  </si>
  <si>
    <t>帳面餘絀</t>
  </si>
  <si>
    <t>每股可分淨額</t>
  </si>
  <si>
    <t>小計</t>
  </si>
  <si>
    <t>聊閣咖啡重新店支出費用明細</t>
    <phoneticPr fontId="5" type="noConversion"/>
  </si>
  <si>
    <t>費用明細表</t>
  </si>
  <si>
    <t>食材成本</t>
  </si>
  <si>
    <t>固定成本</t>
  </si>
  <si>
    <t>變動成本</t>
  </si>
  <si>
    <t>費用小計</t>
  </si>
  <si>
    <t>項目明細</t>
  </si>
  <si>
    <t>支付憑證</t>
  </si>
  <si>
    <t>修理馬桶1200
材料288
裝冰袋子 500</t>
  </si>
  <si>
    <t>鮮奶 530 杯子2200</t>
  </si>
  <si>
    <t>0703光泉</t>
  </si>
  <si>
    <t>0703易達豐</t>
  </si>
  <si>
    <t>鮮奶 530</t>
  </si>
  <si>
    <t>0705光泉</t>
  </si>
  <si>
    <t>0708光泉</t>
  </si>
  <si>
    <t>厚片、貝果 712</t>
  </si>
  <si>
    <t>0709親民</t>
  </si>
  <si>
    <t>咖啡豆 12700 
衛生紙、吸管 1900 
衛生紙 600</t>
    <phoneticPr fontId="5" type="noConversion"/>
  </si>
  <si>
    <t>0711易達豐</t>
  </si>
  <si>
    <t>0711光泉</t>
  </si>
  <si>
    <t>檸檬、金桔 3750 
鮮奶 530</t>
    <phoneticPr fontId="5" type="noConversion"/>
  </si>
  <si>
    <t>0712光泉</t>
  </si>
  <si>
    <t>0712檸檬</t>
  </si>
  <si>
    <t>奶油 710</t>
  </si>
  <si>
    <t>0713奶油</t>
  </si>
  <si>
    <t>0717光泉</t>
  </si>
  <si>
    <t>奶精、果糖 7565</t>
  </si>
  <si>
    <t>網路 768</t>
  </si>
  <si>
    <t>0719網路</t>
  </si>
  <si>
    <t>su盤 600
抹茶粉 1590</t>
  </si>
  <si>
    <t>未結應付賬款</t>
  </si>
  <si>
    <t>0702開元</t>
  </si>
  <si>
    <t>鮮奶 530 
水費 427</t>
  </si>
  <si>
    <t>0603光泉</t>
  </si>
  <si>
    <t>營業器具一批詳如備註</t>
  </si>
  <si>
    <t>0605濾杯、濾布</t>
  </si>
  <si>
    <t>0605電動攪拌棒</t>
  </si>
  <si>
    <t>0605量杯</t>
  </si>
  <si>
    <t>0605拉花杯</t>
  </si>
  <si>
    <t>0605不鏽鋼濾紙、濾紙</t>
  </si>
  <si>
    <t>06051磅咖啡袋</t>
  </si>
  <si>
    <t>中熱杯 1250
果糖機修理 2400</t>
  </si>
  <si>
    <t>0606易達豐</t>
  </si>
  <si>
    <t>0604果糖機修理</t>
  </si>
  <si>
    <t>0607光泉</t>
  </si>
  <si>
    <t>話梅 500
鮮奶 530</t>
  </si>
  <si>
    <t>0610光泉</t>
  </si>
  <si>
    <t>大杯透明杯 1180</t>
  </si>
  <si>
    <t>0611易達豐</t>
  </si>
  <si>
    <t>鮮奶 530
水費 427
電費 9153</t>
  </si>
  <si>
    <t>0614光泉</t>
  </si>
  <si>
    <t>0614水費</t>
  </si>
  <si>
    <t>0614電費</t>
  </si>
  <si>
    <t>房租 60000</t>
  </si>
  <si>
    <t>0615房租(1)</t>
  </si>
  <si>
    <t>0615房租(2)</t>
  </si>
  <si>
    <t>糖 36
洗手乳 150
菜瓜布 20
鮮奶 170</t>
  </si>
  <si>
    <t>0616全聯</t>
  </si>
  <si>
    <t>0616蝦皮</t>
  </si>
  <si>
    <t>0616菜瓜布</t>
  </si>
  <si>
    <t>咖啡豆 13790
藍芽音響 999
鮮奶 530</t>
  </si>
  <si>
    <t>0617 咖啡豆</t>
  </si>
  <si>
    <t>0617光泉</t>
  </si>
  <si>
    <t>電話、網路 850
糖 150</t>
  </si>
  <si>
    <t>0618電話、網路</t>
  </si>
  <si>
    <t>0619光泉</t>
  </si>
  <si>
    <t>厚片、貝果 764</t>
  </si>
  <si>
    <t>0620親民</t>
  </si>
  <si>
    <t>0621光泉</t>
  </si>
  <si>
    <t>營業損失 1000</t>
  </si>
  <si>
    <t>0622營業損失</t>
  </si>
  <si>
    <t>0624光泉</t>
  </si>
  <si>
    <t>USB 200</t>
  </si>
  <si>
    <t>0626光泉</t>
  </si>
  <si>
    <t>蔓越莓、巧克力 10680</t>
  </si>
  <si>
    <t>0627伂橙</t>
  </si>
  <si>
    <t>0628光泉</t>
  </si>
  <si>
    <t>垃圾袋 150</t>
  </si>
  <si>
    <t>0604 鮮奶、奶蓋 750
0611 鮮奶、紅茶 820
0618鮮奶 750
0625鮮奶 500</t>
  </si>
  <si>
    <t>0604開元</t>
  </si>
  <si>
    <t>0611開元</t>
  </si>
  <si>
    <t>0618開元</t>
  </si>
  <si>
    <t>0625開元</t>
  </si>
  <si>
    <t>鮮奶 795</t>
  </si>
  <si>
    <t>鮮奶795
風味糖漿 2000</t>
  </si>
  <si>
    <t>鮮奶</t>
  </si>
  <si>
    <t>代墊4日糖漿 100</t>
  </si>
  <si>
    <t>鮮奶 1060</t>
  </si>
  <si>
    <t>厚片、貝果 764
3月電話費 80
3月網路費 768
4月電話費 80
4月網路費 768</t>
  </si>
  <si>
    <t>厚片、貝果</t>
  </si>
  <si>
    <t xml:space="preserve">3月電話費
</t>
  </si>
  <si>
    <t>3月網路費</t>
  </si>
  <si>
    <t>4月電話費</t>
  </si>
  <si>
    <t>4月網路費</t>
  </si>
  <si>
    <t>代墊奶精、果糖 7365
鮮奶 530</t>
  </si>
  <si>
    <t>0508品皇</t>
  </si>
  <si>
    <t>0508 光泉</t>
  </si>
  <si>
    <t>咖啡豆 10980
匯費 15</t>
  </si>
  <si>
    <t>0509 台照</t>
  </si>
  <si>
    <t>0510 光泉</t>
  </si>
  <si>
    <t>話梅 500</t>
  </si>
  <si>
    <t>鮮奶 530
波霸吸管、透明杯、大杯 3630</t>
  </si>
  <si>
    <t>0513 光泉</t>
  </si>
  <si>
    <t>0513 易達豐</t>
  </si>
  <si>
    <t>黑凸蓋 790</t>
  </si>
  <si>
    <t>0514 易達豐</t>
  </si>
  <si>
    <t>鮮奶 530 房租60000 匯費30</t>
    <phoneticPr fontId="5" type="noConversion"/>
  </si>
  <si>
    <t>0515 光泉</t>
  </si>
  <si>
    <t>0515房租1</t>
    <phoneticPr fontId="5" type="noConversion"/>
  </si>
  <si>
    <t>0515房租2</t>
    <phoneticPr fontId="5" type="noConversion"/>
  </si>
  <si>
    <t>鮮奶530 
POS機版權及硬體擴充 3700</t>
  </si>
  <si>
    <t>0517 POS機版權</t>
  </si>
  <si>
    <t>鮮奶530</t>
  </si>
  <si>
    <t>0520光泉</t>
  </si>
  <si>
    <t>封口膜、16oz透明杯 1420
茶葉 5000
鮮奶 530</t>
  </si>
  <si>
    <t>0522 易達豐</t>
  </si>
  <si>
    <t>0522綠茶</t>
  </si>
  <si>
    <t>0522光泉</t>
  </si>
  <si>
    <t>0527光泉</t>
  </si>
  <si>
    <t>咖啡豆 10855
匯費 15</t>
  </si>
  <si>
    <t>0528咖啡豆</t>
  </si>
  <si>
    <t>厚片、貝果 764
鮮奶 530</t>
  </si>
  <si>
    <t>0531光泉</t>
  </si>
  <si>
    <t>0531親民</t>
  </si>
  <si>
    <t>0520鮮奶 500
0524鮮奶、紅茶 820
0528鮮奶、奶蓋 625</t>
  </si>
  <si>
    <t>0520開元</t>
  </si>
  <si>
    <t>0524開元</t>
  </si>
  <si>
    <t>0528開元</t>
  </si>
  <si>
    <t>0715房租1</t>
  </si>
  <si>
    <t>0715房租2</t>
  </si>
  <si>
    <t>0718品皇</t>
  </si>
  <si>
    <t>水費 463 
鮮奶 530 
咖啡豆 12840</t>
    <phoneticPr fontId="5" type="noConversion"/>
  </si>
  <si>
    <t>0722水費</t>
  </si>
  <si>
    <t>0722光泉</t>
  </si>
  <si>
    <t>0722咖啡豆</t>
  </si>
  <si>
    <t>房租 60000 
鮮奶 530</t>
    <phoneticPr fontId="5" type="noConversion"/>
  </si>
  <si>
    <t>鮮奶 530</t>
    <phoneticPr fontId="5" type="noConversion"/>
  </si>
  <si>
    <t>0724光泉</t>
  </si>
  <si>
    <t>量杯 175 
電話網路費933 
糖72</t>
    <phoneticPr fontId="5" type="noConversion"/>
  </si>
  <si>
    <t>杯子 2200 
紙袋 720</t>
    <phoneticPr fontId="5" type="noConversion"/>
  </si>
  <si>
    <t>厚片、貝果 712 
垃圾袋 118 
花生醬 890</t>
    <phoneticPr fontId="5" type="noConversion"/>
  </si>
  <si>
    <t>0730親民</t>
  </si>
  <si>
    <t>0730垃圾袋</t>
  </si>
  <si>
    <t>0729紙袋</t>
  </si>
  <si>
    <t>0729易達豐</t>
  </si>
  <si>
    <t>0728量杯</t>
  </si>
  <si>
    <t>0728電話網路</t>
  </si>
  <si>
    <t>濾杯 68</t>
  </si>
  <si>
    <t xml:space="preserve">0702鮮奶 500 0709鮮奶 500 
0716鮮奶、奶蓋 750 0726鮮奶 500
</t>
  </si>
  <si>
    <t>鮮奶 270</t>
    <phoneticPr fontId="5" type="noConversion"/>
  </si>
  <si>
    <t>鮮奶530</t>
    <phoneticPr fontId="5" type="noConversion"/>
  </si>
  <si>
    <t>7月開元 2250  
咖啡豆 11215 
鮮奶530</t>
    <phoneticPr fontId="5" type="noConversion"/>
  </si>
  <si>
    <t>紅字→多錢</t>
    <phoneticPr fontId="5" type="noConversion"/>
  </si>
  <si>
    <t>黑字→少錢</t>
    <phoneticPr fontId="5" type="noConversion"/>
  </si>
  <si>
    <t xml:space="preserve">當日損益 </t>
    <phoneticPr fontId="5" type="noConversion"/>
  </si>
  <si>
    <t>電費 16273
冷氣 3500
厚片貝果 712
封口膜 800</t>
    <phoneticPr fontId="5" type="noConversion"/>
  </si>
  <si>
    <t xml:space="preserve">  </t>
    <phoneticPr fontId="5" type="noConversion"/>
  </si>
  <si>
    <t>咖啡器具(不鏽鋼冰塊) 169</t>
  </si>
  <si>
    <t>咖啡濾紙 1847
空盒 100</t>
    <phoneticPr fontId="5" type="noConversion"/>
  </si>
  <si>
    <r>
      <rPr>
        <sz val="12"/>
        <color theme="1"/>
        <rFont val="Microsoft JhengHei"/>
        <family val="2"/>
      </rPr>
      <t>咖啡豆</t>
    </r>
    <r>
      <rPr>
        <sz val="12"/>
        <color theme="1"/>
        <rFont val="Arial"/>
        <family val="2"/>
      </rPr>
      <t>10850</t>
    </r>
    <phoneticPr fontId="5" type="noConversion"/>
  </si>
  <si>
    <t>茶葉7000</t>
    <phoneticPr fontId="5" type="noConversion"/>
  </si>
  <si>
    <t>鮮奶 795 咖啡豆 2490</t>
  </si>
  <si>
    <t>營業稅 4851</t>
  </si>
  <si>
    <t>0806 鮮奶 500 
0813 1070
0820 鮮奶 500</t>
    <phoneticPr fontId="5" type="noConversion"/>
  </si>
  <si>
    <t>鮮奶 530 
咖啡器具(整粉器) 2050 
電池 250</t>
    <phoneticPr fontId="5" type="noConversion"/>
  </si>
  <si>
    <r>
      <t>8</t>
    </r>
    <r>
      <rPr>
        <u/>
        <sz val="10"/>
        <color theme="10"/>
        <rFont val="Arial"/>
        <family val="2"/>
        <charset val="136"/>
        <scheme val="minor"/>
      </rPr>
      <t>月憑證</t>
    </r>
    <phoneticPr fontId="5" type="noConversion"/>
  </si>
  <si>
    <t>杯子 1180 
皮包 950</t>
    <phoneticPr fontId="5" type="noConversion"/>
  </si>
  <si>
    <t>鮮奶 795
咖啡豆10850
茶葉7000</t>
    <phoneticPr fontId="5" type="noConversion"/>
  </si>
  <si>
    <t>2409憑證</t>
  </si>
  <si>
    <r>
      <rPr>
        <sz val="12"/>
        <color rgb="FF000000"/>
        <rFont val="Microsoft JhengHei"/>
        <family val="2"/>
      </rPr>
      <t>鮮奶</t>
    </r>
    <r>
      <rPr>
        <sz val="12"/>
        <color rgb="FF000000"/>
        <rFont val="Arial"/>
        <family val="2"/>
      </rPr>
      <t xml:space="preserve"> 795</t>
    </r>
    <phoneticPr fontId="5" type="noConversion"/>
  </si>
  <si>
    <t>8月開元帳單 2070</t>
  </si>
  <si>
    <t xml:space="preserve">鮮奶 530 
巧克力醬 950 
麵包 741 </t>
    <phoneticPr fontId="5" type="noConversion"/>
  </si>
  <si>
    <t>鮮奶 530 
糖漿、奶精 7565</t>
    <phoneticPr fontId="5" type="noConversion"/>
  </si>
  <si>
    <t>咖啡豆 10440
杯子、衛生紙 3850</t>
    <phoneticPr fontId="5" type="noConversion"/>
  </si>
  <si>
    <t>鮮奶 530
房租 60000</t>
    <phoneticPr fontId="5" type="noConversion"/>
  </si>
  <si>
    <t>糖 36</t>
  </si>
  <si>
    <t>水費 550
鮮奶 530 電話費88</t>
  </si>
  <si>
    <t>鮮奶 530 
網路費 768
營業稅 1893</t>
    <phoneticPr fontId="5" type="noConversion"/>
  </si>
  <si>
    <t>18、21、22、25</t>
    <phoneticPr fontId="5" type="noConversion"/>
  </si>
  <si>
    <t>蓋子 300</t>
    <phoneticPr fontId="5" type="noConversion"/>
  </si>
  <si>
    <t>鮮奶 530
咖啡豆 12165
淨水器 6216
匯費 30</t>
    <phoneticPr fontId="5" type="noConversion"/>
  </si>
  <si>
    <t>2410憑證</t>
  </si>
  <si>
    <t>瓦斯費 660</t>
    <phoneticPr fontId="5" type="noConversion"/>
  </si>
  <si>
    <t>光泉 795</t>
  </si>
  <si>
    <t>修冰箱 11000</t>
    <phoneticPr fontId="5" type="noConversion"/>
  </si>
  <si>
    <t>鮮奶 530
紙杯 2150
厚片 440</t>
    <phoneticPr fontId="5" type="noConversion"/>
  </si>
  <si>
    <t>砂糖 350
電信費 220</t>
    <phoneticPr fontId="5" type="noConversion"/>
  </si>
  <si>
    <t>鮮奶 530 
電話費 89 
製冰機檢查費 600 
製冰機材料費 650</t>
    <phoneticPr fontId="5" type="noConversion"/>
  </si>
  <si>
    <t>鮮奶 795
保險 6070</t>
    <phoneticPr fontId="5" type="noConversion"/>
  </si>
  <si>
    <t>鮮奶 530
咖啡豆 11715</t>
    <phoneticPr fontId="5" type="noConversion"/>
  </si>
  <si>
    <t>光泉 530
焦糖糖漿2瓶 1350
十方 3840</t>
    <phoneticPr fontId="5" type="noConversion"/>
  </si>
  <si>
    <t>聊閣咖啡重新店支出費用明細</t>
  </si>
  <si>
    <t>房租 60000
匯費 30
麵包 741 電費 18170</t>
  </si>
  <si>
    <t>鮮奶 530 
電話費 89
檸檬汁 1900</t>
    <phoneticPr fontId="5" type="noConversion"/>
  </si>
  <si>
    <t>玻璃杯 855</t>
    <phoneticPr fontId="5" type="noConversion"/>
  </si>
  <si>
    <t>支架燈 338
標籤貼紙 700</t>
    <phoneticPr fontId="5" type="noConversion"/>
  </si>
  <si>
    <t xml:space="preserve">鮮奶 530 </t>
  </si>
  <si>
    <t>監視器鏡頭'營業稅</t>
    <phoneticPr fontId="5" type="noConversion"/>
  </si>
  <si>
    <t>外送平台</t>
    <phoneticPr fontId="5" type="noConversion"/>
  </si>
  <si>
    <t>咖啡機修理</t>
    <phoneticPr fontId="5" type="noConversion"/>
  </si>
  <si>
    <t>鮮奶530</t>
    <phoneticPr fontId="5" type="noConversion"/>
  </si>
  <si>
    <t>鮮奶530電話1000</t>
    <phoneticPr fontId="5" type="noConversion"/>
  </si>
  <si>
    <t>電話費768吐司712</t>
    <phoneticPr fontId="5" type="noConversion"/>
  </si>
  <si>
    <t>肉桂、鮮奶、鬆緊帶</t>
    <phoneticPr fontId="5" type="noConversion"/>
  </si>
  <si>
    <t>鮮奶530咖啡豆12600</t>
    <phoneticPr fontId="5" type="noConversion"/>
  </si>
  <si>
    <t>奶精果糖</t>
    <phoneticPr fontId="5" type="noConversion"/>
  </si>
  <si>
    <t>房租</t>
    <phoneticPr fontId="5" type="noConversion"/>
  </si>
  <si>
    <t>鮮奶795</t>
    <phoneticPr fontId="5" type="noConversion"/>
  </si>
  <si>
    <t>話梅</t>
    <phoneticPr fontId="5" type="noConversion"/>
  </si>
  <si>
    <t>豆子</t>
    <phoneticPr fontId="5" type="noConversion"/>
  </si>
  <si>
    <t>鮮奶</t>
    <phoneticPr fontId="5" type="noConversion"/>
  </si>
  <si>
    <t>LINE PAY</t>
    <phoneticPr fontId="5" type="noConversion"/>
  </si>
  <si>
    <t>杯蓋</t>
    <phoneticPr fontId="5" type="noConversion"/>
  </si>
  <si>
    <t>鮮奶</t>
    <phoneticPr fontId="5" type="noConversion"/>
  </si>
  <si>
    <t>電話費</t>
    <phoneticPr fontId="5" type="noConversion"/>
  </si>
  <si>
    <t>杯子</t>
    <phoneticPr fontId="5" type="noConversion"/>
  </si>
  <si>
    <t>鮮奶</t>
    <phoneticPr fontId="5" type="noConversion"/>
  </si>
  <si>
    <t>房租、鮮奶</t>
    <phoneticPr fontId="5" type="noConversion"/>
  </si>
  <si>
    <t xml:space="preserve"> 鮮奶</t>
    <phoneticPr fontId="5" type="noConversion"/>
  </si>
  <si>
    <t>電費</t>
    <phoneticPr fontId="5" type="noConversion"/>
  </si>
  <si>
    <t>紅茶、綠茶</t>
    <phoneticPr fontId="5" type="noConversion"/>
  </si>
  <si>
    <t>咖啡豆</t>
    <phoneticPr fontId="5" type="noConversion"/>
  </si>
  <si>
    <t>牛奶</t>
    <phoneticPr fontId="5" type="noConversion"/>
  </si>
  <si>
    <t>補鮮奶</t>
    <phoneticPr fontId="5" type="noConversion"/>
  </si>
  <si>
    <t>營業稅金</t>
    <phoneticPr fontId="5" type="noConversion"/>
  </si>
  <si>
    <t>網路</t>
    <phoneticPr fontId="5" type="noConversion"/>
  </si>
  <si>
    <t>果糖、奶精</t>
    <phoneticPr fontId="5" type="noConversion"/>
  </si>
  <si>
    <t>鮮奶</t>
    <phoneticPr fontId="5" type="noConversion"/>
  </si>
  <si>
    <t>房租</t>
    <phoneticPr fontId="5" type="noConversion"/>
  </si>
  <si>
    <t>咖啡豆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</si>
</sst>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/dd"/>
    <numFmt numFmtId="177" formatCode="0.00_);[Red]\(0.00\)"/>
    <numFmt numFmtId="178" formatCode="0.00;[Red]0.00"/>
    <numFmt numFmtId="179" formatCode="0;[Red]0"/>
    <numFmt numFmtId="180" formatCode="0_);[Red]\(0\)"/>
  </numFmts>
  <fonts count="36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8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8"/>
      <color rgb="FF00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u/>
      <sz val="10"/>
      <color rgb="FF0000FF"/>
      <name val="Microsoft JHengHei"/>
      <family val="2"/>
      <charset val="136"/>
    </font>
    <font>
      <u/>
      <sz val="10"/>
      <color theme="10"/>
      <name val="Microsoft JHengHei"/>
      <family val="2"/>
      <charset val="136"/>
    </font>
    <font>
      <u/>
      <sz val="10"/>
      <color rgb="FF1155CC"/>
      <name val="Microsoft JHengHei"/>
      <family val="2"/>
      <charset val="136"/>
    </font>
    <font>
      <sz val="20"/>
      <color rgb="FF000000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b/>
      <sz val="9"/>
      <color rgb="FF00000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細明體"/>
      <family val="1"/>
      <charset val="136"/>
    </font>
    <font>
      <sz val="12"/>
      <color rgb="FFFF0000"/>
      <name val="Microsoft JHengHei"/>
      <family val="2"/>
      <charset val="136"/>
    </font>
    <font>
      <sz val="12"/>
      <color theme="1"/>
      <name val="Microsoft JhengHei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  <charset val="136"/>
      <scheme val="minor"/>
    </font>
    <font>
      <sz val="10"/>
      <color rgb="FF000000"/>
      <name val="Arial"/>
      <family val="2"/>
    </font>
    <font>
      <u/>
      <sz val="12"/>
      <color theme="10"/>
      <name val="Arial"/>
      <family val="2"/>
      <scheme val="minor"/>
    </font>
    <font>
      <sz val="12"/>
      <color rgb="FF000000"/>
      <name val="Microsoft JhengHei"/>
      <family val="2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17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0" fontId="18" fillId="0" borderId="0" xfId="0" applyFont="1"/>
    <xf numFmtId="0" fontId="16" fillId="0" borderId="0" xfId="0" applyFont="1" applyAlignment="1">
      <alignment vertical="top" wrapText="1"/>
    </xf>
    <xf numFmtId="0" fontId="19" fillId="0" borderId="0" xfId="0" applyFont="1" applyAlignment="1">
      <alignment horizontal="left" vertical="top"/>
    </xf>
    <xf numFmtId="0" fontId="20" fillId="0" borderId="0" xfId="1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0" fillId="0" borderId="0" xfId="2" applyFont="1" applyAlignment="1">
      <alignment horizontal="left" vertical="top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top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0" xfId="0" applyFont="1"/>
    <xf numFmtId="0" fontId="16" fillId="5" borderId="10" xfId="0" applyFont="1" applyFill="1" applyBorder="1"/>
    <xf numFmtId="0" fontId="14" fillId="5" borderId="11" xfId="0" applyFont="1" applyFill="1" applyBorder="1"/>
    <xf numFmtId="0" fontId="14" fillId="5" borderId="12" xfId="0" applyFont="1" applyFill="1" applyBorder="1"/>
    <xf numFmtId="176" fontId="16" fillId="0" borderId="5" xfId="0" applyNumberFormat="1" applyFont="1" applyBorder="1" applyAlignment="1">
      <alignment horizontal="center" vertical="center"/>
    </xf>
    <xf numFmtId="0" fontId="16" fillId="0" borderId="1" xfId="0" applyFont="1" applyBorder="1"/>
    <xf numFmtId="177" fontId="16" fillId="0" borderId="6" xfId="0" applyNumberFormat="1" applyFont="1" applyBorder="1"/>
    <xf numFmtId="0" fontId="16" fillId="0" borderId="0" xfId="0" applyFont="1"/>
    <xf numFmtId="0" fontId="15" fillId="5" borderId="20" xfId="0" applyFont="1" applyFill="1" applyBorder="1"/>
    <xf numFmtId="0" fontId="15" fillId="5" borderId="19" xfId="0" applyFont="1" applyFill="1" applyBorder="1"/>
    <xf numFmtId="0" fontId="16" fillId="5" borderId="19" xfId="0" applyFont="1" applyFill="1" applyBorder="1"/>
    <xf numFmtId="1" fontId="15" fillId="5" borderId="21" xfId="0" applyNumberFormat="1" applyFont="1" applyFill="1" applyBorder="1"/>
    <xf numFmtId="1" fontId="15" fillId="5" borderId="21" xfId="0" applyNumberFormat="1" applyFont="1" applyFill="1" applyBorder="1" applyAlignment="1">
      <alignment wrapText="1" shrinkToFit="1"/>
    </xf>
    <xf numFmtId="0" fontId="15" fillId="5" borderId="23" xfId="0" applyFont="1" applyFill="1" applyBorder="1"/>
    <xf numFmtId="0" fontId="15" fillId="5" borderId="22" xfId="0" applyFont="1" applyFill="1" applyBorder="1"/>
    <xf numFmtId="0" fontId="15" fillId="5" borderId="25" xfId="0" applyFont="1" applyFill="1" applyBorder="1"/>
    <xf numFmtId="0" fontId="15" fillId="0" borderId="20" xfId="0" applyFont="1" applyBorder="1"/>
    <xf numFmtId="0" fontId="15" fillId="0" borderId="19" xfId="0" applyFont="1" applyBorder="1"/>
    <xf numFmtId="178" fontId="15" fillId="0" borderId="19" xfId="0" applyNumberFormat="1" applyFont="1" applyBorder="1"/>
    <xf numFmtId="0" fontId="15" fillId="0" borderId="21" xfId="0" applyFont="1" applyBorder="1"/>
    <xf numFmtId="0" fontId="15" fillId="5" borderId="24" xfId="0" applyFont="1" applyFill="1" applyBorder="1"/>
    <xf numFmtId="0" fontId="15" fillId="5" borderId="26" xfId="0" applyFont="1" applyFill="1" applyBorder="1"/>
    <xf numFmtId="0" fontId="15" fillId="5" borderId="27" xfId="0" applyFont="1" applyFill="1" applyBorder="1"/>
    <xf numFmtId="0" fontId="15" fillId="5" borderId="21" xfId="0" applyFont="1" applyFill="1" applyBorder="1"/>
    <xf numFmtId="0" fontId="15" fillId="0" borderId="1" xfId="0" applyFont="1" applyBorder="1"/>
    <xf numFmtId="0" fontId="15" fillId="5" borderId="13" xfId="0" applyFont="1" applyFill="1" applyBorder="1"/>
    <xf numFmtId="0" fontId="15" fillId="5" borderId="14" xfId="0" applyFont="1" applyFill="1" applyBorder="1"/>
    <xf numFmtId="0" fontId="15" fillId="5" borderId="15" xfId="0" applyFont="1" applyFill="1" applyBorder="1"/>
    <xf numFmtId="176" fontId="16" fillId="0" borderId="7" xfId="0" applyNumberFormat="1" applyFont="1" applyBorder="1" applyAlignment="1">
      <alignment horizontal="center" vertical="center"/>
    </xf>
    <xf numFmtId="0" fontId="15" fillId="0" borderId="8" xfId="0" applyFont="1" applyBorder="1"/>
    <xf numFmtId="0" fontId="16" fillId="0" borderId="8" xfId="0" applyFont="1" applyBorder="1"/>
    <xf numFmtId="177" fontId="16" fillId="0" borderId="9" xfId="0" applyNumberFormat="1" applyFont="1" applyBorder="1"/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/>
    <xf numFmtId="0" fontId="14" fillId="0" borderId="13" xfId="0" applyFont="1" applyBorder="1" applyAlignment="1">
      <alignment horizontal="center" vertical="center"/>
    </xf>
    <xf numFmtId="0" fontId="16" fillId="0" borderId="14" xfId="0" applyFont="1" applyBorder="1"/>
    <xf numFmtId="177" fontId="16" fillId="0" borderId="14" xfId="0" applyNumberFormat="1" applyFont="1" applyBorder="1"/>
    <xf numFmtId="0" fontId="23" fillId="5" borderId="11" xfId="0" applyFont="1" applyFill="1" applyBorder="1"/>
    <xf numFmtId="176" fontId="16" fillId="0" borderId="28" xfId="0" applyNumberFormat="1" applyFont="1" applyBorder="1" applyAlignment="1">
      <alignment horizontal="center" vertical="center"/>
    </xf>
    <xf numFmtId="0" fontId="16" fillId="0" borderId="29" xfId="0" applyFont="1" applyBorder="1"/>
    <xf numFmtId="0" fontId="16" fillId="0" borderId="30" xfId="0" applyFont="1" applyBorder="1"/>
    <xf numFmtId="0" fontId="1" fillId="0" borderId="0" xfId="1" applyAlignment="1">
      <alignment horizontal="left" vertical="top"/>
    </xf>
    <xf numFmtId="0" fontId="1" fillId="0" borderId="0" xfId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wrapText="1"/>
    </xf>
    <xf numFmtId="0" fontId="1" fillId="0" borderId="0" xfId="1" applyAlignment="1">
      <alignment vertical="top"/>
    </xf>
    <xf numFmtId="178" fontId="16" fillId="5" borderId="19" xfId="0" applyNumberFormat="1" applyFont="1" applyFill="1" applyBorder="1"/>
    <xf numFmtId="0" fontId="1" fillId="0" borderId="0" xfId="2" applyAlignment="1">
      <alignment horizontal="left" vertical="top"/>
    </xf>
    <xf numFmtId="0" fontId="15" fillId="6" borderId="0" xfId="0" applyFont="1" applyFill="1"/>
    <xf numFmtId="0" fontId="14" fillId="2" borderId="0" xfId="0" applyFont="1" applyFill="1" applyAlignment="1">
      <alignment horizontal="center" vertical="center"/>
    </xf>
    <xf numFmtId="179" fontId="16" fillId="5" borderId="19" xfId="0" applyNumberFormat="1" applyFont="1" applyFill="1" applyBorder="1"/>
    <xf numFmtId="180" fontId="16" fillId="0" borderId="6" xfId="0" applyNumberFormat="1" applyFont="1" applyBorder="1"/>
    <xf numFmtId="180" fontId="16" fillId="0" borderId="9" xfId="0" applyNumberFormat="1" applyFont="1" applyBorder="1"/>
    <xf numFmtId="0" fontId="28" fillId="0" borderId="0" xfId="0" applyFont="1"/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5" fillId="0" borderId="0" xfId="0" applyFont="1"/>
    <xf numFmtId="179" fontId="15" fillId="5" borderId="19" xfId="0" applyNumberFormat="1" applyFont="1" applyFill="1" applyBorder="1"/>
    <xf numFmtId="0" fontId="16" fillId="7" borderId="1" xfId="0" applyFont="1" applyFill="1" applyBorder="1"/>
    <xf numFmtId="0" fontId="16" fillId="5" borderId="1" xfId="0" applyFont="1" applyFill="1" applyBorder="1"/>
    <xf numFmtId="0" fontId="15" fillId="7" borderId="1" xfId="0" applyFont="1" applyFill="1" applyBorder="1"/>
    <xf numFmtId="0" fontId="15" fillId="8" borderId="1" xfId="0" applyFont="1" applyFill="1" applyBorder="1"/>
    <xf numFmtId="0" fontId="15" fillId="5" borderId="1" xfId="0" applyFont="1" applyFill="1" applyBorder="1"/>
    <xf numFmtId="176" fontId="16" fillId="7" borderId="5" xfId="0" applyNumberFormat="1" applyFont="1" applyFill="1" applyBorder="1" applyAlignment="1">
      <alignment horizontal="center" vertical="center"/>
    </xf>
    <xf numFmtId="176" fontId="16" fillId="9" borderId="5" xfId="0" applyNumberFormat="1" applyFont="1" applyFill="1" applyBorder="1" applyAlignment="1">
      <alignment horizontal="center" vertical="center"/>
    </xf>
    <xf numFmtId="0" fontId="15" fillId="9" borderId="1" xfId="0" applyFont="1" applyFill="1" applyBorder="1"/>
    <xf numFmtId="176" fontId="16" fillId="5" borderId="5" xfId="0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1" fontId="15" fillId="0" borderId="16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" fillId="0" borderId="0" xfId="2" applyAlignment="1">
      <alignment horizontal="center" vertical="top"/>
    </xf>
    <xf numFmtId="0" fontId="33" fillId="0" borderId="0" xfId="2" applyFont="1" applyAlignment="1">
      <alignment horizontal="center" vertical="top"/>
    </xf>
    <xf numFmtId="0" fontId="16" fillId="9" borderId="1" xfId="0" applyFont="1" applyFill="1" applyBorder="1"/>
  </cellXfs>
  <cellStyles count="3">
    <cellStyle name="Hyperlink" xfId="1" xr:uid="{00000000-000B-0000-0000-000008000000}"/>
    <cellStyle name="一般" xfId="0" builtinId="0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dropbox.com/scl/fo/t8tnkya00xiq3q8f84nim/AKiu6yMe-jElVFgnz50X3PU?rlkey=7sr1leknpm78n888qkgkjk2j5&amp;st=22prsoqt&amp;dl=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ropbox.com/scl/fo/t8tnkya00xiq3q8f84nim/AKiu6yMe-jElVFgnz50X3PU?rlkey=7sr1leknpm78n888qkgkjk2j5&amp;st=22prsoqt&amp;dl=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dropbox.com/scl/fo/t8tnkya00xiq3q8f84nim/AKiu6yMe-jElVFgnz50X3PU?rlkey=7sr1leknpm78n888qkgkjk2j5&amp;st=22prsoqt&amp;dl=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dropbox.com/scl/fo/t8tnkya00xiq3q8f84nim/AKiu6yMe-jElVFgnz50X3PU?rlkey=7sr1leknpm78n888qkgkjk2j5&amp;st=22prsoqt&amp;dl=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dropbox.com/scl/fo/pqk3dd0zrblqdt1jcufrm/AGkvM_U5oiKPLKlbKE3lasg?rlkey=cwawjgy6e4j2j8ktj9y1iwkzf&amp;st=w7yx62p7&amp;dl=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i/2x95hplja9jrt217qyiwu/0712.jpg?rlkey=rvrrp69exfld2e8mqlj3y21cx&amp;st=qz8c5wdi&amp;dl=0" TargetMode="External"/><Relationship Id="rId13" Type="http://schemas.openxmlformats.org/officeDocument/2006/relationships/hyperlink" Target="https://www.dropbox.com/scl/fi/ufej140ex17gl3nfu3da8/0719.jpg?rlkey=vrnj6ykau3gfti31yb5xwim4v&amp;st=f5jxf0w3&amp;dl=0" TargetMode="External"/><Relationship Id="rId18" Type="http://schemas.openxmlformats.org/officeDocument/2006/relationships/hyperlink" Target="https://www.dropbox.com/scl/fi/vs81xps90ngrqcflkh8wj/0722.jpg?rlkey=x0pa64a2yq6kfthd4uu2wd400&amp;dl=0" TargetMode="External"/><Relationship Id="rId26" Type="http://schemas.openxmlformats.org/officeDocument/2006/relationships/hyperlink" Target="https://www.dropbox.com/scl/fi/dt4f4fyarg5n7pafly763/0729.jpg?rlkey=dt8j8ulnm7ecjbhhdzcxs8qos&amp;dl=0" TargetMode="External"/><Relationship Id="rId3" Type="http://schemas.openxmlformats.org/officeDocument/2006/relationships/hyperlink" Target="https://www.dropbox.com/scl/fi/0083vdfd2v4fcviu4vef4/0703.jpg?rlkey=l2b6f5pniugyffxdrmtdloj5a&amp;st=pnxh53su&amp;dl=0" TargetMode="External"/><Relationship Id="rId21" Type="http://schemas.openxmlformats.org/officeDocument/2006/relationships/hyperlink" Target="../../../../../Roaming/Microsoft/Excel/&#24977;&#35657;/2407&#24977;&#35657;/&#26376;&#32080;&#65288;&#38283;&#20803;&#65289;/0716.jpg" TargetMode="External"/><Relationship Id="rId7" Type="http://schemas.openxmlformats.org/officeDocument/2006/relationships/hyperlink" Target="https://www.dropbox.com/scl/fi/xa8smjl89l360vbgp023h/0713.jpg?rlkey=ekta7qemvrnnikbfeq2fehrx3&amp;st=e3fw6y7o&amp;dl=0" TargetMode="External"/><Relationship Id="rId12" Type="http://schemas.openxmlformats.org/officeDocument/2006/relationships/hyperlink" Target="https://www.dropbox.com/scl/fi/4hz6avfik2l2gfbt335sa/0717.jpg?rlkey=3pzq082r0v5d8umgmm8zfiim9&amp;st=20chmodf&amp;dl=0" TargetMode="External"/><Relationship Id="rId17" Type="http://schemas.openxmlformats.org/officeDocument/2006/relationships/hyperlink" Target="https://www.dropbox.com/scl/fi/fqk9qi1lrh4qvem0or04e/0718.jpg?rlkey=s4oc29ngezlbxd31oz3gw54br&amp;dl=0" TargetMode="External"/><Relationship Id="rId25" Type="http://schemas.openxmlformats.org/officeDocument/2006/relationships/hyperlink" Target="https://www.dropbox.com/scl/fi/qqz58gh9n9rrnoz5f3som/0729.jpg?rlkey=tnlb0ilesirnu0b0yk9kas677&amp;dl=0" TargetMode="External"/><Relationship Id="rId2" Type="http://schemas.openxmlformats.org/officeDocument/2006/relationships/hyperlink" Target="https://www.dropbox.com/scl/fi/1teeh82kpvg5q41pret3t/0703.jpg?rlkey=sg73rksl7s23pvy9ibbur84pb&amp;st=zgjtlrd1&amp;dl=0" TargetMode="External"/><Relationship Id="rId16" Type="http://schemas.openxmlformats.org/officeDocument/2006/relationships/hyperlink" Target="https://www.dropbox.com/scl/fi/dw945ms2tomo7s8zpuem4/0715.jpg?rlkey=yd7vrh01e2xu8nwjaj6ltaayu&amp;dl=0" TargetMode="External"/><Relationship Id="rId20" Type="http://schemas.openxmlformats.org/officeDocument/2006/relationships/hyperlink" Target="../../../../../Roaming/Microsoft/Excel/&#24977;&#35657;/2407&#24977;&#35657;/0722&#21654;&#21857;&#35910;.jpg" TargetMode="External"/><Relationship Id="rId29" Type="http://schemas.openxmlformats.org/officeDocument/2006/relationships/printerSettings" Target="../printerSettings/printerSettings14.bin"/><Relationship Id="rId1" Type="http://schemas.openxmlformats.org/officeDocument/2006/relationships/hyperlink" Target="https://www.dropbox.com/scl/fi/f37wtj2lfu1e5vc21nbh1/0702.jpg?rlkey=2mt1otav5w5cski7p1pakv4nq&amp;st=kgh4gcww&amp;dl=0" TargetMode="External"/><Relationship Id="rId6" Type="http://schemas.openxmlformats.org/officeDocument/2006/relationships/hyperlink" Target="https://www.dropbox.com/scl/fi/g7rh076swu6oazb2cbtdy/0708.jpg?rlkey=pqw50u2e344ka7apj1i99yuh0&amp;st=8askox5p&amp;dl=0" TargetMode="External"/><Relationship Id="rId11" Type="http://schemas.openxmlformats.org/officeDocument/2006/relationships/hyperlink" Target="https://www.dropbox.com/scl/fi/gm1zgcnd5c5ual2ytcqec/0711.jpg?rlkey=pvbl7km8fitifvz1amdnx24sj&amp;st=33cjm47n&amp;dl=0" TargetMode="External"/><Relationship Id="rId24" Type="http://schemas.openxmlformats.org/officeDocument/2006/relationships/hyperlink" Target="https://www.dropbox.com/scl/fi/p0cof3hd4zbenvys1ue3m/0730.jpg?rlkey=93b31q9a1drxyqoh2cdh6s1jm&amp;dl=0" TargetMode="External"/><Relationship Id="rId5" Type="http://schemas.openxmlformats.org/officeDocument/2006/relationships/hyperlink" Target="https://www.dropbox.com/scl/fi/ip83lmlu1sku6s7vaafsh/0709.jpg?rlkey=hpyncx140u02nxz6mosk3yuvt&amp;st=edhaeo2n&amp;dl=0" TargetMode="External"/><Relationship Id="rId15" Type="http://schemas.openxmlformats.org/officeDocument/2006/relationships/hyperlink" Target="https://www.dropbox.com/scl/fi/2hfdg0s4t1juu7t75loye/0715.jpg?rlkey=j62zgtfaz3qabyuv9v2yyf5wl&amp;dl=0" TargetMode="External"/><Relationship Id="rId23" Type="http://schemas.openxmlformats.org/officeDocument/2006/relationships/hyperlink" Target="https://www.dropbox.com/scl/fi/jbgd00p71jt4sfwfta4vl/0730.jpg?rlkey=lcqay8n6zqjsi2o2wh7id72vw&amp;dl=0" TargetMode="External"/><Relationship Id="rId28" Type="http://schemas.openxmlformats.org/officeDocument/2006/relationships/hyperlink" Target="https://www.dropbox.com/scl/fi/p2yjsqdn14emyeqpsmlty/0728.jpg?rlkey=jp82iceps6objn8n23vwtri9q&amp;dl=0" TargetMode="External"/><Relationship Id="rId10" Type="http://schemas.openxmlformats.org/officeDocument/2006/relationships/hyperlink" Target="https://www.dropbox.com/scl/fi/vz3o90z42a8s311att168/0711.jpg?rlkey=gr7g07syvhe3vs52mh58r9s3u&amp;st=7tgtpn41&amp;dl=0" TargetMode="External"/><Relationship Id="rId19" Type="http://schemas.openxmlformats.org/officeDocument/2006/relationships/hyperlink" Target="../../../../../Roaming/Microsoft/Excel/&#24977;&#35657;/2407&#24977;&#35657;/0722&#20809;&#27849;.jpg" TargetMode="External"/><Relationship Id="rId4" Type="http://schemas.openxmlformats.org/officeDocument/2006/relationships/hyperlink" Target="https://www.dropbox.com/scl/fi/x7nypq1dlg8pmvo8bt2s3/0705.jpg?rlkey=c1w8vm0b7xvqyyd6jyf159ui1&amp;st=ul1ueqv0&amp;dl=0" TargetMode="External"/><Relationship Id="rId9" Type="http://schemas.openxmlformats.org/officeDocument/2006/relationships/hyperlink" Target="https://www.dropbox.com/scl/fi/p1gnidk5y189qw8tp5gk2/0712.jpg?rlkey=jtum7bdl6a6184qjc4e70i3ok&amp;st=ks5mr3oi&amp;dl=0" TargetMode="External"/><Relationship Id="rId14" Type="http://schemas.openxmlformats.org/officeDocument/2006/relationships/hyperlink" Target="https://www.dropbox.com/scl/fi/w06ag8ru1myttp5yx7smu/0720.jpg?rlkey=yy5kk5uetgte7zjj8h1ht79hi&amp;st=yew6ee26&amp;dl=0" TargetMode="External"/><Relationship Id="rId22" Type="http://schemas.openxmlformats.org/officeDocument/2006/relationships/hyperlink" Target="../../../../../Roaming/Microsoft/Excel/&#24977;&#35657;/2407&#24977;&#35657;/0724&#20809;&#27849;.jpg" TargetMode="External"/><Relationship Id="rId27" Type="http://schemas.openxmlformats.org/officeDocument/2006/relationships/hyperlink" Target="https://www.dropbox.com/scl/fi/cexmtiyih9kcxjej6ddhp/0728.jpg?rlkey=klvhqhzzhoutverahdkh8sd4c&amp;dl=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ropbox.com/scl/fi/l542gud9mr0pe7uhgfxe1/0610.jpg?rlkey=9duo0uyptfd504jzf9fz7fide&amp;st=q9ht2hf8&amp;dl=0" TargetMode="External"/><Relationship Id="rId18" Type="http://schemas.openxmlformats.org/officeDocument/2006/relationships/hyperlink" Target="https://www.dropbox.com/scl/fi/pmsyuq81qdhbz3z6wvlpc/0615.jpg?rlkey=wzlbjdy9w0y40ru37wmglxyp7&amp;st=n0r955kn&amp;dl=0" TargetMode="External"/><Relationship Id="rId26" Type="http://schemas.openxmlformats.org/officeDocument/2006/relationships/hyperlink" Target="https://www.dropbox.com/scl/fi/nnherz4kzqq7q8dfooh1k/0619.jpg?rlkey=390ynswuusd6ppizg352bwed3&amp;st=sriua7gd&amp;dl=0" TargetMode="External"/><Relationship Id="rId21" Type="http://schemas.openxmlformats.org/officeDocument/2006/relationships/hyperlink" Target="https://www.dropbox.com/scl/fi/muafpevtyip3fgjakqa1g/0616.jpg?rlkey=2gy71op8zeyctvgdzzvq2ps8f&amp;st=a80y2cid&amp;dl=0" TargetMode="External"/><Relationship Id="rId34" Type="http://schemas.openxmlformats.org/officeDocument/2006/relationships/hyperlink" Target="https://www.dropbox.com/scl/fi/8h6n0t5m996jb3nwz3eq5/0625.jpg?rlkey=bemlm3g989bttv60bgwab1b4d&amp;st=e1do8hv8&amp;dl=0" TargetMode="External"/><Relationship Id="rId7" Type="http://schemas.openxmlformats.org/officeDocument/2006/relationships/hyperlink" Target="https://www.dropbox.com/scl/fi/6kjrr8u24o5yj6ujw3rok/240605-1.jpg?rlkey=7s3p0su8ky0zivj1e4en9rvc6&amp;st=byilqpjp&amp;dl=0" TargetMode="External"/><Relationship Id="rId12" Type="http://schemas.openxmlformats.org/officeDocument/2006/relationships/hyperlink" Target="https://www.dropbox.com/scl/fi/gbjmjmqbp6d31vfsic6k0/0611.jpg?rlkey=hte8f03outh5v0gvwpznjxcm0&amp;st=a6febn1q&amp;dl=0" TargetMode="External"/><Relationship Id="rId17" Type="http://schemas.openxmlformats.org/officeDocument/2006/relationships/hyperlink" Target="https://www.dropbox.com/scl/fi/8jh1oo7d1s9j6u01dj5cy/0614.jpg?rlkey=pi0cf5ag8ms5nnv4j8iwcrtr3&amp;st=ltqqdsab&amp;dl=0" TargetMode="External"/><Relationship Id="rId25" Type="http://schemas.openxmlformats.org/officeDocument/2006/relationships/hyperlink" Target="https://www.dropbox.com/scl/fi/ud1zd3vfrj4n03wg9pa29/0618.jpg?rlkey=htoj0iunxf0ke0ye2tsv0ntco&amp;st=lhxwgax2&amp;dl=0" TargetMode="External"/><Relationship Id="rId33" Type="http://schemas.openxmlformats.org/officeDocument/2006/relationships/hyperlink" Target="https://www.dropbox.com/scl/fi/j84m3892a0ar9v71ql2nw/0627.jpg?rlkey=7pzt77lm0yubjk82ksb5d5juq&amp;st=u4jyuyom&amp;dl=0" TargetMode="External"/><Relationship Id="rId38" Type="http://schemas.openxmlformats.org/officeDocument/2006/relationships/comments" Target="../comments3.xml"/><Relationship Id="rId2" Type="http://schemas.openxmlformats.org/officeDocument/2006/relationships/hyperlink" Target="https://www.dropbox.com/scl/fi/w3h4v59f02hcv4f296hz1/240605.jpg?rlkey=ldvc4qxrdyvlgoh59zjp4vpqo&amp;st=dqkb9oja&amp;dl=0" TargetMode="External"/><Relationship Id="rId16" Type="http://schemas.openxmlformats.org/officeDocument/2006/relationships/hyperlink" Target="https://www.dropbox.com/scl/fi/j5d7bvr4dxggbxx9a1n87/0614.jpg?rlkey=hao8ndzqr7cszyjdty9d3d4kx&amp;st=2fw8m5fu&amp;dl=0" TargetMode="External"/><Relationship Id="rId20" Type="http://schemas.openxmlformats.org/officeDocument/2006/relationships/hyperlink" Target="https://www.dropbox.com/scl/fi/x23ef5twyeyopgjlwvzh0/0616.jpg?rlkey=zvcqt5zmj9agh3285n378al56&amp;st=hruq5ir1&amp;dl=0" TargetMode="External"/><Relationship Id="rId29" Type="http://schemas.openxmlformats.org/officeDocument/2006/relationships/hyperlink" Target="https://www.dropbox.com/scl/fi/xto9pc59fwk182cxznlre/0621.jpg?rlkey=epi9bo4bvkyd9jo82mzzwpps3&amp;st=30s3n14n&amp;dl=0" TargetMode="External"/><Relationship Id="rId1" Type="http://schemas.openxmlformats.org/officeDocument/2006/relationships/hyperlink" Target="https://www.dropbox.com/scl/fi/tafa1m54mxs38s1b4wnzz/240603.jpg?rlkey=8cue1cq1yx0rpowj0jn0p4s63&amp;st=he6geces&amp;dl=0" TargetMode="External"/><Relationship Id="rId6" Type="http://schemas.openxmlformats.org/officeDocument/2006/relationships/hyperlink" Target="https://www.dropbox.com/scl/fi/b6mfu6bb3jy261c2vxx97/240605.jpg?rlkey=0rcyxpplh4z45riknores8ank&amp;st=vgb6pa9a&amp;dl=0" TargetMode="External"/><Relationship Id="rId11" Type="http://schemas.openxmlformats.org/officeDocument/2006/relationships/hyperlink" Target="https://www.dropbox.com/scl/fi/osnl4l68us6mdel9akwn1/240607.jpg?rlkey=pw04hop75ve5bbitqb7ol99f6&amp;st=cflby9wd&amp;dl=0" TargetMode="External"/><Relationship Id="rId24" Type="http://schemas.openxmlformats.org/officeDocument/2006/relationships/hyperlink" Target="https://www.dropbox.com/scl/fi/ndsah5sdbzrwj73fessip/0617.jpg?rlkey=jrs8o1ybmc0u2ni390ma7dfzo&amp;st=yvrq3mau&amp;dl=0" TargetMode="External"/><Relationship Id="rId32" Type="http://schemas.openxmlformats.org/officeDocument/2006/relationships/hyperlink" Target="https://www.dropbox.com/scl/fi/e8nfrih7wnenesibdnxha/0626.jpg?rlkey=i2930mxy6ckvfy6jpzv8hpe7f&amp;st=wj6qucvf&amp;dl=0" TargetMode="External"/><Relationship Id="rId37" Type="http://schemas.openxmlformats.org/officeDocument/2006/relationships/vmlDrawing" Target="../drawings/vmlDrawing3.vml"/><Relationship Id="rId5" Type="http://schemas.openxmlformats.org/officeDocument/2006/relationships/hyperlink" Target="https://www.dropbox.com/scl/fi/ghhvvoo2ootvhp2u4y8xm/240605.jpg?rlkey=7blahaiwozur3rdq5moq7yw8y&amp;st=52xapn5s&amp;dl=0" TargetMode="External"/><Relationship Id="rId15" Type="http://schemas.openxmlformats.org/officeDocument/2006/relationships/hyperlink" Target="https://www.dropbox.com/scl/fi/re5zw750kmqj7c07gag2q/0614.jpg?rlkey=zonbc0ek9gc3cc6trld5kbm2z&amp;st=tc73qf86&amp;dl=0" TargetMode="External"/><Relationship Id="rId23" Type="http://schemas.openxmlformats.org/officeDocument/2006/relationships/hyperlink" Target="https://www.dropbox.com/scl/fi/k3yozb4aflx7jrh9wzrkn/0617.jpg?rlkey=g6mykgf5w6d5egj86d01okz1j&amp;st=wmdhemra&amp;dl=0" TargetMode="External"/><Relationship Id="rId28" Type="http://schemas.openxmlformats.org/officeDocument/2006/relationships/hyperlink" Target="https://www.dropbox.com/scl/fi/jwv0ntur3zyr9kffuw6bc/0620.jpg?rlkey=0weofrdbloh866kbpvqp2vj1c&amp;st=2vyjbwj8&amp;dl=0" TargetMode="External"/><Relationship Id="rId36" Type="http://schemas.openxmlformats.org/officeDocument/2006/relationships/printerSettings" Target="../printerSettings/printerSettings16.bin"/><Relationship Id="rId10" Type="http://schemas.openxmlformats.org/officeDocument/2006/relationships/hyperlink" Target="https://www.dropbox.com/scl/fi/yzw0p0wa7fkpy3p3zfm3b/240604.jpg?rlkey=rw7b97i9fnd7c6o2076sayfbt&amp;st=ytpojyvg&amp;dl=0" TargetMode="External"/><Relationship Id="rId19" Type="http://schemas.openxmlformats.org/officeDocument/2006/relationships/hyperlink" Target="https://www.dropbox.com/scl/fi/qyxugf41m97ti0aek492h/0615.jpg?rlkey=nqdigxxrd5w4w0e4cvsdn6jl6&amp;st=jabj7wdd&amp;dl=0" TargetMode="External"/><Relationship Id="rId31" Type="http://schemas.openxmlformats.org/officeDocument/2006/relationships/hyperlink" Target="https://www.dropbox.com/scl/fi/7bm6n999hqlzmj921ye35/0624.jpg?rlkey=ch5yr3u83c8fh38nktrqupq1w&amp;st=um0q7phl&amp;dl=0" TargetMode="External"/><Relationship Id="rId4" Type="http://schemas.openxmlformats.org/officeDocument/2006/relationships/hyperlink" Target="https://www.dropbox.com/scl/fi/lvicelxczmqtqww1xq8o8/240605.jpg?rlkey=ykoldkohknee6h2fp613ot9d9&amp;st=ief85qba&amp;dl=0" TargetMode="External"/><Relationship Id="rId9" Type="http://schemas.openxmlformats.org/officeDocument/2006/relationships/hyperlink" Target="https://www.dropbox.com/scl/fi/fqdalzbwtnxg9bl0fjke5/240606.jpg?rlkey=0i3v564c0t3klaefwae2l6b00&amp;st=q57s6rzv&amp;dl=0" TargetMode="External"/><Relationship Id="rId14" Type="http://schemas.openxmlformats.org/officeDocument/2006/relationships/hyperlink" Target="https://www.dropbox.com/scl/fi/t57ic8hq6rcavczw7rlu8/0611.jpg?rlkey=lo2xc5ofbyavluvue9tu29v1f&amp;st=9gbs8c8m&amp;dl=0" TargetMode="External"/><Relationship Id="rId22" Type="http://schemas.openxmlformats.org/officeDocument/2006/relationships/hyperlink" Target="https://www.dropbox.com/scl/fi/jn540pf76ckyk7krmy6aw/0616.jpg?rlkey=zlswczt4oeoybbmjgvqleiftn&amp;st=jt2irbdm&amp;dl=0" TargetMode="External"/><Relationship Id="rId27" Type="http://schemas.openxmlformats.org/officeDocument/2006/relationships/hyperlink" Target="https://www.dropbox.com/scl/fi/qgc5vo9utg3fle8mkespp/0618.jpg?rlkey=cvq0edbembmgqx0vdp7q4yyfe&amp;st=xei0qo29&amp;dl=0" TargetMode="External"/><Relationship Id="rId30" Type="http://schemas.openxmlformats.org/officeDocument/2006/relationships/hyperlink" Target="https://www.dropbox.com/scl/fi/2c5soplmw8gqjvz3fonno/0622.jpg?rlkey=o3039j5wvpvnkzknb2zev6k6e&amp;st=slgsg694&amp;dl=0" TargetMode="External"/><Relationship Id="rId35" Type="http://schemas.openxmlformats.org/officeDocument/2006/relationships/hyperlink" Target="https://www.dropbox.com/scl/fi/zbgoykxiki8wvrku6e9w5/0628.jpg?rlkey=gddy2lfdt74mgandkxwravvoc&amp;st=ks9imy66&amp;dl=0" TargetMode="External"/><Relationship Id="rId8" Type="http://schemas.openxmlformats.org/officeDocument/2006/relationships/hyperlink" Target="https://www.dropbox.com/scl/fi/93egtph7h0iiqikf0gk4a/250604.jpg?rlkey=jifu4gyix6rjp6hgbirri3e74&amp;st=lmnyrplw&amp;dl=0" TargetMode="External"/><Relationship Id="rId3" Type="http://schemas.openxmlformats.org/officeDocument/2006/relationships/hyperlink" Target="https://www.dropbox.com/scl/fi/ofezvcz6fom9k175j19wy/240605.jpg?rlkey=2ku0bncs16m5stknqizveo0ao&amp;st=2ifvtcsj&amp;dl=0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i/i0qo2rxbs4w3ekq4i1xh8/0508.JPG?rlkey=38kjrm0u8bggyolh4mfh9mbr3&amp;dl=0" TargetMode="External"/><Relationship Id="rId13" Type="http://schemas.openxmlformats.org/officeDocument/2006/relationships/hyperlink" Target="https://www.dropbox.com/scl/fi/oek0be864ee8qnefvwtf9/240514.jpg?rlkey=x8pnxfk0ylc6tsm1p6vv8u7it&amp;st=vi6vnvsh&amp;dl=0" TargetMode="External"/><Relationship Id="rId18" Type="http://schemas.openxmlformats.org/officeDocument/2006/relationships/hyperlink" Target="https://www.dropbox.com/scl/fi/f250d4yncu471o5re03v5/240522.png?rlkey=kfvvzzbxov3tyjkjxiwl7n1qp&amp;st=zambzv3p&amp;dl=0" TargetMode="External"/><Relationship Id="rId26" Type="http://schemas.openxmlformats.org/officeDocument/2006/relationships/hyperlink" Target="https://www.dropbox.com/scl/fi/nya0xmdgxuh4zhu8authb/240528.png?rlkey=zxx3bsggzvntnfnal76i0p4ge&amp;st=620mf5f8&amp;dl=0" TargetMode="External"/><Relationship Id="rId3" Type="http://schemas.openxmlformats.org/officeDocument/2006/relationships/hyperlink" Target="https://www.dropbox.com/scl/fi/odoys4y331uvkmkwpwkox/3.png?rlkey=1jc5nhoqe6gl7rvwhtik42jrt&amp;st=xlgl6yus&amp;dl=0" TargetMode="External"/><Relationship Id="rId21" Type="http://schemas.openxmlformats.org/officeDocument/2006/relationships/hyperlink" Target="https://www.dropbox.com/scl/fi/et1nwmpv8f5zxzpo2sx0c/240528.jpg?rlkey=266dmo3iaot0yruy6sreyapjc&amp;st=na2m5qyu&amp;dl=0" TargetMode="External"/><Relationship Id="rId7" Type="http://schemas.openxmlformats.org/officeDocument/2006/relationships/hyperlink" Target="https://www.dropbox.com/scl/fi/cpqqh8dx88c96wgak7593/0508.jpg?rlkey=287m8556j1nhz8oyocckkg805&amp;dl=0" TargetMode="External"/><Relationship Id="rId12" Type="http://schemas.openxmlformats.org/officeDocument/2006/relationships/hyperlink" Target="https://www.dropbox.com/scl/fi/0hggckgfnq8fznoc4w5qd/240513.jpg?rlkey=cbo8bf1r25m8x5636wh8tj7du&amp;st=kkpoux2b&amp;dl=0" TargetMode="External"/><Relationship Id="rId17" Type="http://schemas.openxmlformats.org/officeDocument/2006/relationships/hyperlink" Target="https://www.dropbox.com/scl/fi/338rubzzdmusvr02o7v1b/2405222.png?rlkey=keojapzq52zdie76utpec045j&amp;e=1&amp;dl=0" TargetMode="External"/><Relationship Id="rId25" Type="http://schemas.openxmlformats.org/officeDocument/2006/relationships/hyperlink" Target="https://www.dropbox.com/scl/fi/heij4gkw3cq7ej2s12ac4/240520.png?rlkey=kn6112ol1u6sliji6jvcwzuar&amp;st=aas3pqlc&amp;dl=0" TargetMode="External"/><Relationship Id="rId2" Type="http://schemas.openxmlformats.org/officeDocument/2006/relationships/hyperlink" Target="https://www.dropbox.com/scl/fi/x0vw07cdpp8gvkq4qoprb/0507.png?rlkey=67mp4w6ib45yos0bzef42dvb9&amp;dl=0" TargetMode="External"/><Relationship Id="rId16" Type="http://schemas.openxmlformats.org/officeDocument/2006/relationships/hyperlink" Target="https://www.dropbox.com/scl/fi/987m92zyotg5dtb8v8662/240515-2.png?rlkey=kep6stxmwmlner76vy24uj6bn&amp;dl=0" TargetMode="External"/><Relationship Id="rId20" Type="http://schemas.openxmlformats.org/officeDocument/2006/relationships/hyperlink" Target="https://www.dropbox.com/scl/fi/1u8qh9bqif0wqcgx2iubr/240527.jpg?rlkey=h94i4i16qrjk9eygq13oo8bq1&amp;st=5lljuksw&amp;dl=0" TargetMode="External"/><Relationship Id="rId29" Type="http://schemas.openxmlformats.org/officeDocument/2006/relationships/printerSettings" Target="../printerSettings/printerSettings18.bin"/><Relationship Id="rId1" Type="http://schemas.openxmlformats.org/officeDocument/2006/relationships/hyperlink" Target="https://www.dropbox.com/preview/%E4%B8%8A%E5%93%81%E8%81%8A%E9%96%A3/%E5%B8%B3%E5%8B%99/%E6%86%91%E8%AD%89/S__14417955.jpeg" TargetMode="External"/><Relationship Id="rId6" Type="http://schemas.openxmlformats.org/officeDocument/2006/relationships/hyperlink" Target="https://www.dropbox.com/scl/fi/l07pir3r78rsnlya851sy/4.png?rlkey=pr86m2jatr5dwk4pmqiwy742x&amp;st=fypfzeqk&amp;dl=0" TargetMode="External"/><Relationship Id="rId11" Type="http://schemas.openxmlformats.org/officeDocument/2006/relationships/hyperlink" Target="https://www.dropbox.com/scl/fi/kqkuzsala63pcyzjkzpm0/240513.jpg?rlkey=odrj6yn5bqi8g8k4ixev19c7o&amp;st=pcu6jp30&amp;dl=0" TargetMode="External"/><Relationship Id="rId24" Type="http://schemas.openxmlformats.org/officeDocument/2006/relationships/hyperlink" Target="https://www.dropbox.com/scl/fi/nbm6w9etgoav9t8nkjsq8/240531.jpg?rlkey=0s86i2rn39oqvr9yqd1tdv2u2&amp;st=at04u9xe&amp;dl=0" TargetMode="External"/><Relationship Id="rId5" Type="http://schemas.openxmlformats.org/officeDocument/2006/relationships/hyperlink" Target="https://www.dropbox.com/scl/fi/g8a3tkxyyn9jgxyj564je/4.png?rlkey=e4pczjzdundtmgexbuvksbtrk&amp;st=pwo14eiz&amp;dl=0" TargetMode="External"/><Relationship Id="rId15" Type="http://schemas.openxmlformats.org/officeDocument/2006/relationships/hyperlink" Target="https://www.dropbox.com/scl/fi/xna0y2z7zq3fbstydqmb3/240515-1.png?rlkey=bzedgq8bueoruqtub2vyj0knm&amp;dl=0" TargetMode="External"/><Relationship Id="rId23" Type="http://schemas.openxmlformats.org/officeDocument/2006/relationships/hyperlink" Target="https://www.dropbox.com/scl/fi/fpz8817rq4owdspo0202x/240531.jpg?rlkey=po0pfy3a4jghao7x9gv78dtrn&amp;st=oofutx50&amp;dl=0" TargetMode="External"/><Relationship Id="rId28" Type="http://schemas.openxmlformats.org/officeDocument/2006/relationships/hyperlink" Target="https://www.dropbox.com/scl/fi/ie0kj7d5try9lwyd7y2gg/240520.jpg?rlkey=pytj4ityv5dzhnkwaf8rhngpt&amp;st=xu4y31bs&amp;dl=0" TargetMode="External"/><Relationship Id="rId10" Type="http://schemas.openxmlformats.org/officeDocument/2006/relationships/hyperlink" Target="https://www.dropbox.com/scl/fi/nw734w4wn7pvxmhwd4ove/240510.jpg?rlkey=c77trvy0emz5idc3p56t3826h&amp;st=ms5p5pa1&amp;dl=0" TargetMode="External"/><Relationship Id="rId19" Type="http://schemas.openxmlformats.org/officeDocument/2006/relationships/hyperlink" Target="https://www.dropbox.com/scl/fi/egjhw5ivw255hohy7p8xf/240522.png?rlkey=k1pe2jj26sdy1pnuj7gthtt1s&amp;st=ztujpa8w&amp;dl=0" TargetMode="External"/><Relationship Id="rId4" Type="http://schemas.openxmlformats.org/officeDocument/2006/relationships/hyperlink" Target="https://www.dropbox.com/scl/fi/odoys4y331uvkmkwpwkox/3.png?rlkey=1jc5nhoqe6gl7rvwhtik42jrt&amp;st=xlgl6yus&amp;dl=0" TargetMode="External"/><Relationship Id="rId9" Type="http://schemas.openxmlformats.org/officeDocument/2006/relationships/hyperlink" Target="https://www.dropbox.com/scl/fi/rnz72q8molnt9awu5ypin/2024-5-9-22-19-20.jpg?rlkey=g4e6oeskplnslyqake71pt88g&amp;st=zzxcw4ab&amp;dl=0" TargetMode="External"/><Relationship Id="rId14" Type="http://schemas.openxmlformats.org/officeDocument/2006/relationships/hyperlink" Target="https://www.dropbox.com/scl/fi/sy9wd8c2qt7yx50df8h3j/240515.jpg?rlkey=wc7mke7sxm1q3r9c45r2po83u&amp;st=mk6lbs3u&amp;dl=0" TargetMode="External"/><Relationship Id="rId22" Type="http://schemas.openxmlformats.org/officeDocument/2006/relationships/hyperlink" Target="https://www.dropbox.com/scl/fi/yu310nao664fr3ffiyt3x/240517POS.png?rlkey=8znf0veb411hrkwcclm3hh5gp&amp;st=emqo5bd7&amp;dl=0" TargetMode="External"/><Relationship Id="rId27" Type="http://schemas.openxmlformats.org/officeDocument/2006/relationships/hyperlink" Target="https://www.dropbox.com/scl/fi/p1rsavcazf7vtvqeftm4s/240524.jpg?rlkey=aujfg1673mqqy849e3edgrwf9&amp;st=3knr2kun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C573-B56A-4C99-8536-AB1AB49EDF31}">
  <sheetPr>
    <outlinePr summaryBelow="0" summaryRight="0"/>
  </sheetPr>
  <dimension ref="A1:AA1004"/>
  <sheetViews>
    <sheetView tabSelected="1" zoomScale="66" zoomScaleNormal="56" zoomScaleSheetLayoutView="100" workbookViewId="0">
      <pane ySplit="2" topLeftCell="A3" activePane="bottomLeft" state="frozen"/>
      <selection activeCell="B1" sqref="B1"/>
      <selection pane="bottomLeft" activeCell="L5" sqref="L5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0.33203125" style="13" customWidth="1"/>
    <col min="7" max="7" width="17" style="13" bestFit="1" customWidth="1"/>
    <col min="8" max="8" width="10.33203125" style="13" bestFit="1" customWidth="1"/>
    <col min="9" max="9" width="12.109375" style="13" customWidth="1"/>
    <col min="10" max="10" width="8.33203125" style="13" customWidth="1"/>
    <col min="11" max="12" width="12.33203125" style="13" customWidth="1"/>
    <col min="13" max="13" width="15.33203125" style="13" bestFit="1" customWidth="1"/>
    <col min="14" max="14" width="15.109375" style="13" customWidth="1"/>
    <col min="15" max="16384" width="12.33203125" style="13"/>
  </cols>
  <sheetData>
    <row r="1" spans="1:27" ht="28.2" customHeight="1" thickBot="1">
      <c r="A1" s="98" t="s">
        <v>0</v>
      </c>
      <c r="B1" s="99"/>
      <c r="C1" s="99"/>
      <c r="D1" s="99"/>
      <c r="E1" s="99"/>
      <c r="F1" s="99"/>
      <c r="G1" s="99"/>
      <c r="H1" s="99"/>
      <c r="I1" s="100"/>
      <c r="K1" s="101"/>
      <c r="L1" s="102"/>
      <c r="M1" s="102"/>
      <c r="N1" s="102"/>
      <c r="O1" s="102"/>
    </row>
    <row r="2" spans="1:27">
      <c r="A2" s="27" t="s">
        <v>1</v>
      </c>
      <c r="B2" s="28" t="s">
        <v>2</v>
      </c>
      <c r="C2" s="28" t="s">
        <v>3</v>
      </c>
      <c r="D2" s="28" t="s">
        <v>239</v>
      </c>
      <c r="E2" s="28" t="s">
        <v>5</v>
      </c>
      <c r="F2" s="28" t="s">
        <v>226</v>
      </c>
      <c r="G2" s="28" t="s">
        <v>6</v>
      </c>
      <c r="H2" s="28" t="s">
        <v>7</v>
      </c>
      <c r="I2" s="29" t="s">
        <v>8</v>
      </c>
      <c r="J2" s="30"/>
      <c r="K2" s="31"/>
      <c r="L2" s="67" t="s">
        <v>9</v>
      </c>
      <c r="M2" s="32" t="s">
        <v>10</v>
      </c>
      <c r="N2" s="32" t="s">
        <v>11</v>
      </c>
      <c r="O2" s="33" t="s">
        <v>12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>
      <c r="A3" s="97">
        <v>45658</v>
      </c>
      <c r="B3" s="90">
        <v>4635</v>
      </c>
      <c r="C3" s="90">
        <v>4280</v>
      </c>
      <c r="D3" s="35">
        <v>100</v>
      </c>
      <c r="E3" s="35">
        <v>295</v>
      </c>
      <c r="F3" s="35"/>
      <c r="G3" s="35"/>
      <c r="H3" s="35">
        <f>'2501費用明細憑證'!E3</f>
        <v>5840</v>
      </c>
      <c r="I3" s="82">
        <f>B3-C3-D3-E3-F3-G3-H3+5840</f>
        <v>-40</v>
      </c>
      <c r="J3" s="37"/>
      <c r="K3" s="38" t="s">
        <v>13</v>
      </c>
      <c r="L3" s="39">
        <f>C27+C24+C21+C18+C15+C12+C9+C6</f>
        <v>38890</v>
      </c>
      <c r="M3" s="40">
        <v>11170</v>
      </c>
      <c r="N3" s="39">
        <f>L3-M3</f>
        <v>27720</v>
      </c>
      <c r="O3" s="41">
        <f>N3-(H36/2)</f>
        <v>19016.833333333336</v>
      </c>
    </row>
    <row r="4" spans="1:27">
      <c r="A4" s="97">
        <v>45659</v>
      </c>
      <c r="B4" s="90">
        <v>4940</v>
      </c>
      <c r="C4" s="90">
        <v>3735</v>
      </c>
      <c r="D4" s="35">
        <v>290</v>
      </c>
      <c r="E4" s="35">
        <v>135</v>
      </c>
      <c r="F4" s="35">
        <v>735</v>
      </c>
      <c r="G4" s="35">
        <v>125</v>
      </c>
      <c r="H4" s="35">
        <f>'2501費用明細憑證'!E4</f>
        <v>0</v>
      </c>
      <c r="I4" s="82">
        <f>B4-C4-D4-E4-F4-G4-H4</f>
        <v>-80</v>
      </c>
      <c r="J4" s="37"/>
      <c r="K4" s="38" t="s">
        <v>14</v>
      </c>
      <c r="L4" s="39">
        <f>C3+C4+C5+C7+C8+C10+C11+C13+C14+C16+C17+C19+C20+C22+C23+C25+C26+C28</f>
        <v>77810</v>
      </c>
      <c r="M4" s="81">
        <f>60000+10020</f>
        <v>70020</v>
      </c>
      <c r="N4" s="88">
        <f>L4-M4</f>
        <v>7790</v>
      </c>
      <c r="O4" s="41">
        <f>N4+N6-H36-H36</f>
        <v>-14713.666666666664</v>
      </c>
    </row>
    <row r="5" spans="1:27">
      <c r="A5" s="97">
        <v>45660</v>
      </c>
      <c r="B5" s="90">
        <v>5375</v>
      </c>
      <c r="C5" s="90">
        <v>2815</v>
      </c>
      <c r="D5" s="35">
        <v>840</v>
      </c>
      <c r="E5" s="35">
        <v>55</v>
      </c>
      <c r="F5" s="35"/>
      <c r="G5" s="35"/>
      <c r="H5" s="35">
        <f>'2501費用明細憑證'!E5</f>
        <v>1750</v>
      </c>
      <c r="I5" s="82">
        <f>B5-C5-D5-E5-F5-G5-H5</f>
        <v>-85</v>
      </c>
      <c r="J5" s="37"/>
      <c r="K5" s="38" t="s">
        <v>15</v>
      </c>
      <c r="L5" s="39">
        <f>C9</f>
        <v>4400</v>
      </c>
      <c r="M5" s="39"/>
      <c r="N5" s="39">
        <f>L5-M5</f>
        <v>4400</v>
      </c>
      <c r="O5" s="42">
        <f>N5-(H36/2)</f>
        <v>-4303.1666666666661</v>
      </c>
    </row>
    <row r="6" spans="1:27">
      <c r="A6" s="97">
        <v>45661</v>
      </c>
      <c r="B6" s="90">
        <v>6850</v>
      </c>
      <c r="C6" s="89">
        <v>6100</v>
      </c>
      <c r="D6" s="35">
        <v>265</v>
      </c>
      <c r="E6" s="35">
        <v>40</v>
      </c>
      <c r="F6" s="35"/>
      <c r="G6" s="35"/>
      <c r="H6" s="35">
        <f>'2501費用明細憑證'!E6</f>
        <v>11170</v>
      </c>
      <c r="I6" s="82">
        <f>B6-C6-D6-E6-F6-G6-H6+11170</f>
        <v>445</v>
      </c>
      <c r="J6" s="37"/>
      <c r="K6" s="43" t="s">
        <v>16</v>
      </c>
      <c r="L6" s="44">
        <v>12309</v>
      </c>
      <c r="M6" s="44"/>
      <c r="N6" s="44">
        <f>L6-M6</f>
        <v>12309</v>
      </c>
      <c r="O6" s="45"/>
    </row>
    <row r="7" spans="1:27">
      <c r="A7" s="97">
        <v>45662</v>
      </c>
      <c r="B7" s="90">
        <v>7730</v>
      </c>
      <c r="C7" s="90">
        <v>7005</v>
      </c>
      <c r="D7" s="35">
        <v>705</v>
      </c>
      <c r="E7" s="35">
        <v>40</v>
      </c>
      <c r="F7" s="35"/>
      <c r="G7" s="35"/>
      <c r="H7" s="35">
        <f>'2501費用明細憑證'!E7</f>
        <v>0</v>
      </c>
      <c r="I7" s="82">
        <f t="shared" ref="I7:I28" si="0">B7-C7-D7-E7-F7-G7-H7</f>
        <v>-20</v>
      </c>
      <c r="J7" s="37"/>
      <c r="K7" s="46" t="s">
        <v>17</v>
      </c>
      <c r="L7" s="47"/>
      <c r="M7" s="47"/>
      <c r="N7" s="48">
        <f>'2409費用明細憑證'!E33</f>
        <v>0</v>
      </c>
      <c r="O7" s="49"/>
    </row>
    <row r="8" spans="1:27">
      <c r="A8" s="97">
        <v>45663</v>
      </c>
      <c r="B8" s="90">
        <v>4910</v>
      </c>
      <c r="C8" s="90">
        <v>3082</v>
      </c>
      <c r="D8" s="35">
        <v>510</v>
      </c>
      <c r="E8" s="35">
        <v>455</v>
      </c>
      <c r="F8" s="35"/>
      <c r="G8" s="35">
        <v>125</v>
      </c>
      <c r="H8" s="35">
        <f>'2501費用明細憑證'!E8</f>
        <v>795</v>
      </c>
      <c r="I8" s="82">
        <f t="shared" si="0"/>
        <v>-57</v>
      </c>
      <c r="J8" s="37"/>
      <c r="K8" s="50" t="s">
        <v>18</v>
      </c>
      <c r="L8" s="51"/>
      <c r="M8" s="51"/>
      <c r="N8" s="51">
        <f>SUM(N3:N6)+M7</f>
        <v>52219</v>
      </c>
      <c r="O8" s="52"/>
    </row>
    <row r="9" spans="1:27">
      <c r="A9" s="97">
        <v>45664</v>
      </c>
      <c r="B9" s="90">
        <v>5245</v>
      </c>
      <c r="C9" s="110">
        <v>4400</v>
      </c>
      <c r="D9" s="35">
        <v>835</v>
      </c>
      <c r="E9" s="35">
        <v>70</v>
      </c>
      <c r="F9" s="35"/>
      <c r="G9" s="35"/>
      <c r="H9" s="35">
        <f>'2501費用明細憑證'!E9</f>
        <v>0</v>
      </c>
      <c r="I9" s="82">
        <f t="shared" si="0"/>
        <v>-60</v>
      </c>
      <c r="J9" s="37"/>
      <c r="K9" s="38" t="s">
        <v>19</v>
      </c>
      <c r="L9" s="39"/>
      <c r="M9" s="39"/>
      <c r="N9" s="39">
        <v>6000</v>
      </c>
      <c r="O9" s="53"/>
    </row>
    <row r="10" spans="1:27" ht="16.2" thickBot="1">
      <c r="A10" s="97">
        <v>45665</v>
      </c>
      <c r="B10" s="93">
        <v>4245</v>
      </c>
      <c r="C10" s="93">
        <v>3425</v>
      </c>
      <c r="D10" s="54">
        <v>735</v>
      </c>
      <c r="E10" s="54">
        <v>155</v>
      </c>
      <c r="F10" s="54"/>
      <c r="G10" s="54"/>
      <c r="H10" s="35">
        <f>'2501費用明細憑證'!E10</f>
        <v>1590</v>
      </c>
      <c r="I10" s="82">
        <f t="shared" si="0"/>
        <v>-1660</v>
      </c>
      <c r="J10" s="37"/>
      <c r="K10" s="55" t="s">
        <v>20</v>
      </c>
      <c r="L10" s="56"/>
      <c r="M10" s="56"/>
      <c r="N10" s="56">
        <f>SUM(N8:N9)</f>
        <v>58219</v>
      </c>
      <c r="O10" s="57"/>
    </row>
    <row r="11" spans="1:27">
      <c r="A11" s="97">
        <v>45666</v>
      </c>
      <c r="B11" s="93">
        <v>3530</v>
      </c>
      <c r="C11" s="93">
        <v>3220</v>
      </c>
      <c r="D11" s="54">
        <v>130</v>
      </c>
      <c r="E11" s="54">
        <v>205</v>
      </c>
      <c r="F11" s="54"/>
      <c r="G11" s="54"/>
      <c r="H11" s="35">
        <f>'2501費用明細憑證'!E11</f>
        <v>0</v>
      </c>
      <c r="I11" s="82">
        <f t="shared" si="0"/>
        <v>-25</v>
      </c>
      <c r="J11" s="37"/>
    </row>
    <row r="12" spans="1:27">
      <c r="A12" s="97">
        <v>45667</v>
      </c>
      <c r="B12" s="93">
        <v>5340</v>
      </c>
      <c r="C12" s="91">
        <v>3300</v>
      </c>
      <c r="D12" s="54">
        <v>1050</v>
      </c>
      <c r="E12" s="54">
        <v>185</v>
      </c>
      <c r="F12" s="54">
        <v>300</v>
      </c>
      <c r="G12" s="54"/>
      <c r="H12" s="35">
        <f>'2501費用明細憑證'!E12</f>
        <v>768</v>
      </c>
      <c r="I12" s="82">
        <f t="shared" si="0"/>
        <v>-263</v>
      </c>
      <c r="J12" s="37"/>
    </row>
    <row r="13" spans="1:27">
      <c r="A13" s="97">
        <v>45668</v>
      </c>
      <c r="B13" s="93">
        <v>4245</v>
      </c>
      <c r="C13" s="93">
        <v>4000</v>
      </c>
      <c r="D13" s="54">
        <v>245</v>
      </c>
      <c r="E13" s="54">
        <v>40</v>
      </c>
      <c r="F13" s="54"/>
      <c r="G13" s="54"/>
      <c r="H13" s="35">
        <f>'2501費用明細憑證'!E13</f>
        <v>0</v>
      </c>
      <c r="I13" s="82">
        <f t="shared" si="0"/>
        <v>-40</v>
      </c>
      <c r="J13" s="37"/>
      <c r="K13" s="30" t="s">
        <v>182</v>
      </c>
    </row>
    <row r="14" spans="1:27">
      <c r="A14" s="97">
        <v>45669</v>
      </c>
      <c r="B14" s="93">
        <v>7269</v>
      </c>
      <c r="C14" s="93">
        <v>5780</v>
      </c>
      <c r="D14" s="54">
        <v>540</v>
      </c>
      <c r="E14" s="54">
        <v>90</v>
      </c>
      <c r="F14" s="54">
        <v>900</v>
      </c>
      <c r="G14" s="54"/>
      <c r="H14" s="35">
        <f>'2501費用明細憑證'!E14</f>
        <v>0</v>
      </c>
      <c r="I14" s="82">
        <f t="shared" si="0"/>
        <v>-41</v>
      </c>
      <c r="J14" s="37"/>
      <c r="K14" s="84" t="s">
        <v>180</v>
      </c>
    </row>
    <row r="15" spans="1:27">
      <c r="A15" s="97">
        <v>45670</v>
      </c>
      <c r="B15" s="93">
        <v>4280</v>
      </c>
      <c r="C15" s="91">
        <v>3480</v>
      </c>
      <c r="D15" s="54">
        <v>295</v>
      </c>
      <c r="E15" s="54">
        <v>545</v>
      </c>
      <c r="F15" s="54"/>
      <c r="G15" s="54"/>
      <c r="H15" s="35">
        <f>'2501費用明細憑證'!E15</f>
        <v>530</v>
      </c>
      <c r="I15" s="82">
        <f t="shared" si="0"/>
        <v>-570</v>
      </c>
      <c r="J15" s="37"/>
      <c r="K15" s="13" t="s">
        <v>181</v>
      </c>
    </row>
    <row r="16" spans="1:27">
      <c r="A16" s="97">
        <v>45671</v>
      </c>
      <c r="B16" s="93">
        <v>5640</v>
      </c>
      <c r="C16" s="93">
        <v>5260</v>
      </c>
      <c r="D16" s="54">
        <v>350</v>
      </c>
      <c r="E16" s="54">
        <v>55</v>
      </c>
      <c r="F16" s="54"/>
      <c r="G16" s="54"/>
      <c r="H16" s="35">
        <f>'2501費用明細憑證'!E16</f>
        <v>0</v>
      </c>
      <c r="I16" s="82">
        <f t="shared" si="0"/>
        <v>-25</v>
      </c>
      <c r="J16" s="37"/>
    </row>
    <row r="17" spans="1:16">
      <c r="A17" s="97">
        <v>45672</v>
      </c>
      <c r="B17" s="93">
        <v>4520</v>
      </c>
      <c r="C17" s="93">
        <v>3800</v>
      </c>
      <c r="D17" s="54">
        <v>500</v>
      </c>
      <c r="E17" s="54">
        <v>45</v>
      </c>
      <c r="F17" s="54">
        <v>210</v>
      </c>
      <c r="G17" s="54"/>
      <c r="H17" s="35">
        <f>'2501費用明細憑證'!E17</f>
        <v>60530</v>
      </c>
      <c r="I17" s="82">
        <f>B17-C17-D17-E17-F17-G17-H17+60000</f>
        <v>-565</v>
      </c>
      <c r="J17" s="37"/>
    </row>
    <row r="18" spans="1:16">
      <c r="A18" s="97">
        <v>45673</v>
      </c>
      <c r="B18" s="93">
        <v>4305</v>
      </c>
      <c r="C18" s="91">
        <v>3500</v>
      </c>
      <c r="D18" s="54">
        <v>70</v>
      </c>
      <c r="E18" s="54">
        <v>55</v>
      </c>
      <c r="F18" s="54"/>
      <c r="G18" s="54"/>
      <c r="H18" s="35">
        <f>'2501費用明細憑證'!E18</f>
        <v>0</v>
      </c>
      <c r="I18" s="82">
        <f t="shared" si="0"/>
        <v>680</v>
      </c>
    </row>
    <row r="19" spans="1:16">
      <c r="A19" s="97">
        <v>45674</v>
      </c>
      <c r="B19" s="93">
        <v>6165</v>
      </c>
      <c r="C19" s="93">
        <v>4514</v>
      </c>
      <c r="D19" s="54">
        <v>630</v>
      </c>
      <c r="E19" s="54">
        <v>240</v>
      </c>
      <c r="F19" s="54"/>
      <c r="G19" s="54"/>
      <c r="H19" s="35">
        <f>'2501費用明細憑證'!E19</f>
        <v>795</v>
      </c>
      <c r="I19" s="82">
        <f>B19-C19-D19-E19-F19-G19-H19</f>
        <v>-14</v>
      </c>
      <c r="O19" s="13" t="s">
        <v>184</v>
      </c>
    </row>
    <row r="20" spans="1:16">
      <c r="A20" s="97">
        <v>45675</v>
      </c>
      <c r="B20" s="93">
        <v>6810</v>
      </c>
      <c r="C20" s="93">
        <v>5105</v>
      </c>
      <c r="D20" s="54">
        <v>420</v>
      </c>
      <c r="E20" s="54">
        <v>1030</v>
      </c>
      <c r="F20" s="54">
        <v>210</v>
      </c>
      <c r="G20" s="54">
        <v>85</v>
      </c>
      <c r="H20" s="35">
        <f>'2501費用明細憑證'!E20</f>
        <v>0</v>
      </c>
      <c r="I20" s="82">
        <f>B20-C20-D20-E20-F20-G20-H20</f>
        <v>-40</v>
      </c>
      <c r="P20" s="93">
        <v>4514</v>
      </c>
    </row>
    <row r="21" spans="1:16">
      <c r="A21" s="97">
        <v>45676</v>
      </c>
      <c r="B21" s="93">
        <v>7165</v>
      </c>
      <c r="C21" s="91">
        <v>6810</v>
      </c>
      <c r="D21" s="54">
        <v>885</v>
      </c>
      <c r="E21" s="54">
        <v>40</v>
      </c>
      <c r="F21" s="54"/>
      <c r="G21" s="54"/>
      <c r="H21" s="35">
        <f>'2501費用明細憑證'!E21</f>
        <v>0</v>
      </c>
      <c r="I21" s="82">
        <f>B21-C21-D21-E21-F21-G21-H21</f>
        <v>-570</v>
      </c>
      <c r="P21" s="93">
        <v>5105</v>
      </c>
    </row>
    <row r="22" spans="1:16">
      <c r="A22" s="97">
        <v>45677</v>
      </c>
      <c r="B22" s="93">
        <v>6275</v>
      </c>
      <c r="C22" s="93">
        <v>4605</v>
      </c>
      <c r="D22" s="54">
        <v>555</v>
      </c>
      <c r="E22" s="54">
        <v>95</v>
      </c>
      <c r="F22" s="54">
        <v>265</v>
      </c>
      <c r="G22" s="54"/>
      <c r="H22" s="35">
        <f>'2501費用明細憑證'!E22</f>
        <v>795</v>
      </c>
      <c r="I22" s="82">
        <f>B22-C22-D22-E22-F22-G22-H22</f>
        <v>-40</v>
      </c>
      <c r="P22" s="93">
        <v>6810</v>
      </c>
    </row>
    <row r="23" spans="1:16">
      <c r="A23" s="97">
        <v>45678</v>
      </c>
      <c r="B23" s="93">
        <v>3480</v>
      </c>
      <c r="C23" s="93">
        <v>3220</v>
      </c>
      <c r="D23" s="54">
        <v>265</v>
      </c>
      <c r="E23" s="54">
        <v>80</v>
      </c>
      <c r="F23" s="54"/>
      <c r="G23" s="54"/>
      <c r="H23" s="35">
        <f>'2501費用明細憑證'!E23</f>
        <v>0</v>
      </c>
      <c r="I23" s="82">
        <f>B23-C23-D23-E23-F23-G23-H23</f>
        <v>-85</v>
      </c>
      <c r="P23" s="93">
        <v>4605</v>
      </c>
    </row>
    <row r="24" spans="1:16">
      <c r="A24" s="97">
        <v>45679</v>
      </c>
      <c r="B24" s="93">
        <v>6295</v>
      </c>
      <c r="C24" s="91">
        <v>4800</v>
      </c>
      <c r="D24" s="54">
        <v>980</v>
      </c>
      <c r="E24" s="54">
        <v>110</v>
      </c>
      <c r="F24" s="54"/>
      <c r="G24" s="54"/>
      <c r="H24" s="35">
        <f>'2501費用明細憑證'!E24</f>
        <v>795</v>
      </c>
      <c r="I24" s="82">
        <f>B24-C24-D24-E24-F24-G24-H24</f>
        <v>-390</v>
      </c>
      <c r="P24" s="93">
        <v>3220</v>
      </c>
    </row>
    <row r="25" spans="1:16">
      <c r="A25" s="97">
        <v>45680</v>
      </c>
      <c r="B25" s="93">
        <v>5870</v>
      </c>
      <c r="C25" s="93">
        <v>5221</v>
      </c>
      <c r="D25" s="54">
        <v>660</v>
      </c>
      <c r="E25" s="54">
        <v>100</v>
      </c>
      <c r="F25" s="54"/>
      <c r="G25" s="54"/>
      <c r="H25" s="35">
        <f>'2501費用明細憑證'!E25</f>
        <v>0</v>
      </c>
      <c r="I25" s="82">
        <f>B25-C25-D25-E25-F25-G25-H25</f>
        <v>-111</v>
      </c>
      <c r="P25" s="93">
        <v>4800</v>
      </c>
    </row>
    <row r="26" spans="1:16">
      <c r="A26" s="97">
        <v>45681</v>
      </c>
      <c r="B26" s="93">
        <v>7385</v>
      </c>
      <c r="C26" s="93">
        <v>5008</v>
      </c>
      <c r="D26" s="54">
        <v>1030</v>
      </c>
      <c r="E26" s="54">
        <v>40</v>
      </c>
      <c r="F26" s="54">
        <v>560</v>
      </c>
      <c r="G26" s="54"/>
      <c r="H26" s="35">
        <f>'2501費用明細憑證'!E26</f>
        <v>795</v>
      </c>
      <c r="I26" s="82">
        <f>B26-C26-D26-E26-F26-G26-H26</f>
        <v>-48</v>
      </c>
      <c r="P26" s="93">
        <v>5221</v>
      </c>
    </row>
    <row r="27" spans="1:16">
      <c r="A27" s="97">
        <v>45682</v>
      </c>
      <c r="B27" s="93">
        <v>6637</v>
      </c>
      <c r="C27" s="91">
        <v>6500</v>
      </c>
      <c r="D27" s="54">
        <v>395</v>
      </c>
      <c r="E27" s="54">
        <v>115</v>
      </c>
      <c r="F27" s="54"/>
      <c r="G27" s="54"/>
      <c r="H27" s="35">
        <f>'2501費用明細憑證'!E27</f>
        <v>0</v>
      </c>
      <c r="I27" s="82">
        <f>B27-C27-D27-E27-F27-G27-H27</f>
        <v>-373</v>
      </c>
      <c r="P27" s="93">
        <v>5008</v>
      </c>
    </row>
    <row r="28" spans="1:16">
      <c r="A28" s="97">
        <v>45683</v>
      </c>
      <c r="B28" s="93">
        <v>4400</v>
      </c>
      <c r="C28" s="90">
        <v>3735</v>
      </c>
      <c r="D28" s="54">
        <v>560</v>
      </c>
      <c r="E28" s="54">
        <v>140</v>
      </c>
      <c r="F28" s="54"/>
      <c r="G28" s="54"/>
      <c r="H28" s="35">
        <f>'2501費用明細憑證'!E28</f>
        <v>0</v>
      </c>
      <c r="I28" s="82">
        <f>B28-C28-D28-E28-F28-G28-H28</f>
        <v>-35</v>
      </c>
      <c r="P28" s="93">
        <v>6500</v>
      </c>
    </row>
    <row r="29" spans="1:16">
      <c r="A29" s="97">
        <v>45684</v>
      </c>
      <c r="B29" s="93"/>
      <c r="C29" s="93"/>
      <c r="D29" s="54"/>
      <c r="E29" s="54"/>
      <c r="F29" s="54"/>
      <c r="G29" s="54"/>
      <c r="H29" s="35">
        <f>'2501費用明細憑證'!E29</f>
        <v>0</v>
      </c>
      <c r="I29" s="82">
        <f t="shared" ref="I8:I33" si="1">B29-C29-D29-E29-F29-G29-H29</f>
        <v>0</v>
      </c>
      <c r="P29" s="90">
        <v>3735</v>
      </c>
    </row>
    <row r="30" spans="1:16">
      <c r="A30" s="97">
        <v>45685</v>
      </c>
      <c r="B30" s="93"/>
      <c r="C30" s="93"/>
      <c r="D30" s="54"/>
      <c r="E30" s="54"/>
      <c r="F30" s="54"/>
      <c r="G30" s="54"/>
      <c r="H30" s="35">
        <f>'2501費用明細憑證'!E30</f>
        <v>0</v>
      </c>
      <c r="I30" s="82">
        <f t="shared" si="1"/>
        <v>0</v>
      </c>
    </row>
    <row r="31" spans="1:16">
      <c r="A31" s="97">
        <v>45686</v>
      </c>
      <c r="B31" s="93"/>
      <c r="C31" s="93"/>
      <c r="D31" s="54"/>
      <c r="E31" s="54"/>
      <c r="F31" s="54"/>
      <c r="G31" s="54"/>
      <c r="H31" s="35">
        <f>'2501費用明細憑證'!E31</f>
        <v>0</v>
      </c>
      <c r="I31" s="82">
        <f t="shared" si="1"/>
        <v>0</v>
      </c>
    </row>
    <row r="32" spans="1:16">
      <c r="A32" s="97">
        <v>45687</v>
      </c>
      <c r="B32" s="93"/>
      <c r="C32" s="93"/>
      <c r="D32" s="54"/>
      <c r="E32" s="54"/>
      <c r="F32" s="54"/>
      <c r="G32" s="54"/>
      <c r="H32" s="35">
        <f>'2501費用明細憑證'!E32</f>
        <v>0</v>
      </c>
      <c r="I32" s="82">
        <f t="shared" si="1"/>
        <v>0</v>
      </c>
    </row>
    <row r="33" spans="1:10">
      <c r="A33" s="97">
        <v>45688</v>
      </c>
      <c r="B33" s="93"/>
      <c r="C33" s="93"/>
      <c r="D33" s="54"/>
      <c r="E33" s="54"/>
      <c r="F33" s="54"/>
      <c r="G33" s="54"/>
      <c r="H33" s="35">
        <f>'2501費用明細憑證'!E33</f>
        <v>0</v>
      </c>
      <c r="I33" s="82">
        <f t="shared" si="1"/>
        <v>0</v>
      </c>
    </row>
    <row r="34" spans="1:10" ht="16.2" thickBot="1">
      <c r="A34" s="34"/>
      <c r="B34" s="54"/>
      <c r="C34" s="54">
        <f>SUM(C3:C33)</f>
        <v>116700</v>
      </c>
      <c r="D34" s="54">
        <f>SUM(D3:D33)</f>
        <v>13840</v>
      </c>
      <c r="E34" s="54">
        <f>SUM(E3:E33)</f>
        <v>4455</v>
      </c>
      <c r="F34" s="54"/>
      <c r="G34" s="54"/>
      <c r="H34" s="35"/>
      <c r="I34" s="82"/>
    </row>
    <row r="35" spans="1:10">
      <c r="A35" s="62" t="s">
        <v>21</v>
      </c>
      <c r="B35" s="63" t="s">
        <v>22</v>
      </c>
      <c r="C35" s="63" t="s">
        <v>23</v>
      </c>
      <c r="D35" s="63" t="s">
        <v>24</v>
      </c>
      <c r="E35" s="63"/>
      <c r="F35" s="63"/>
      <c r="G35" s="63" t="s">
        <v>25</v>
      </c>
      <c r="H35" s="103" t="s">
        <v>26</v>
      </c>
      <c r="I35" s="104"/>
      <c r="J35" s="37"/>
    </row>
    <row r="36" spans="1:10" ht="16.2" thickBot="1">
      <c r="A36" s="64" t="s">
        <v>27</v>
      </c>
      <c r="B36" s="65">
        <f>SUM(B3:B34)</f>
        <v>143541</v>
      </c>
      <c r="C36" s="65">
        <f>'2501費用明細憑證'!E34</f>
        <v>86153</v>
      </c>
      <c r="D36" s="65">
        <f>B36-C36</f>
        <v>57388</v>
      </c>
      <c r="E36" s="65"/>
      <c r="F36" s="65"/>
      <c r="G36" s="66">
        <f>C34-C36+L6</f>
        <v>42856</v>
      </c>
      <c r="H36" s="105">
        <f>N8/3</f>
        <v>17406.333333333332</v>
      </c>
      <c r="I36" s="106"/>
      <c r="J36" s="37"/>
    </row>
    <row r="37" spans="1:10">
      <c r="A37" s="25"/>
    </row>
    <row r="38" spans="1:10">
      <c r="A38" s="25"/>
    </row>
    <row r="39" spans="1:10">
      <c r="A39" s="25"/>
    </row>
    <row r="40" spans="1:10">
      <c r="A40" s="25"/>
    </row>
    <row r="41" spans="1:10">
      <c r="A41" s="25"/>
    </row>
    <row r="42" spans="1:10">
      <c r="A42" s="25"/>
    </row>
    <row r="43" spans="1:10">
      <c r="A43" s="25"/>
    </row>
    <row r="44" spans="1:10">
      <c r="A44" s="25"/>
    </row>
    <row r="45" spans="1:10">
      <c r="A45" s="25"/>
    </row>
    <row r="46" spans="1:10">
      <c r="A46" s="25"/>
    </row>
    <row r="47" spans="1:10">
      <c r="A47" s="25"/>
    </row>
    <row r="48" spans="1:10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  <row r="1004" spans="1:1">
      <c r="A1004" s="25"/>
    </row>
  </sheetData>
  <mergeCells count="4">
    <mergeCell ref="A1:I1"/>
    <mergeCell ref="K1:O1"/>
    <mergeCell ref="H35:I35"/>
    <mergeCell ref="H36:I36"/>
  </mergeCells>
  <phoneticPr fontId="5" type="noConversion"/>
  <dataValidations count="1">
    <dataValidation type="list" allowBlank="1" showErrorMessage="1" sqref="K2" xr:uid="{A72BE843-3D13-414A-814E-2C25E84B3806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8166-C5B1-4224-9BF7-446AAD894615}">
  <sheetPr>
    <outlinePr summaryBelow="0" summaryRight="0"/>
  </sheetPr>
  <dimension ref="A1:AA1004"/>
  <sheetViews>
    <sheetView zoomScale="56" zoomScaleNormal="56" zoomScaleSheetLayoutView="100" workbookViewId="0">
      <pane ySplit="2" topLeftCell="A3" activePane="bottomLeft" state="frozen"/>
      <selection activeCell="B1" sqref="B1"/>
      <selection pane="bottomLeft" activeCell="O4" sqref="O4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0.33203125" style="13" customWidth="1"/>
    <col min="7" max="7" width="17" style="13" bestFit="1" customWidth="1"/>
    <col min="8" max="8" width="10.33203125" style="13" bestFit="1" customWidth="1"/>
    <col min="9" max="9" width="12.109375" style="13" customWidth="1"/>
    <col min="10" max="10" width="8.33203125" style="13" customWidth="1"/>
    <col min="11" max="12" width="12.33203125" style="13" customWidth="1"/>
    <col min="13" max="13" width="15.33203125" style="13" bestFit="1" customWidth="1"/>
    <col min="14" max="14" width="15.109375" style="13" customWidth="1"/>
    <col min="15" max="16384" width="12.33203125" style="13"/>
  </cols>
  <sheetData>
    <row r="1" spans="1:27" ht="28.2" customHeight="1" thickBot="1">
      <c r="A1" s="98" t="s">
        <v>0</v>
      </c>
      <c r="B1" s="99"/>
      <c r="C1" s="99"/>
      <c r="D1" s="99"/>
      <c r="E1" s="99"/>
      <c r="F1" s="99"/>
      <c r="G1" s="99"/>
      <c r="H1" s="99"/>
      <c r="I1" s="100"/>
      <c r="K1" s="101"/>
      <c r="L1" s="102"/>
      <c r="M1" s="102"/>
      <c r="N1" s="102"/>
      <c r="O1" s="102"/>
    </row>
    <row r="2" spans="1:27">
      <c r="A2" s="27" t="s">
        <v>1</v>
      </c>
      <c r="B2" s="28" t="s">
        <v>2</v>
      </c>
      <c r="C2" s="28" t="s">
        <v>3</v>
      </c>
      <c r="D2" s="28" t="s">
        <v>239</v>
      </c>
      <c r="E2" s="28" t="s">
        <v>5</v>
      </c>
      <c r="F2" s="28" t="s">
        <v>226</v>
      </c>
      <c r="G2" s="28" t="s">
        <v>6</v>
      </c>
      <c r="H2" s="28" t="s">
        <v>7</v>
      </c>
      <c r="I2" s="29" t="s">
        <v>8</v>
      </c>
      <c r="J2" s="30"/>
      <c r="K2" s="31"/>
      <c r="L2" s="67" t="s">
        <v>9</v>
      </c>
      <c r="M2" s="32" t="s">
        <v>10</v>
      </c>
      <c r="N2" s="32" t="s">
        <v>11</v>
      </c>
      <c r="O2" s="33" t="s">
        <v>12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>
      <c r="A3" s="94">
        <v>45627</v>
      </c>
      <c r="B3" s="89">
        <v>7150</v>
      </c>
      <c r="C3" s="89">
        <v>5010</v>
      </c>
      <c r="D3" s="35">
        <v>2105</v>
      </c>
      <c r="E3" s="35"/>
      <c r="F3" s="35"/>
      <c r="G3" s="35"/>
      <c r="H3" s="35">
        <f>'2412費用明細憑證 '!E3</f>
        <v>0</v>
      </c>
      <c r="I3" s="82">
        <f>B3-C3-D3-E3-F3-G3-H3</f>
        <v>35</v>
      </c>
      <c r="J3" s="37"/>
      <c r="K3" s="38" t="s">
        <v>13</v>
      </c>
      <c r="L3" s="39">
        <f>C3+C4+C5+C6+C7+C8+C9+C10+C11+C12+C14+C16+C17+C18+C19+C22+C23+C28+C29+C31+C32+C33</f>
        <v>105505</v>
      </c>
      <c r="M3" s="40">
        <f>26000+14000+8125+14617+8350</f>
        <v>71092</v>
      </c>
      <c r="N3" s="39">
        <f>L3-M3</f>
        <v>34413</v>
      </c>
      <c r="O3" s="41">
        <f>N3-H36</f>
        <v>10676.333333333332</v>
      </c>
    </row>
    <row r="4" spans="1:27">
      <c r="A4" s="94">
        <v>45628</v>
      </c>
      <c r="B4" s="89">
        <v>6255</v>
      </c>
      <c r="C4" s="89">
        <v>3250</v>
      </c>
      <c r="D4" s="35">
        <v>353</v>
      </c>
      <c r="E4" s="35"/>
      <c r="F4" s="35">
        <v>425</v>
      </c>
      <c r="G4" s="35"/>
      <c r="H4" s="35">
        <f>'2412費用明細憑證 '!E4</f>
        <v>856</v>
      </c>
      <c r="I4" s="82">
        <f>B4-C4-D4-E4-F4-G4-H4</f>
        <v>1371</v>
      </c>
      <c r="J4" s="37"/>
      <c r="K4" s="38" t="s">
        <v>14</v>
      </c>
      <c r="L4" s="39">
        <f>C13+C15+C20+C21+C25+C24+C26+C27+C13</f>
        <v>36600</v>
      </c>
      <c r="M4" s="81">
        <f>34000-14617+1000+12000+790+120+560+30+5000+4000</f>
        <v>42883</v>
      </c>
      <c r="N4" s="88">
        <f>L4-M4</f>
        <v>-6283</v>
      </c>
      <c r="O4" s="41">
        <f>N4+N6-H36</f>
        <v>-3539.6666666666679</v>
      </c>
    </row>
    <row r="5" spans="1:27">
      <c r="A5" s="94">
        <v>45629</v>
      </c>
      <c r="B5" s="89">
        <v>5305</v>
      </c>
      <c r="C5" s="89">
        <v>4510</v>
      </c>
      <c r="D5" s="35">
        <v>960</v>
      </c>
      <c r="E5" s="35"/>
      <c r="F5" s="35"/>
      <c r="G5" s="35"/>
      <c r="H5" s="35">
        <f>'2412費用明細憑證 '!E5</f>
        <v>0</v>
      </c>
      <c r="I5" s="82">
        <f>B5-C5-D5-E5-F5-G5-H5</f>
        <v>-165</v>
      </c>
      <c r="J5" s="37"/>
      <c r="K5" s="38" t="s">
        <v>15</v>
      </c>
      <c r="L5" s="39">
        <f>C20</f>
        <v>4600</v>
      </c>
      <c r="M5" s="39">
        <v>-12000</v>
      </c>
      <c r="N5" s="39">
        <f>L5-M5</f>
        <v>16600</v>
      </c>
      <c r="O5" s="42">
        <f>N5-H36</f>
        <v>-7136.6666666666679</v>
      </c>
    </row>
    <row r="6" spans="1:27">
      <c r="A6" s="94">
        <v>45630</v>
      </c>
      <c r="B6" s="89">
        <v>6245</v>
      </c>
      <c r="C6" s="89">
        <v>5750</v>
      </c>
      <c r="D6" s="35">
        <v>495</v>
      </c>
      <c r="E6" s="35"/>
      <c r="F6" s="35"/>
      <c r="G6" s="35"/>
      <c r="H6" s="35">
        <f>'2412費用明細憑證 '!E6</f>
        <v>0</v>
      </c>
      <c r="I6" s="82">
        <f>B6-C6-D6-E6-F6-G6-H6</f>
        <v>0</v>
      </c>
      <c r="J6" s="37"/>
      <c r="K6" s="43" t="s">
        <v>16</v>
      </c>
      <c r="L6" s="44">
        <f>26480</f>
        <v>26480</v>
      </c>
      <c r="M6" s="44"/>
      <c r="N6" s="44">
        <f>L6-M6</f>
        <v>26480</v>
      </c>
      <c r="O6" s="45"/>
    </row>
    <row r="7" spans="1:27">
      <c r="A7" s="94">
        <v>45631</v>
      </c>
      <c r="B7" s="89">
        <v>6805</v>
      </c>
      <c r="C7" s="89">
        <v>3840</v>
      </c>
      <c r="D7" s="35">
        <v>565</v>
      </c>
      <c r="E7" s="35">
        <v>125</v>
      </c>
      <c r="F7" s="35"/>
      <c r="G7" s="35"/>
      <c r="H7" s="35">
        <f>'2412費用明細憑證 '!E7</f>
        <v>14000</v>
      </c>
      <c r="I7" s="82">
        <f>B7-C7-D7-E7-F7-G7-H7+14000</f>
        <v>2275</v>
      </c>
      <c r="J7" s="37"/>
      <c r="K7" s="46" t="s">
        <v>17</v>
      </c>
      <c r="L7" s="47"/>
      <c r="M7" s="47"/>
      <c r="N7" s="48">
        <f>'2409費用明細憑證'!E33</f>
        <v>0</v>
      </c>
      <c r="O7" s="49"/>
    </row>
    <row r="8" spans="1:27">
      <c r="A8" s="94">
        <v>45632</v>
      </c>
      <c r="B8" s="89">
        <v>6335</v>
      </c>
      <c r="C8" s="89">
        <v>5200</v>
      </c>
      <c r="D8" s="35">
        <v>500</v>
      </c>
      <c r="E8" s="35">
        <v>125</v>
      </c>
      <c r="F8" s="35">
        <v>640</v>
      </c>
      <c r="G8" s="35"/>
      <c r="H8" s="35">
        <f>'2412費用明細憑證 '!E8</f>
        <v>0</v>
      </c>
      <c r="I8" s="82">
        <f t="shared" ref="I8:I33" si="0">B8-C8-D8-E8-F8-G8-H8</f>
        <v>-130</v>
      </c>
      <c r="J8" s="37"/>
      <c r="K8" s="50" t="s">
        <v>18</v>
      </c>
      <c r="L8" s="51"/>
      <c r="M8" s="51"/>
      <c r="N8" s="51">
        <f>SUM(N3:N6)+M7</f>
        <v>71210</v>
      </c>
      <c r="O8" s="52"/>
    </row>
    <row r="9" spans="1:27">
      <c r="A9" s="94">
        <v>45633</v>
      </c>
      <c r="B9" s="89">
        <v>7765</v>
      </c>
      <c r="C9" s="89">
        <v>7350</v>
      </c>
      <c r="D9" s="35">
        <v>420</v>
      </c>
      <c r="E9" s="35">
        <v>55</v>
      </c>
      <c r="F9" s="35"/>
      <c r="G9" s="35">
        <v>155</v>
      </c>
      <c r="H9" s="35">
        <f>'2412費用明細憑證 '!E9</f>
        <v>0</v>
      </c>
      <c r="I9" s="82">
        <f t="shared" si="0"/>
        <v>-215</v>
      </c>
      <c r="J9" s="37"/>
      <c r="K9" s="38" t="s">
        <v>19</v>
      </c>
      <c r="L9" s="39"/>
      <c r="M9" s="39"/>
      <c r="N9" s="39">
        <v>6000</v>
      </c>
      <c r="O9" s="53"/>
    </row>
    <row r="10" spans="1:27" ht="16.2" thickBot="1">
      <c r="A10" s="94">
        <v>45634</v>
      </c>
      <c r="B10" s="91">
        <v>6335</v>
      </c>
      <c r="C10" s="91">
        <v>5380</v>
      </c>
      <c r="D10" s="54">
        <v>450</v>
      </c>
      <c r="E10" s="54">
        <v>0</v>
      </c>
      <c r="F10" s="54">
        <v>400</v>
      </c>
      <c r="G10" s="54"/>
      <c r="H10" s="35">
        <f>'2412費用明細憑證 '!E10</f>
        <v>500</v>
      </c>
      <c r="I10" s="82">
        <f t="shared" si="0"/>
        <v>-395</v>
      </c>
      <c r="J10" s="37"/>
      <c r="K10" s="55" t="s">
        <v>20</v>
      </c>
      <c r="L10" s="56"/>
      <c r="M10" s="56"/>
      <c r="N10" s="56">
        <f>SUM(N8:N9)</f>
        <v>77210</v>
      </c>
      <c r="O10" s="57"/>
    </row>
    <row r="11" spans="1:27">
      <c r="A11" s="94">
        <v>45635</v>
      </c>
      <c r="B11" s="91">
        <v>4420</v>
      </c>
      <c r="C11" s="91">
        <v>3000</v>
      </c>
      <c r="D11" s="54">
        <v>185</v>
      </c>
      <c r="E11" s="54">
        <v>45</v>
      </c>
      <c r="F11" s="54">
        <v>215</v>
      </c>
      <c r="G11" s="54"/>
      <c r="H11" s="35">
        <f>'2412費用明細憑證 '!E11</f>
        <v>0</v>
      </c>
      <c r="I11" s="82">
        <f t="shared" si="0"/>
        <v>975</v>
      </c>
      <c r="J11" s="37"/>
    </row>
    <row r="12" spans="1:27">
      <c r="A12" s="94">
        <v>45636</v>
      </c>
      <c r="B12" s="91">
        <v>5110</v>
      </c>
      <c r="C12" s="91">
        <v>4670</v>
      </c>
      <c r="D12" s="54">
        <v>435</v>
      </c>
      <c r="E12" s="54">
        <v>160</v>
      </c>
      <c r="F12" s="54"/>
      <c r="G12" s="54"/>
      <c r="H12" s="35">
        <f>'2412費用明細憑證 '!E12</f>
        <v>0</v>
      </c>
      <c r="I12" s="82">
        <f t="shared" si="0"/>
        <v>-155</v>
      </c>
      <c r="J12" s="37"/>
    </row>
    <row r="13" spans="1:27">
      <c r="A13" s="34">
        <v>45637</v>
      </c>
      <c r="B13" s="54">
        <v>4885</v>
      </c>
      <c r="C13" s="54">
        <v>4000</v>
      </c>
      <c r="D13" s="54">
        <v>790</v>
      </c>
      <c r="E13" s="54">
        <v>120</v>
      </c>
      <c r="F13" s="54"/>
      <c r="G13" s="54"/>
      <c r="H13" s="35">
        <f>'2412費用明細憑證 '!E13</f>
        <v>795</v>
      </c>
      <c r="I13" s="82">
        <f t="shared" si="0"/>
        <v>-820</v>
      </c>
      <c r="J13" s="37"/>
      <c r="K13" s="30" t="s">
        <v>182</v>
      </c>
    </row>
    <row r="14" spans="1:27">
      <c r="A14" s="94">
        <v>45638</v>
      </c>
      <c r="B14" s="91">
        <v>5100</v>
      </c>
      <c r="C14" s="91">
        <v>4300</v>
      </c>
      <c r="D14" s="54">
        <v>505</v>
      </c>
      <c r="E14" s="54">
        <v>0</v>
      </c>
      <c r="F14" s="54">
        <v>315</v>
      </c>
      <c r="G14" s="54"/>
      <c r="H14" s="35">
        <f>'2412費用明細憑證 '!E14</f>
        <v>0</v>
      </c>
      <c r="I14" s="82">
        <f t="shared" si="0"/>
        <v>-20</v>
      </c>
      <c r="J14" s="37"/>
      <c r="K14" s="84" t="s">
        <v>180</v>
      </c>
    </row>
    <row r="15" spans="1:27">
      <c r="A15" s="34">
        <v>45639</v>
      </c>
      <c r="B15" s="54">
        <v>4670</v>
      </c>
      <c r="C15" s="54">
        <v>3200</v>
      </c>
      <c r="D15" s="54">
        <v>1140</v>
      </c>
      <c r="E15" s="54">
        <v>70</v>
      </c>
      <c r="F15" s="54">
        <v>325</v>
      </c>
      <c r="G15" s="54"/>
      <c r="H15" s="35">
        <f>'2412費用明細憑證 '!E15</f>
        <v>0</v>
      </c>
      <c r="I15" s="82">
        <f t="shared" si="0"/>
        <v>-65</v>
      </c>
      <c r="J15" s="37"/>
      <c r="K15" s="13" t="s">
        <v>181</v>
      </c>
    </row>
    <row r="16" spans="1:27">
      <c r="A16" s="94">
        <v>45640</v>
      </c>
      <c r="B16" s="91">
        <v>6715</v>
      </c>
      <c r="C16" s="91">
        <v>5440</v>
      </c>
      <c r="D16" s="54">
        <v>1025</v>
      </c>
      <c r="E16" s="54">
        <v>346</v>
      </c>
      <c r="F16" s="54">
        <v>215</v>
      </c>
      <c r="G16" s="54"/>
      <c r="H16" s="35">
        <f>'2412費用明細憑證 '!E16</f>
        <v>4200</v>
      </c>
      <c r="I16" s="82">
        <f>B16-C16-D16-E16-F16-G16-H16+4000</f>
        <v>-511</v>
      </c>
      <c r="J16" s="37"/>
    </row>
    <row r="17" spans="1:15">
      <c r="A17" s="94">
        <v>45641</v>
      </c>
      <c r="B17" s="91">
        <v>7090</v>
      </c>
      <c r="C17" s="91">
        <v>5500</v>
      </c>
      <c r="D17" s="54">
        <v>1125</v>
      </c>
      <c r="E17" s="54">
        <v>105</v>
      </c>
      <c r="F17" s="54"/>
      <c r="G17" s="54"/>
      <c r="H17" s="35">
        <f>'2412費用明細憑證 '!E17</f>
        <v>0</v>
      </c>
      <c r="I17" s="82">
        <f t="shared" si="0"/>
        <v>360</v>
      </c>
      <c r="J17" s="37"/>
    </row>
    <row r="18" spans="1:15">
      <c r="A18" s="94">
        <v>45642</v>
      </c>
      <c r="B18" s="91">
        <v>7755</v>
      </c>
      <c r="C18" s="91">
        <v>6105</v>
      </c>
      <c r="D18" s="54">
        <v>590</v>
      </c>
      <c r="E18" s="54">
        <v>0</v>
      </c>
      <c r="F18" s="54"/>
      <c r="G18" s="54"/>
      <c r="H18" s="35">
        <f>'2412費用明細憑證 '!E18</f>
        <v>61060</v>
      </c>
      <c r="I18" s="82">
        <f>B18-C18-D18-E18-F18-G18-H18+60000</f>
        <v>0</v>
      </c>
    </row>
    <row r="19" spans="1:15">
      <c r="A19" s="94">
        <v>45643</v>
      </c>
      <c r="B19" s="91">
        <v>6145</v>
      </c>
      <c r="C19" s="91">
        <v>5500</v>
      </c>
      <c r="D19" s="54">
        <v>615</v>
      </c>
      <c r="E19" s="54">
        <v>130</v>
      </c>
      <c r="F19" s="54"/>
      <c r="G19" s="54">
        <v>355</v>
      </c>
      <c r="H19" s="35">
        <f>'2412費用明細憑證 '!E19</f>
        <v>8350</v>
      </c>
      <c r="I19" s="82">
        <f>B19-C19-D19-E19-F19-G19-H19+8350</f>
        <v>-455</v>
      </c>
      <c r="O19" s="13" t="s">
        <v>184</v>
      </c>
    </row>
    <row r="20" spans="1:15">
      <c r="A20" s="34">
        <v>45644</v>
      </c>
      <c r="B20" s="54">
        <v>4955</v>
      </c>
      <c r="C20" s="54">
        <v>4600</v>
      </c>
      <c r="D20" s="54">
        <v>295</v>
      </c>
      <c r="E20" s="54">
        <v>0</v>
      </c>
      <c r="F20" s="54"/>
      <c r="G20" s="54"/>
      <c r="H20" s="35">
        <f>'2412費用明細憑證 '!E20</f>
        <v>0</v>
      </c>
      <c r="I20" s="82">
        <f>B20-C20-D20-E20-F20-G20-H20</f>
        <v>60</v>
      </c>
    </row>
    <row r="21" spans="1:15">
      <c r="A21" s="34">
        <v>45645</v>
      </c>
      <c r="B21" s="54">
        <v>5850</v>
      </c>
      <c r="C21" s="54">
        <v>3800</v>
      </c>
      <c r="D21" s="54">
        <v>840</v>
      </c>
      <c r="E21" s="54">
        <v>450</v>
      </c>
      <c r="F21" s="54">
        <v>860</v>
      </c>
      <c r="G21" s="54"/>
      <c r="H21" s="35">
        <f>'2412費用明細憑證 '!E21</f>
        <v>0</v>
      </c>
      <c r="I21" s="82">
        <f>B21-C21-D21-E21-F21-G21-H21</f>
        <v>-100</v>
      </c>
    </row>
    <row r="22" spans="1:15">
      <c r="A22" s="94">
        <v>45646</v>
      </c>
      <c r="B22" s="91">
        <v>4750</v>
      </c>
      <c r="C22" s="91">
        <v>3100</v>
      </c>
      <c r="D22" s="54">
        <v>790</v>
      </c>
      <c r="E22" s="54">
        <v>120</v>
      </c>
      <c r="F22" s="54">
        <v>340</v>
      </c>
      <c r="G22" s="54">
        <v>330</v>
      </c>
      <c r="H22" s="35">
        <f>'2412費用明細憑證 '!E22</f>
        <v>8125</v>
      </c>
      <c r="I22" s="82">
        <f>B22-C22-D22-E22-F22-G22-H22+8125</f>
        <v>70</v>
      </c>
    </row>
    <row r="23" spans="1:15">
      <c r="A23" s="94">
        <v>45647</v>
      </c>
      <c r="B23" s="91">
        <v>6985</v>
      </c>
      <c r="C23" s="91">
        <v>5000</v>
      </c>
      <c r="D23" s="54">
        <v>1480</v>
      </c>
      <c r="E23" s="54">
        <v>0</v>
      </c>
      <c r="F23" s="54"/>
      <c r="G23" s="54"/>
      <c r="H23" s="35">
        <f>'2412費用明細憑證 '!E23</f>
        <v>530</v>
      </c>
      <c r="I23" s="82">
        <f>B23-C23-D23-E23-F23-G23-H23</f>
        <v>-25</v>
      </c>
    </row>
    <row r="24" spans="1:15">
      <c r="A24" s="95">
        <v>45648</v>
      </c>
      <c r="B24" s="96">
        <v>4550</v>
      </c>
      <c r="C24" s="96">
        <v>4800</v>
      </c>
      <c r="D24" s="54">
        <v>200</v>
      </c>
      <c r="E24" s="54">
        <v>155</v>
      </c>
      <c r="F24" s="54">
        <v>245</v>
      </c>
      <c r="G24" s="54">
        <v>0</v>
      </c>
      <c r="H24" s="35">
        <f>'2412費用明細憑證 '!E24</f>
        <v>5000</v>
      </c>
      <c r="I24" s="82">
        <f>B24-C24-D24-E24-F24-G24-H24+5000</f>
        <v>-850</v>
      </c>
    </row>
    <row r="25" spans="1:15">
      <c r="A25" s="34">
        <v>45649</v>
      </c>
      <c r="B25" s="54">
        <v>4840</v>
      </c>
      <c r="C25" s="54">
        <v>3700</v>
      </c>
      <c r="D25" s="54">
        <v>700</v>
      </c>
      <c r="E25" s="54">
        <v>55</v>
      </c>
      <c r="F25" s="54">
        <v>415</v>
      </c>
      <c r="G25" s="54"/>
      <c r="H25" s="35">
        <f>'2412費用明細憑證 '!E25</f>
        <v>96</v>
      </c>
      <c r="I25" s="82">
        <f t="shared" si="0"/>
        <v>-126</v>
      </c>
    </row>
    <row r="26" spans="1:15">
      <c r="A26" s="34">
        <v>45650</v>
      </c>
      <c r="B26" s="54">
        <v>5120</v>
      </c>
      <c r="C26" s="54">
        <v>4800</v>
      </c>
      <c r="D26" s="54">
        <v>485</v>
      </c>
      <c r="E26" s="54">
        <v>45</v>
      </c>
      <c r="F26" s="54"/>
      <c r="G26" s="54"/>
      <c r="H26" s="35">
        <f>'2412費用明細憑證 '!E26</f>
        <v>0</v>
      </c>
      <c r="I26" s="82">
        <f t="shared" si="0"/>
        <v>-210</v>
      </c>
    </row>
    <row r="27" spans="1:15">
      <c r="A27" s="34">
        <v>45651</v>
      </c>
      <c r="B27" s="54">
        <v>4820</v>
      </c>
      <c r="C27" s="54">
        <v>3700</v>
      </c>
      <c r="D27" s="54">
        <v>1100</v>
      </c>
      <c r="E27" s="54">
        <v>55</v>
      </c>
      <c r="F27" s="54"/>
      <c r="G27" s="54"/>
      <c r="H27" s="35">
        <f>'2412費用明細憑證 '!E27</f>
        <v>0</v>
      </c>
      <c r="I27" s="82">
        <f t="shared" si="0"/>
        <v>-35</v>
      </c>
    </row>
    <row r="28" spans="1:15">
      <c r="A28" s="94">
        <v>45652</v>
      </c>
      <c r="B28" s="91">
        <v>4565</v>
      </c>
      <c r="C28" s="89">
        <v>4300</v>
      </c>
      <c r="D28" s="54">
        <v>250</v>
      </c>
      <c r="E28" s="54">
        <v>0</v>
      </c>
      <c r="F28" s="54"/>
      <c r="G28" s="54"/>
      <c r="H28" s="35">
        <f>'2412費用明細憑證 '!E28</f>
        <v>87</v>
      </c>
      <c r="I28" s="82">
        <f t="shared" si="0"/>
        <v>-72</v>
      </c>
    </row>
    <row r="29" spans="1:15">
      <c r="A29" s="94">
        <v>45653</v>
      </c>
      <c r="B29" s="91">
        <v>6885</v>
      </c>
      <c r="C29" s="91">
        <v>5600</v>
      </c>
      <c r="D29" s="54">
        <v>895</v>
      </c>
      <c r="E29" s="54">
        <v>120</v>
      </c>
      <c r="F29" s="54"/>
      <c r="G29" s="54"/>
      <c r="H29" s="35">
        <f>'2412費用明細憑證 '!E29</f>
        <v>530</v>
      </c>
      <c r="I29" s="82">
        <f t="shared" si="0"/>
        <v>-260</v>
      </c>
    </row>
    <row r="30" spans="1:15">
      <c r="A30" s="34">
        <v>45654</v>
      </c>
      <c r="B30" s="54">
        <v>6490</v>
      </c>
      <c r="C30" s="54">
        <v>4380</v>
      </c>
      <c r="D30" s="54">
        <v>1535</v>
      </c>
      <c r="E30" s="54">
        <v>0</v>
      </c>
      <c r="F30" s="54">
        <v>425</v>
      </c>
      <c r="G30" s="54"/>
      <c r="H30" s="35">
        <f>'2412費用明細憑證 '!E30</f>
        <v>0</v>
      </c>
      <c r="I30" s="82">
        <f t="shared" si="0"/>
        <v>150</v>
      </c>
    </row>
    <row r="31" spans="1:15">
      <c r="A31" s="94">
        <v>45655</v>
      </c>
      <c r="B31" s="91">
        <v>6690</v>
      </c>
      <c r="C31" s="91">
        <v>5600</v>
      </c>
      <c r="D31" s="54">
        <v>640</v>
      </c>
      <c r="E31" s="54">
        <v>155</v>
      </c>
      <c r="F31" s="54"/>
      <c r="G31" s="54"/>
      <c r="H31" s="35">
        <f>'2412費用明細憑證 '!E31</f>
        <v>430</v>
      </c>
      <c r="I31" s="82">
        <f t="shared" si="0"/>
        <v>-135</v>
      </c>
    </row>
    <row r="32" spans="1:15">
      <c r="A32" s="94">
        <v>45656</v>
      </c>
      <c r="B32" s="91">
        <v>5105</v>
      </c>
      <c r="C32" s="91">
        <v>3000</v>
      </c>
      <c r="D32" s="54">
        <v>1380</v>
      </c>
      <c r="E32" s="54">
        <v>450</v>
      </c>
      <c r="F32" s="54">
        <v>440</v>
      </c>
      <c r="G32" s="54"/>
      <c r="H32" s="35">
        <f>'2412費用明細憑證 '!E32</f>
        <v>0</v>
      </c>
      <c r="I32" s="82">
        <f t="shared" si="0"/>
        <v>-165</v>
      </c>
    </row>
    <row r="33" spans="1:10">
      <c r="A33" s="94">
        <v>45657</v>
      </c>
      <c r="B33" s="91">
        <v>5380</v>
      </c>
      <c r="C33" s="91">
        <v>4100</v>
      </c>
      <c r="D33" s="54">
        <v>625</v>
      </c>
      <c r="E33" s="54">
        <v>55</v>
      </c>
      <c r="F33" s="54"/>
      <c r="G33" s="54"/>
      <c r="H33" s="35">
        <f>'2412費用明細憑證 '!E33</f>
        <v>1060</v>
      </c>
      <c r="I33" s="82">
        <f t="shared" si="0"/>
        <v>-460</v>
      </c>
    </row>
    <row r="34" spans="1:10" ht="16.2" thickBot="1">
      <c r="A34" s="34"/>
      <c r="B34" s="54"/>
      <c r="C34" s="54">
        <f>SUM(C3:C33)</f>
        <v>142485</v>
      </c>
      <c r="D34" s="54">
        <f>SUM(D3:D33)</f>
        <v>23473</v>
      </c>
      <c r="E34" s="54">
        <f>SUM(E3:E33)</f>
        <v>2941</v>
      </c>
      <c r="F34" s="54"/>
      <c r="G34" s="54"/>
      <c r="H34" s="35"/>
      <c r="I34" s="82"/>
    </row>
    <row r="35" spans="1:10">
      <c r="A35" s="62" t="s">
        <v>21</v>
      </c>
      <c r="B35" s="63" t="s">
        <v>22</v>
      </c>
      <c r="C35" s="63" t="s">
        <v>23</v>
      </c>
      <c r="D35" s="63" t="s">
        <v>24</v>
      </c>
      <c r="E35" s="63"/>
      <c r="F35" s="63"/>
      <c r="G35" s="63" t="s">
        <v>25</v>
      </c>
      <c r="H35" s="103" t="s">
        <v>26</v>
      </c>
      <c r="I35" s="104"/>
      <c r="J35" s="37"/>
    </row>
    <row r="36" spans="1:10" ht="16.2" thickBot="1">
      <c r="A36" s="64" t="s">
        <v>27</v>
      </c>
      <c r="B36" s="65">
        <f>SUM(B3:B34)</f>
        <v>181070</v>
      </c>
      <c r="C36" s="65">
        <f>'2412費用明細憑證 '!E34</f>
        <v>104559</v>
      </c>
      <c r="D36" s="65">
        <f>B36-C36</f>
        <v>76511</v>
      </c>
      <c r="E36" s="65"/>
      <c r="F36" s="65"/>
      <c r="G36" s="66">
        <f>B36-C36-12620-12520</f>
        <v>51371</v>
      </c>
      <c r="H36" s="105">
        <f>N8/3</f>
        <v>23736.666666666668</v>
      </c>
      <c r="I36" s="106"/>
      <c r="J36" s="37"/>
    </row>
    <row r="37" spans="1:10">
      <c r="A37" s="25"/>
    </row>
    <row r="38" spans="1:10">
      <c r="A38" s="25"/>
    </row>
    <row r="39" spans="1:10">
      <c r="A39" s="25"/>
    </row>
    <row r="40" spans="1:10">
      <c r="A40" s="25"/>
    </row>
    <row r="41" spans="1:10">
      <c r="A41" s="25"/>
    </row>
    <row r="42" spans="1:10">
      <c r="A42" s="25"/>
    </row>
    <row r="43" spans="1:10">
      <c r="A43" s="25"/>
    </row>
    <row r="44" spans="1:10">
      <c r="A44" s="25"/>
    </row>
    <row r="45" spans="1:10">
      <c r="A45" s="25"/>
    </row>
    <row r="46" spans="1:10">
      <c r="A46" s="25"/>
    </row>
    <row r="47" spans="1:10">
      <c r="A47" s="25"/>
    </row>
    <row r="48" spans="1:10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  <row r="1004" spans="1:1">
      <c r="A1004" s="25"/>
    </row>
  </sheetData>
  <mergeCells count="4">
    <mergeCell ref="A1:I1"/>
    <mergeCell ref="K1:O1"/>
    <mergeCell ref="H35:I35"/>
    <mergeCell ref="H36:I36"/>
  </mergeCells>
  <phoneticPr fontId="5" type="noConversion"/>
  <dataValidations count="1">
    <dataValidation type="list" allowBlank="1" showErrorMessage="1" sqref="K2" xr:uid="{81648B83-6662-4BE4-9089-29DDEB8809E7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8BC3-E361-44FE-A82D-280FF1F9358D}">
  <sheetPr>
    <outlinePr summaryBelow="0" summaryRight="0"/>
  </sheetPr>
  <dimension ref="A1:Z1003"/>
  <sheetViews>
    <sheetView zoomScale="81" zoomScaleNormal="81" zoomScaleSheetLayoutView="100" workbookViewId="0">
      <pane ySplit="2" topLeftCell="A3" activePane="bottomLeft" state="frozen"/>
      <selection activeCell="D1" sqref="D1"/>
      <selection pane="bottomLeft" activeCell="F6" sqref="F6"/>
    </sheetView>
  </sheetViews>
  <sheetFormatPr defaultColWidth="12.33203125" defaultRowHeight="15"/>
  <cols>
    <col min="1" max="1" width="13.6640625" style="2" bestFit="1" customWidth="1"/>
    <col min="2" max="3" width="11.33203125" style="2" bestFit="1" customWidth="1"/>
    <col min="4" max="4" width="11.33203125" style="7" bestFit="1" customWidth="1"/>
    <col min="5" max="5" width="11.33203125" style="2" bestFit="1" customWidth="1"/>
    <col min="6" max="6" width="30.21875" style="2" customWidth="1"/>
    <col min="7" max="7" width="13.6640625" style="2" bestFit="1" customWidth="1"/>
    <col min="8" max="8" width="14.77734375" style="2" bestFit="1" customWidth="1"/>
    <col min="9" max="10" width="12.33203125" style="2" bestFit="1" customWidth="1"/>
    <col min="11" max="16384" width="12.33203125" style="2"/>
  </cols>
  <sheetData>
    <row r="1" spans="1:26" s="8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 ht="15.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4">
        <v>45658</v>
      </c>
      <c r="C3" s="15"/>
      <c r="D3" s="16">
        <v>5840</v>
      </c>
      <c r="E3" s="2">
        <f>SUM(B3:D3)</f>
        <v>5840</v>
      </c>
      <c r="F3" s="20" t="s">
        <v>252</v>
      </c>
      <c r="G3" s="108" t="s">
        <v>209</v>
      </c>
      <c r="H3" s="108"/>
      <c r="I3" s="108"/>
      <c r="J3" s="108"/>
      <c r="K3" s="108"/>
    </row>
    <row r="4" spans="1:26" ht="15.6">
      <c r="A4" s="14">
        <v>45659</v>
      </c>
      <c r="B4" s="15"/>
      <c r="E4" s="2">
        <f t="shared" ref="E4:E33" si="0">SUM(B4:D4)</f>
        <v>0</v>
      </c>
      <c r="F4" s="87"/>
      <c r="G4" s="18"/>
      <c r="H4" s="18"/>
      <c r="I4" s="18"/>
      <c r="J4" s="18"/>
      <c r="K4" s="19"/>
    </row>
    <row r="5" spans="1:26" ht="15.6">
      <c r="A5" s="14">
        <v>45660</v>
      </c>
      <c r="B5" s="15"/>
      <c r="C5" s="15"/>
      <c r="D5" s="16">
        <v>1750</v>
      </c>
      <c r="E5" s="2">
        <f t="shared" si="0"/>
        <v>1750</v>
      </c>
      <c r="F5" s="17" t="s">
        <v>240</v>
      </c>
      <c r="G5" s="71"/>
      <c r="H5" s="71"/>
      <c r="I5" s="18"/>
      <c r="J5" s="18"/>
      <c r="K5" s="19"/>
    </row>
    <row r="6" spans="1:26" ht="15.6">
      <c r="A6" s="14">
        <v>45661</v>
      </c>
      <c r="B6" s="15">
        <v>11170</v>
      </c>
      <c r="C6" s="15"/>
      <c r="D6" s="16"/>
      <c r="E6" s="2">
        <f t="shared" si="0"/>
        <v>11170</v>
      </c>
      <c r="F6" s="20" t="s">
        <v>257</v>
      </c>
      <c r="G6" s="18"/>
      <c r="H6" s="18"/>
      <c r="I6" s="18"/>
      <c r="J6" s="18"/>
      <c r="K6" s="19"/>
    </row>
    <row r="7" spans="1:26" ht="15.6">
      <c r="A7" s="14">
        <v>45662</v>
      </c>
      <c r="B7" s="15"/>
      <c r="C7" s="15"/>
      <c r="D7" s="16"/>
      <c r="E7" s="2">
        <f t="shared" si="0"/>
        <v>0</v>
      </c>
      <c r="F7" s="17"/>
      <c r="G7" s="71"/>
      <c r="H7" s="18"/>
      <c r="I7" s="18"/>
      <c r="J7" s="18"/>
      <c r="K7" s="19"/>
    </row>
    <row r="8" spans="1:26" ht="15.6">
      <c r="A8" s="14">
        <v>45663</v>
      </c>
      <c r="B8" s="15">
        <v>795</v>
      </c>
      <c r="C8" s="15"/>
      <c r="D8" s="16"/>
      <c r="E8" s="2">
        <f t="shared" si="0"/>
        <v>795</v>
      </c>
      <c r="F8" s="20"/>
      <c r="G8" s="18"/>
      <c r="H8" s="18"/>
      <c r="I8" s="18"/>
      <c r="J8" s="18"/>
      <c r="K8" s="19"/>
    </row>
    <row r="9" spans="1:26" ht="15.6">
      <c r="A9" s="14">
        <v>45664</v>
      </c>
      <c r="B9" s="15"/>
      <c r="C9" s="15"/>
      <c r="D9" s="16"/>
      <c r="E9" s="2">
        <f t="shared" si="0"/>
        <v>0</v>
      </c>
      <c r="F9" s="20"/>
      <c r="G9" s="78"/>
      <c r="H9" s="78"/>
      <c r="I9" s="78"/>
      <c r="J9" s="21"/>
      <c r="K9" s="21"/>
    </row>
    <row r="10" spans="1:26" ht="15.6">
      <c r="A10" s="14">
        <v>45665</v>
      </c>
      <c r="B10" s="15">
        <v>1590</v>
      </c>
      <c r="C10" s="15"/>
      <c r="D10" s="15"/>
      <c r="E10" s="2">
        <f t="shared" si="0"/>
        <v>1590</v>
      </c>
      <c r="F10" s="20"/>
      <c r="G10" s="71"/>
      <c r="H10" s="21"/>
      <c r="I10" s="18"/>
      <c r="J10" s="18"/>
      <c r="K10" s="19"/>
    </row>
    <row r="11" spans="1:26" ht="15.6">
      <c r="A11" s="14">
        <v>45666</v>
      </c>
      <c r="B11" s="15"/>
      <c r="C11" s="15"/>
      <c r="D11" s="16"/>
      <c r="E11" s="2">
        <f t="shared" si="0"/>
        <v>0</v>
      </c>
      <c r="F11" s="20"/>
      <c r="G11" s="71"/>
      <c r="H11" s="18"/>
      <c r="I11" s="18"/>
      <c r="J11" s="18"/>
      <c r="K11" s="19"/>
    </row>
    <row r="12" spans="1:26" ht="15.6">
      <c r="A12" s="14">
        <v>45667</v>
      </c>
      <c r="B12" s="15"/>
      <c r="C12" s="15">
        <v>768</v>
      </c>
      <c r="D12" s="16"/>
      <c r="E12" s="2">
        <f t="shared" si="0"/>
        <v>768</v>
      </c>
      <c r="F12" s="17" t="s">
        <v>253</v>
      </c>
      <c r="G12" s="22"/>
      <c r="H12" s="18"/>
      <c r="I12" s="18"/>
      <c r="J12" s="18"/>
      <c r="K12" s="19"/>
    </row>
    <row r="13" spans="1:26" ht="15.6">
      <c r="A13" s="14">
        <v>45668</v>
      </c>
      <c r="B13" s="15"/>
      <c r="C13" s="15"/>
      <c r="D13" s="16"/>
      <c r="E13" s="2">
        <f t="shared" si="0"/>
        <v>0</v>
      </c>
      <c r="F13" s="20"/>
      <c r="G13" s="78"/>
      <c r="H13" s="78"/>
      <c r="I13" s="18"/>
      <c r="J13" s="18"/>
      <c r="K13" s="19"/>
    </row>
    <row r="14" spans="1:26" ht="15.6">
      <c r="A14" s="14">
        <v>45669</v>
      </c>
      <c r="B14" s="15"/>
      <c r="C14" s="15"/>
      <c r="D14" s="16"/>
      <c r="E14" s="2">
        <f t="shared" si="0"/>
        <v>0</v>
      </c>
      <c r="F14" s="20"/>
      <c r="G14" s="78"/>
      <c r="H14" s="78"/>
      <c r="I14" s="18"/>
      <c r="J14" s="18"/>
      <c r="K14" s="19"/>
    </row>
    <row r="15" spans="1:26" ht="15.6">
      <c r="A15" s="14">
        <v>45670</v>
      </c>
      <c r="B15" s="15">
        <v>530</v>
      </c>
      <c r="C15" s="15"/>
      <c r="D15" s="16"/>
      <c r="E15" s="2">
        <f t="shared" si="0"/>
        <v>530</v>
      </c>
      <c r="F15" s="20" t="s">
        <v>255</v>
      </c>
      <c r="G15" s="78"/>
      <c r="H15" s="78"/>
      <c r="I15" s="24"/>
      <c r="J15" s="78"/>
      <c r="K15" s="19"/>
    </row>
    <row r="16" spans="1:26" ht="15.6">
      <c r="A16" s="14">
        <v>45671</v>
      </c>
      <c r="B16" s="15"/>
      <c r="C16" s="15"/>
      <c r="D16" s="16"/>
      <c r="E16" s="2">
        <f t="shared" si="0"/>
        <v>0</v>
      </c>
      <c r="F16" s="20"/>
      <c r="G16" s="22"/>
      <c r="H16" s="18"/>
      <c r="I16" s="18"/>
      <c r="J16" s="18"/>
      <c r="K16" s="19"/>
    </row>
    <row r="17" spans="1:11" ht="15.6">
      <c r="A17" s="14">
        <v>45672</v>
      </c>
      <c r="B17" s="15">
        <v>530</v>
      </c>
      <c r="C17" s="7">
        <v>60000</v>
      </c>
      <c r="D17" s="16"/>
      <c r="E17" s="2">
        <f t="shared" si="0"/>
        <v>60530</v>
      </c>
      <c r="F17" s="20" t="s">
        <v>256</v>
      </c>
      <c r="G17" s="78"/>
      <c r="H17" s="78"/>
      <c r="I17" s="24"/>
      <c r="J17" s="18"/>
      <c r="K17" s="19"/>
    </row>
    <row r="18" spans="1:11" ht="15.6">
      <c r="A18" s="14">
        <v>45673</v>
      </c>
      <c r="B18" s="15"/>
      <c r="C18" s="15"/>
      <c r="D18" s="16"/>
      <c r="E18" s="2">
        <f t="shared" si="0"/>
        <v>0</v>
      </c>
      <c r="F18" s="20"/>
      <c r="G18" s="19"/>
      <c r="H18" s="19"/>
      <c r="I18" s="18"/>
      <c r="J18" s="18"/>
      <c r="K18" s="19"/>
    </row>
    <row r="19" spans="1:11" ht="15.6">
      <c r="A19" s="14">
        <v>45674</v>
      </c>
      <c r="B19" s="15">
        <v>795</v>
      </c>
      <c r="C19" s="15"/>
      <c r="D19" s="16"/>
      <c r="E19" s="2">
        <f t="shared" si="0"/>
        <v>795</v>
      </c>
      <c r="F19" s="20"/>
      <c r="G19" s="71"/>
      <c r="H19" s="22"/>
      <c r="I19" s="18"/>
      <c r="J19" s="18"/>
      <c r="K19" s="19"/>
    </row>
    <row r="20" spans="1:11" ht="15.6">
      <c r="A20" s="14">
        <v>45675</v>
      </c>
      <c r="B20" s="15"/>
      <c r="C20" s="15"/>
      <c r="D20" s="16"/>
      <c r="E20" s="2">
        <f>SUM(B20:D20)</f>
        <v>0</v>
      </c>
      <c r="F20" s="20"/>
      <c r="G20" s="78"/>
      <c r="H20" s="18"/>
      <c r="I20" s="18"/>
      <c r="J20" s="18"/>
      <c r="K20" s="19"/>
    </row>
    <row r="21" spans="1:11" ht="15.6">
      <c r="A21" s="14">
        <v>45676</v>
      </c>
      <c r="B21" s="15"/>
      <c r="C21" s="15"/>
      <c r="D21" s="16"/>
      <c r="E21" s="2">
        <f t="shared" si="0"/>
        <v>0</v>
      </c>
      <c r="F21" s="17"/>
      <c r="G21" s="71"/>
      <c r="H21" s="18"/>
      <c r="I21" s="18"/>
      <c r="J21" s="18"/>
      <c r="K21" s="19"/>
    </row>
    <row r="22" spans="1:11" ht="15.6">
      <c r="A22" s="14">
        <v>45677</v>
      </c>
      <c r="B22" s="15">
        <v>795</v>
      </c>
      <c r="C22" s="15"/>
      <c r="D22" s="16"/>
      <c r="E22" s="2">
        <f t="shared" si="0"/>
        <v>795</v>
      </c>
      <c r="F22" s="20"/>
      <c r="G22" s="71"/>
      <c r="H22" s="18"/>
      <c r="I22" s="18"/>
      <c r="J22" s="18"/>
      <c r="K22" s="19"/>
    </row>
    <row r="23" spans="1:11" ht="15.6">
      <c r="A23" s="14">
        <v>45678</v>
      </c>
      <c r="B23" s="15"/>
      <c r="C23" s="15"/>
      <c r="D23" s="16"/>
      <c r="E23" s="2">
        <f t="shared" si="0"/>
        <v>0</v>
      </c>
      <c r="F23" s="20"/>
      <c r="G23" s="18"/>
      <c r="H23" s="18"/>
      <c r="I23" s="18"/>
      <c r="J23" s="18"/>
      <c r="K23" s="19"/>
    </row>
    <row r="24" spans="1:11" ht="15.6">
      <c r="A24" s="14">
        <v>45679</v>
      </c>
      <c r="B24" s="15">
        <v>795</v>
      </c>
      <c r="C24" s="15"/>
      <c r="D24" s="16"/>
      <c r="E24" s="2">
        <f t="shared" si="0"/>
        <v>795</v>
      </c>
      <c r="F24" s="20" t="s">
        <v>255</v>
      </c>
      <c r="G24" s="78"/>
      <c r="H24" s="78"/>
      <c r="I24" s="78"/>
      <c r="J24" s="18"/>
      <c r="K24" s="19"/>
    </row>
    <row r="25" spans="1:11" ht="15.6">
      <c r="A25" s="14">
        <v>45680</v>
      </c>
      <c r="B25" s="15"/>
      <c r="C25" s="15"/>
      <c r="D25" s="16"/>
      <c r="E25" s="2">
        <f t="shared" si="0"/>
        <v>0</v>
      </c>
      <c r="F25" s="20"/>
      <c r="G25" s="18"/>
      <c r="H25" s="18"/>
      <c r="I25" s="18"/>
      <c r="J25" s="18"/>
      <c r="K25" s="19"/>
    </row>
    <row r="26" spans="1:11" ht="15.6">
      <c r="A26" s="14">
        <v>45681</v>
      </c>
      <c r="B26" s="15">
        <v>795</v>
      </c>
      <c r="C26" s="15"/>
      <c r="D26" s="16"/>
      <c r="E26" s="2">
        <f t="shared" si="0"/>
        <v>795</v>
      </c>
      <c r="F26" s="17"/>
      <c r="G26" s="78"/>
      <c r="H26" s="18"/>
      <c r="I26" s="18"/>
      <c r="J26" s="18"/>
      <c r="K26" s="19"/>
    </row>
    <row r="27" spans="1:11" ht="15.6">
      <c r="A27" s="14">
        <v>45682</v>
      </c>
      <c r="B27" s="15"/>
      <c r="C27" s="15"/>
      <c r="D27" s="16"/>
      <c r="E27" s="2">
        <f t="shared" si="0"/>
        <v>0</v>
      </c>
      <c r="F27" s="20"/>
      <c r="G27" s="18"/>
      <c r="H27" s="18"/>
      <c r="I27" s="18"/>
      <c r="J27" s="18"/>
      <c r="K27" s="19"/>
    </row>
    <row r="28" spans="1:11" ht="15.6">
      <c r="A28" s="14">
        <v>45683</v>
      </c>
      <c r="B28" s="15"/>
      <c r="C28" s="15"/>
      <c r="D28" s="16"/>
      <c r="E28" s="2">
        <f t="shared" si="0"/>
        <v>0</v>
      </c>
      <c r="F28" s="20"/>
      <c r="G28" s="18"/>
      <c r="H28" s="18"/>
      <c r="I28" s="18"/>
      <c r="J28" s="18"/>
      <c r="K28" s="19"/>
    </row>
    <row r="29" spans="1:11" ht="15.6">
      <c r="A29" s="14">
        <v>45684</v>
      </c>
      <c r="B29" s="15"/>
      <c r="C29" s="15"/>
      <c r="D29" s="16"/>
      <c r="E29" s="2">
        <f t="shared" si="0"/>
        <v>0</v>
      </c>
      <c r="F29" s="20"/>
      <c r="G29" s="22"/>
      <c r="H29" s="18"/>
      <c r="I29" s="18"/>
      <c r="J29" s="18"/>
      <c r="K29" s="19"/>
    </row>
    <row r="30" spans="1:11" ht="15.6">
      <c r="A30" s="14">
        <v>45685</v>
      </c>
      <c r="B30" s="15"/>
      <c r="C30" s="15"/>
      <c r="D30" s="16"/>
      <c r="E30" s="2">
        <f t="shared" si="0"/>
        <v>0</v>
      </c>
      <c r="F30" s="20"/>
      <c r="G30" s="22"/>
      <c r="H30" s="18"/>
      <c r="I30" s="18"/>
      <c r="J30" s="18"/>
      <c r="K30" s="19"/>
    </row>
    <row r="31" spans="1:11" ht="15.6">
      <c r="A31" s="14">
        <v>45686</v>
      </c>
      <c r="B31" s="15"/>
      <c r="D31" s="16"/>
      <c r="E31" s="2">
        <f>SUM(B31:D31)</f>
        <v>0</v>
      </c>
      <c r="F31" s="20"/>
      <c r="G31" s="22"/>
      <c r="H31" s="18"/>
      <c r="I31" s="18"/>
      <c r="J31" s="18"/>
      <c r="K31" s="19"/>
    </row>
    <row r="32" spans="1:11" ht="15.6">
      <c r="A32" s="14">
        <v>45687</v>
      </c>
      <c r="B32" s="15"/>
      <c r="C32" s="15"/>
      <c r="D32" s="16"/>
      <c r="E32" s="2">
        <f t="shared" si="0"/>
        <v>0</v>
      </c>
      <c r="F32" s="17"/>
      <c r="G32" s="18"/>
      <c r="H32" s="18"/>
      <c r="I32" s="18"/>
      <c r="J32" s="18"/>
      <c r="K32" s="19"/>
    </row>
    <row r="33" spans="1:11" ht="15.6">
      <c r="A33" s="14">
        <v>45688</v>
      </c>
      <c r="B33" s="15"/>
      <c r="C33" s="15"/>
      <c r="D33" s="16"/>
      <c r="E33" s="2">
        <f t="shared" si="0"/>
        <v>0</v>
      </c>
      <c r="F33" s="20"/>
      <c r="G33" s="18"/>
      <c r="H33" s="18"/>
      <c r="I33" s="18"/>
      <c r="J33" s="18"/>
      <c r="K33" s="19"/>
    </row>
    <row r="34" spans="1:11" ht="15.6">
      <c r="A34" s="14"/>
      <c r="B34" s="15">
        <f>SUM(B4:B33)</f>
        <v>17795</v>
      </c>
      <c r="C34" s="15">
        <f t="shared" ref="C34:D34" si="1">SUM(C4:C33)</f>
        <v>60768</v>
      </c>
      <c r="D34" s="15">
        <f t="shared" si="1"/>
        <v>1750</v>
      </c>
      <c r="E34" s="15">
        <f>SUM(E3:E32)</f>
        <v>86153</v>
      </c>
      <c r="F34" s="20"/>
      <c r="G34" s="71"/>
      <c r="H34" s="78"/>
      <c r="I34" s="22"/>
      <c r="J34" s="18"/>
      <c r="K34" s="19"/>
    </row>
    <row r="35" spans="1:11" ht="15.6">
      <c r="A35" s="12"/>
      <c r="B35" s="15"/>
      <c r="C35" s="15"/>
      <c r="D35" s="15"/>
      <c r="E35" s="15"/>
      <c r="F35" s="17"/>
      <c r="G35" s="18"/>
      <c r="H35" s="18"/>
      <c r="I35" s="18"/>
      <c r="J35" s="18"/>
      <c r="K35" s="19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85"/>
      <c r="C38" s="4"/>
      <c r="E38" s="4"/>
      <c r="F38" s="5"/>
      <c r="G38" s="9"/>
      <c r="H38" s="9"/>
      <c r="I38" s="9"/>
      <c r="J38" s="9"/>
      <c r="K38" s="10"/>
    </row>
    <row r="39" spans="1:11" ht="15.6">
      <c r="A39" s="3"/>
      <c r="B39" s="86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2410憑證" xr:uid="{D3085385-8F02-4F45-AC26-A5C3F86340DA}"/>
  </hyperlinks>
  <pageMargins left="0" right="0" top="0" bottom="0" header="0" footer="0"/>
  <pageSetup paperSize="9" scale="74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49C1-A5D1-404A-9199-D1418140F0EE}">
  <sheetPr>
    <outlinePr summaryBelow="0" summaryRight="0"/>
  </sheetPr>
  <dimension ref="A1:Z1003"/>
  <sheetViews>
    <sheetView zoomScale="81" zoomScaleNormal="81" zoomScaleSheetLayoutView="100" workbookViewId="0">
      <pane ySplit="2" topLeftCell="A3" activePane="bottomLeft" state="frozen"/>
      <selection activeCell="D1" sqref="D1"/>
      <selection pane="bottomLeft" activeCell="B34" sqref="B34"/>
    </sheetView>
  </sheetViews>
  <sheetFormatPr defaultColWidth="12.33203125" defaultRowHeight="15"/>
  <cols>
    <col min="1" max="1" width="13.6640625" style="2" bestFit="1" customWidth="1"/>
    <col min="2" max="3" width="11.33203125" style="2" bestFit="1" customWidth="1"/>
    <col min="4" max="4" width="11.33203125" style="7" bestFit="1" customWidth="1"/>
    <col min="5" max="5" width="11.33203125" style="2" bestFit="1" customWidth="1"/>
    <col min="6" max="6" width="30.21875" style="2" customWidth="1"/>
    <col min="7" max="7" width="13.6640625" style="2" bestFit="1" customWidth="1"/>
    <col min="8" max="8" width="14.77734375" style="2" bestFit="1" customWidth="1"/>
    <col min="9" max="10" width="12.33203125" style="2" bestFit="1" customWidth="1"/>
    <col min="11" max="16384" width="12.33203125" style="2"/>
  </cols>
  <sheetData>
    <row r="1" spans="1:26" s="8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 ht="15.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4">
        <v>45627</v>
      </c>
      <c r="C3" s="15"/>
      <c r="D3" s="16"/>
      <c r="E3" s="2">
        <f>SUM(B3:D3)</f>
        <v>0</v>
      </c>
      <c r="F3" s="20"/>
      <c r="G3" s="108" t="s">
        <v>209</v>
      </c>
      <c r="H3" s="108"/>
      <c r="I3" s="108"/>
      <c r="J3" s="108"/>
      <c r="K3" s="108"/>
    </row>
    <row r="4" spans="1:26" ht="15.6">
      <c r="A4" s="14">
        <v>45628</v>
      </c>
      <c r="B4" s="15"/>
      <c r="D4" s="7">
        <v>856</v>
      </c>
      <c r="E4" s="2">
        <f t="shared" ref="E4:E33" si="0">SUM(B4:D4)</f>
        <v>856</v>
      </c>
      <c r="F4" s="87"/>
      <c r="G4" s="18"/>
      <c r="H4" s="18"/>
      <c r="I4" s="18"/>
      <c r="J4" s="18"/>
      <c r="K4" s="19"/>
    </row>
    <row r="5" spans="1:26" ht="15.6">
      <c r="A5" s="14">
        <v>45629</v>
      </c>
      <c r="B5" s="15"/>
      <c r="C5" s="15"/>
      <c r="D5" s="16"/>
      <c r="E5" s="2">
        <f t="shared" si="0"/>
        <v>0</v>
      </c>
      <c r="F5" s="17"/>
      <c r="G5" s="71"/>
      <c r="H5" s="71"/>
      <c r="I5" s="18"/>
      <c r="J5" s="18"/>
      <c r="K5" s="19"/>
    </row>
    <row r="6" spans="1:26" ht="15.6">
      <c r="A6" s="14">
        <v>45630</v>
      </c>
      <c r="B6" s="15"/>
      <c r="C6" s="15"/>
      <c r="D6" s="16"/>
      <c r="E6" s="2">
        <f t="shared" si="0"/>
        <v>0</v>
      </c>
      <c r="F6" s="20"/>
      <c r="G6" s="18"/>
      <c r="H6" s="18"/>
      <c r="I6" s="18"/>
      <c r="J6" s="18"/>
      <c r="K6" s="19"/>
    </row>
    <row r="7" spans="1:26" ht="15.6">
      <c r="A7" s="14">
        <v>45631</v>
      </c>
      <c r="B7" s="15">
        <v>14000</v>
      </c>
      <c r="C7" s="15"/>
      <c r="D7" s="16"/>
      <c r="E7" s="2">
        <f t="shared" si="0"/>
        <v>14000</v>
      </c>
      <c r="F7" s="17" t="s">
        <v>249</v>
      </c>
      <c r="G7" s="71"/>
      <c r="H7" s="18"/>
      <c r="I7" s="18"/>
      <c r="J7" s="18"/>
      <c r="K7" s="19"/>
    </row>
    <row r="8" spans="1:26" ht="15.6">
      <c r="A8" s="14">
        <v>45632</v>
      </c>
      <c r="B8" s="15"/>
      <c r="C8" s="15"/>
      <c r="D8" s="16"/>
      <c r="E8" s="2">
        <f t="shared" si="0"/>
        <v>0</v>
      </c>
      <c r="F8" s="20"/>
      <c r="G8" s="18"/>
      <c r="H8" s="18"/>
      <c r="I8" s="18"/>
      <c r="J8" s="18"/>
      <c r="K8" s="19"/>
    </row>
    <row r="9" spans="1:26" ht="15.6">
      <c r="A9" s="14">
        <v>45633</v>
      </c>
      <c r="B9" s="15"/>
      <c r="C9" s="15"/>
      <c r="D9" s="16"/>
      <c r="E9" s="2">
        <f t="shared" si="0"/>
        <v>0</v>
      </c>
      <c r="F9" s="20"/>
      <c r="G9" s="78"/>
      <c r="H9" s="78"/>
      <c r="I9" s="78"/>
      <c r="J9" s="21"/>
      <c r="K9" s="21"/>
    </row>
    <row r="10" spans="1:26" ht="15.6">
      <c r="A10" s="14">
        <v>45634</v>
      </c>
      <c r="B10" s="15">
        <v>500</v>
      </c>
      <c r="C10" s="15"/>
      <c r="D10" s="15"/>
      <c r="E10" s="2">
        <f t="shared" si="0"/>
        <v>500</v>
      </c>
      <c r="F10" s="20" t="s">
        <v>250</v>
      </c>
      <c r="G10" s="71"/>
      <c r="H10" s="21"/>
      <c r="I10" s="18"/>
      <c r="J10" s="18"/>
      <c r="K10" s="19"/>
    </row>
    <row r="11" spans="1:26" ht="15.6">
      <c r="A11" s="14">
        <v>45635</v>
      </c>
      <c r="B11" s="15"/>
      <c r="C11" s="15"/>
      <c r="D11" s="16"/>
      <c r="E11" s="2">
        <f t="shared" si="0"/>
        <v>0</v>
      </c>
      <c r="F11" s="20"/>
      <c r="G11" s="71"/>
      <c r="H11" s="18"/>
      <c r="I11" s="18"/>
      <c r="J11" s="18"/>
      <c r="K11" s="19"/>
    </row>
    <row r="12" spans="1:26" ht="15.6">
      <c r="A12" s="14">
        <v>45636</v>
      </c>
      <c r="B12" s="15"/>
      <c r="C12" s="15"/>
      <c r="D12" s="16"/>
      <c r="E12" s="2">
        <f t="shared" si="0"/>
        <v>0</v>
      </c>
      <c r="F12" s="17"/>
      <c r="G12" s="22"/>
      <c r="H12" s="18"/>
      <c r="I12" s="18"/>
      <c r="J12" s="18"/>
      <c r="K12" s="19"/>
    </row>
    <row r="13" spans="1:26" ht="15.6">
      <c r="A13" s="14">
        <v>45637</v>
      </c>
      <c r="B13" s="15">
        <v>795</v>
      </c>
      <c r="C13" s="15"/>
      <c r="D13" s="16"/>
      <c r="E13" s="2">
        <f t="shared" si="0"/>
        <v>795</v>
      </c>
      <c r="F13" s="20" t="s">
        <v>244</v>
      </c>
      <c r="G13" s="78"/>
      <c r="H13" s="78"/>
      <c r="I13" s="18"/>
      <c r="J13" s="18"/>
      <c r="K13" s="19"/>
    </row>
    <row r="14" spans="1:26" ht="15.6">
      <c r="A14" s="14">
        <v>45638</v>
      </c>
      <c r="B14" s="15"/>
      <c r="C14" s="15"/>
      <c r="D14" s="16"/>
      <c r="E14" s="2">
        <f t="shared" si="0"/>
        <v>0</v>
      </c>
      <c r="F14" s="20"/>
      <c r="G14" s="78"/>
      <c r="H14" s="78"/>
      <c r="I14" s="18"/>
      <c r="J14" s="18"/>
      <c r="K14" s="19"/>
    </row>
    <row r="15" spans="1:26" ht="15.6">
      <c r="A15" s="14">
        <v>45639</v>
      </c>
      <c r="B15" s="15"/>
      <c r="C15" s="15"/>
      <c r="D15" s="16"/>
      <c r="E15" s="2">
        <f t="shared" si="0"/>
        <v>0</v>
      </c>
      <c r="F15" s="20"/>
      <c r="G15" s="78"/>
      <c r="H15" s="78"/>
      <c r="I15" s="24"/>
      <c r="J15" s="78"/>
      <c r="K15" s="19"/>
    </row>
    <row r="16" spans="1:26" ht="15.6">
      <c r="A16" s="14">
        <v>45640</v>
      </c>
      <c r="B16" s="15">
        <v>4200</v>
      </c>
      <c r="C16" s="15"/>
      <c r="D16" s="16"/>
      <c r="E16" s="2">
        <f t="shared" si="0"/>
        <v>4200</v>
      </c>
      <c r="F16" s="20" t="s">
        <v>254</v>
      </c>
      <c r="G16" s="22"/>
      <c r="H16" s="18"/>
      <c r="I16" s="18"/>
      <c r="J16" s="18"/>
      <c r="K16" s="19"/>
    </row>
    <row r="17" spans="1:11" ht="15.6">
      <c r="A17" s="14">
        <v>45641</v>
      </c>
      <c r="B17" s="15"/>
      <c r="C17" s="7"/>
      <c r="D17" s="16"/>
      <c r="E17" s="2">
        <f t="shared" si="0"/>
        <v>0</v>
      </c>
      <c r="F17" s="20"/>
      <c r="G17" s="78"/>
      <c r="H17" s="78"/>
      <c r="I17" s="24"/>
      <c r="J17" s="18"/>
      <c r="K17" s="19"/>
    </row>
    <row r="18" spans="1:11" ht="15.6">
      <c r="A18" s="14">
        <v>45642</v>
      </c>
      <c r="B18" s="15">
        <v>1060</v>
      </c>
      <c r="C18" s="15">
        <v>60000</v>
      </c>
      <c r="D18" s="16"/>
      <c r="E18" s="2">
        <f t="shared" si="0"/>
        <v>61060</v>
      </c>
      <c r="F18" s="20" t="s">
        <v>245</v>
      </c>
      <c r="G18" s="19"/>
      <c r="H18" s="19"/>
      <c r="I18" s="18"/>
      <c r="J18" s="18"/>
      <c r="K18" s="19"/>
    </row>
    <row r="19" spans="1:11" ht="15.6">
      <c r="A19" s="14">
        <v>45643</v>
      </c>
      <c r="B19" s="15"/>
      <c r="C19" s="15"/>
      <c r="D19" s="16">
        <v>8350</v>
      </c>
      <c r="E19" s="2">
        <f t="shared" si="0"/>
        <v>8350</v>
      </c>
      <c r="F19" s="20" t="s">
        <v>247</v>
      </c>
      <c r="G19" s="71"/>
      <c r="H19" s="22"/>
      <c r="I19" s="18"/>
      <c r="J19" s="18"/>
      <c r="K19" s="19"/>
    </row>
    <row r="20" spans="1:11" ht="15.6">
      <c r="A20" s="14">
        <v>45644</v>
      </c>
      <c r="B20" s="15"/>
      <c r="C20" s="15"/>
      <c r="D20" s="16"/>
      <c r="E20" s="2">
        <f>SUM(B20:D20)</f>
        <v>0</v>
      </c>
      <c r="F20" s="20"/>
      <c r="G20" s="78"/>
      <c r="H20" s="18"/>
      <c r="I20" s="18"/>
      <c r="J20" s="18"/>
      <c r="K20" s="19"/>
    </row>
    <row r="21" spans="1:11" ht="15.6">
      <c r="A21" s="14">
        <v>45645</v>
      </c>
      <c r="B21" s="15"/>
      <c r="C21" s="15"/>
      <c r="D21" s="16"/>
      <c r="E21" s="2">
        <f t="shared" si="0"/>
        <v>0</v>
      </c>
      <c r="F21" s="17"/>
      <c r="G21" s="71"/>
      <c r="H21" s="18"/>
      <c r="I21" s="18"/>
      <c r="J21" s="18"/>
      <c r="K21" s="19"/>
    </row>
    <row r="22" spans="1:11" ht="15.6">
      <c r="A22" s="14">
        <v>45646</v>
      </c>
      <c r="B22" s="15"/>
      <c r="C22" s="15"/>
      <c r="D22" s="16">
        <v>8125</v>
      </c>
      <c r="E22" s="2">
        <f t="shared" si="0"/>
        <v>8125</v>
      </c>
      <c r="F22" s="20" t="s">
        <v>243</v>
      </c>
      <c r="G22" s="71"/>
      <c r="H22" s="18"/>
      <c r="I22" s="18"/>
      <c r="J22" s="18"/>
      <c r="K22" s="19"/>
    </row>
    <row r="23" spans="1:11" ht="15.6">
      <c r="A23" s="14">
        <v>45647</v>
      </c>
      <c r="B23" s="15">
        <v>530</v>
      </c>
      <c r="C23" s="15"/>
      <c r="D23" s="16"/>
      <c r="E23" s="2">
        <f t="shared" si="0"/>
        <v>530</v>
      </c>
      <c r="F23" s="20"/>
      <c r="G23" s="18"/>
      <c r="H23" s="18"/>
      <c r="I23" s="18"/>
      <c r="J23" s="18"/>
      <c r="K23" s="19"/>
    </row>
    <row r="24" spans="1:11" ht="15.6">
      <c r="A24" s="14">
        <v>45648</v>
      </c>
      <c r="B24" s="15">
        <v>5000</v>
      </c>
      <c r="C24" s="15"/>
      <c r="D24" s="16"/>
      <c r="E24" s="2">
        <f t="shared" si="0"/>
        <v>5000</v>
      </c>
      <c r="F24" s="20" t="s">
        <v>248</v>
      </c>
      <c r="G24" s="78"/>
      <c r="H24" s="78"/>
      <c r="I24" s="78"/>
      <c r="J24" s="18"/>
      <c r="K24" s="19"/>
    </row>
    <row r="25" spans="1:11" ht="15.6">
      <c r="A25" s="14">
        <v>45649</v>
      </c>
      <c r="B25" s="15">
        <v>96</v>
      </c>
      <c r="C25" s="15"/>
      <c r="D25" s="16"/>
      <c r="E25" s="2">
        <f t="shared" si="0"/>
        <v>96</v>
      </c>
      <c r="F25" s="20" t="s">
        <v>251</v>
      </c>
      <c r="G25" s="18"/>
      <c r="H25" s="18"/>
      <c r="I25" s="18"/>
      <c r="J25" s="18"/>
      <c r="K25" s="19"/>
    </row>
    <row r="26" spans="1:11" ht="15.6">
      <c r="A26" s="14">
        <v>45650</v>
      </c>
      <c r="B26" s="15"/>
      <c r="C26" s="15"/>
      <c r="D26" s="16"/>
      <c r="E26" s="2">
        <f t="shared" si="0"/>
        <v>0</v>
      </c>
      <c r="F26" s="17"/>
      <c r="G26" s="78"/>
      <c r="H26" s="18"/>
      <c r="I26" s="18"/>
      <c r="J26" s="18"/>
      <c r="K26" s="19"/>
    </row>
    <row r="27" spans="1:11" ht="15.6">
      <c r="A27" s="14">
        <v>45651</v>
      </c>
      <c r="B27" s="15"/>
      <c r="C27" s="15"/>
      <c r="D27" s="16"/>
      <c r="E27" s="2">
        <f t="shared" si="0"/>
        <v>0</v>
      </c>
      <c r="F27" s="20"/>
      <c r="G27" s="18"/>
      <c r="H27" s="18"/>
      <c r="I27" s="18"/>
      <c r="J27" s="18"/>
      <c r="K27" s="19"/>
    </row>
    <row r="28" spans="1:11" ht="15.6">
      <c r="A28" s="14">
        <v>45652</v>
      </c>
      <c r="B28" s="15"/>
      <c r="C28" s="15"/>
      <c r="D28" s="16">
        <v>87</v>
      </c>
      <c r="E28" s="2">
        <f t="shared" si="0"/>
        <v>87</v>
      </c>
      <c r="F28" s="20" t="s">
        <v>242</v>
      </c>
      <c r="G28" s="18"/>
      <c r="H28" s="18"/>
      <c r="I28" s="18"/>
      <c r="J28" s="18"/>
      <c r="K28" s="19"/>
    </row>
    <row r="29" spans="1:11" ht="15.6">
      <c r="A29" s="14">
        <v>45653</v>
      </c>
      <c r="B29" s="15">
        <v>530</v>
      </c>
      <c r="C29" s="15"/>
      <c r="D29" s="16"/>
      <c r="E29" s="2">
        <f t="shared" si="0"/>
        <v>530</v>
      </c>
      <c r="F29" s="20" t="s">
        <v>244</v>
      </c>
      <c r="G29" s="22"/>
      <c r="H29" s="18"/>
      <c r="I29" s="18"/>
      <c r="J29" s="18"/>
      <c r="K29" s="19"/>
    </row>
    <row r="30" spans="1:11" ht="15.6">
      <c r="A30" s="14">
        <v>45654</v>
      </c>
      <c r="B30" s="15"/>
      <c r="C30" s="15"/>
      <c r="D30" s="16"/>
      <c r="E30" s="2">
        <f t="shared" si="0"/>
        <v>0</v>
      </c>
      <c r="F30" s="20"/>
      <c r="G30" s="22"/>
      <c r="H30" s="18"/>
      <c r="I30" s="18"/>
      <c r="J30" s="18"/>
      <c r="K30" s="19"/>
    </row>
    <row r="31" spans="1:11" ht="15.6">
      <c r="A31" s="14">
        <v>45655</v>
      </c>
      <c r="B31" s="15">
        <v>430</v>
      </c>
      <c r="D31" s="16"/>
      <c r="E31" s="2">
        <f>SUM(B31:D31)</f>
        <v>430</v>
      </c>
      <c r="F31" s="20" t="s">
        <v>241</v>
      </c>
      <c r="G31" s="22"/>
      <c r="H31" s="18"/>
      <c r="I31" s="18"/>
      <c r="J31" s="18"/>
      <c r="K31" s="19"/>
    </row>
    <row r="32" spans="1:11" ht="15.6">
      <c r="A32" s="14">
        <v>45656</v>
      </c>
      <c r="B32" s="15">
        <v>0</v>
      </c>
      <c r="C32" s="15"/>
      <c r="D32" s="16"/>
      <c r="E32" s="2">
        <f t="shared" si="0"/>
        <v>0</v>
      </c>
      <c r="F32" s="17"/>
      <c r="G32" s="18"/>
      <c r="H32" s="18"/>
      <c r="I32" s="18"/>
      <c r="J32" s="18"/>
      <c r="K32" s="19"/>
    </row>
    <row r="33" spans="1:11" ht="15.6">
      <c r="A33" s="14">
        <v>45657</v>
      </c>
      <c r="B33" s="15">
        <v>1060</v>
      </c>
      <c r="C33" s="15"/>
      <c r="D33" s="16"/>
      <c r="E33" s="2">
        <f t="shared" si="0"/>
        <v>1060</v>
      </c>
      <c r="F33" s="20" t="s">
        <v>246</v>
      </c>
      <c r="G33" s="18"/>
      <c r="H33" s="18"/>
      <c r="I33" s="18"/>
      <c r="J33" s="18"/>
      <c r="K33" s="19"/>
    </row>
    <row r="34" spans="1:11" ht="15.6">
      <c r="A34" s="14"/>
      <c r="B34" s="15">
        <f>SUM(B4:B33)</f>
        <v>28201</v>
      </c>
      <c r="C34" s="15">
        <f t="shared" ref="C34:D34" si="1">SUM(C4:C33)</f>
        <v>60000</v>
      </c>
      <c r="D34" s="15">
        <f t="shared" si="1"/>
        <v>17418</v>
      </c>
      <c r="E34" s="15">
        <f>SUM(E3:E32)</f>
        <v>104559</v>
      </c>
      <c r="F34" s="20"/>
      <c r="G34" s="71"/>
      <c r="H34" s="78"/>
      <c r="I34" s="22"/>
      <c r="J34" s="18"/>
      <c r="K34" s="19"/>
    </row>
    <row r="35" spans="1:11" ht="15.6">
      <c r="A35" s="12"/>
      <c r="B35" s="15"/>
      <c r="C35" s="15"/>
      <c r="D35" s="15"/>
      <c r="E35" s="15"/>
      <c r="F35" s="17"/>
      <c r="G35" s="18"/>
      <c r="H35" s="18"/>
      <c r="I35" s="18"/>
      <c r="J35" s="18"/>
      <c r="K35" s="19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85"/>
      <c r="C38" s="4"/>
      <c r="E38" s="4"/>
      <c r="F38" s="5"/>
      <c r="G38" s="9"/>
      <c r="H38" s="9"/>
      <c r="I38" s="9"/>
      <c r="J38" s="9"/>
      <c r="K38" s="10"/>
    </row>
    <row r="39" spans="1:11" ht="15.6">
      <c r="A39" s="3"/>
      <c r="B39" s="86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2410憑證" xr:uid="{F14766A9-5EBB-4CC3-A0D5-21CD45CFEC70}"/>
  </hyperlinks>
  <pageMargins left="0" right="0" top="0" bottom="0" header="0" footer="0"/>
  <pageSetup paperSize="9" scale="74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6C2A-75E3-4335-AA2F-7D6C5E1C59C6}">
  <sheetPr>
    <outlinePr summaryBelow="0" summaryRight="0"/>
  </sheetPr>
  <dimension ref="A1:Z1003"/>
  <sheetViews>
    <sheetView zoomScale="95" zoomScaleNormal="100" zoomScaleSheetLayoutView="100" workbookViewId="0">
      <pane ySplit="2" topLeftCell="A14" activePane="bottomLeft" state="frozen"/>
      <selection activeCell="D1" sqref="D1"/>
      <selection pane="bottomLeft" activeCell="E33" sqref="E33"/>
    </sheetView>
  </sheetViews>
  <sheetFormatPr defaultColWidth="12.33203125" defaultRowHeight="15"/>
  <cols>
    <col min="1" max="1" width="13.6640625" style="2" bestFit="1" customWidth="1"/>
    <col min="2" max="3" width="11.33203125" style="2" bestFit="1" customWidth="1"/>
    <col min="4" max="4" width="11.33203125" style="7" bestFit="1" customWidth="1"/>
    <col min="5" max="5" width="11.33203125" style="2" bestFit="1" customWidth="1"/>
    <col min="6" max="6" width="30.21875" style="2" customWidth="1"/>
    <col min="7" max="7" width="13.6640625" style="2" bestFit="1" customWidth="1"/>
    <col min="8" max="8" width="14.77734375" style="2" bestFit="1" customWidth="1"/>
    <col min="9" max="10" width="12.33203125" style="2" bestFit="1" customWidth="1"/>
    <col min="11" max="16384" width="12.33203125" style="2"/>
  </cols>
  <sheetData>
    <row r="1" spans="1:26" s="8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 ht="15.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4"/>
      <c r="C3" s="15"/>
      <c r="D3" s="16"/>
      <c r="E3" s="15"/>
      <c r="F3" s="20"/>
      <c r="G3" s="108" t="s">
        <v>209</v>
      </c>
      <c r="H3" s="108"/>
      <c r="I3" s="108"/>
      <c r="J3" s="108"/>
      <c r="K3" s="108"/>
    </row>
    <row r="4" spans="1:26" ht="15.6">
      <c r="A4" s="14">
        <v>45597</v>
      </c>
      <c r="B4" s="15"/>
      <c r="D4" s="7">
        <v>0</v>
      </c>
      <c r="E4" s="2">
        <f>SUM(B4:D4)</f>
        <v>0</v>
      </c>
      <c r="F4" s="87"/>
      <c r="G4" s="18"/>
      <c r="H4" s="18"/>
      <c r="I4" s="18"/>
      <c r="J4" s="18"/>
      <c r="K4" s="19"/>
    </row>
    <row r="5" spans="1:26" ht="15.6">
      <c r="A5" s="14">
        <v>45598</v>
      </c>
      <c r="B5" s="15"/>
      <c r="C5" s="15"/>
      <c r="D5" s="16">
        <v>5700</v>
      </c>
      <c r="E5" s="2">
        <f t="shared" ref="E5:E33" si="0">SUM(B5:D5)</f>
        <v>5700</v>
      </c>
      <c r="F5" s="17" t="s">
        <v>227</v>
      </c>
      <c r="G5" s="71"/>
      <c r="H5" s="71"/>
      <c r="I5" s="18"/>
      <c r="J5" s="18"/>
      <c r="K5" s="19"/>
    </row>
    <row r="6" spans="1:26" ht="15.6">
      <c r="A6" s="14">
        <v>45599</v>
      </c>
      <c r="B6" s="15">
        <v>457</v>
      </c>
      <c r="C6" s="15"/>
      <c r="D6" s="16">
        <v>100</v>
      </c>
      <c r="E6" s="2">
        <f t="shared" si="0"/>
        <v>557</v>
      </c>
      <c r="F6" s="20" t="s">
        <v>231</v>
      </c>
      <c r="G6" s="18"/>
      <c r="H6" s="18"/>
      <c r="I6" s="18"/>
      <c r="J6" s="18"/>
      <c r="K6" s="19"/>
    </row>
    <row r="7" spans="1:26" ht="15.6">
      <c r="A7" s="14">
        <v>45600</v>
      </c>
      <c r="B7" s="15"/>
      <c r="C7" s="15"/>
      <c r="D7" s="16"/>
      <c r="E7" s="2">
        <f t="shared" si="0"/>
        <v>0</v>
      </c>
      <c r="F7" s="17"/>
      <c r="G7" s="71"/>
      <c r="H7" s="18"/>
      <c r="I7" s="18"/>
      <c r="J7" s="18"/>
      <c r="K7" s="19"/>
    </row>
    <row r="8" spans="1:26" ht="15.6">
      <c r="A8" s="14">
        <v>45601</v>
      </c>
      <c r="B8" s="15">
        <v>712</v>
      </c>
      <c r="C8" s="15">
        <v>768</v>
      </c>
      <c r="D8" s="16"/>
      <c r="E8" s="2">
        <f t="shared" si="0"/>
        <v>1480</v>
      </c>
      <c r="F8" s="20" t="s">
        <v>230</v>
      </c>
      <c r="G8" s="18"/>
      <c r="H8" s="18"/>
      <c r="I8" s="18"/>
      <c r="J8" s="18"/>
      <c r="K8" s="19"/>
    </row>
    <row r="9" spans="1:26" ht="15.6">
      <c r="A9" s="14">
        <v>45602</v>
      </c>
      <c r="B9" s="15">
        <v>530</v>
      </c>
      <c r="C9" s="15"/>
      <c r="D9" s="16">
        <v>1000</v>
      </c>
      <c r="E9" s="2">
        <f t="shared" si="0"/>
        <v>1530</v>
      </c>
      <c r="F9" s="20" t="s">
        <v>229</v>
      </c>
      <c r="G9" s="78"/>
      <c r="H9" s="78"/>
      <c r="I9" s="78"/>
      <c r="J9" s="21"/>
      <c r="K9" s="21"/>
    </row>
    <row r="10" spans="1:26" ht="15.6">
      <c r="A10" s="14">
        <v>45603</v>
      </c>
      <c r="B10" s="15"/>
      <c r="C10" s="15"/>
      <c r="D10" s="15"/>
      <c r="E10" s="2">
        <f t="shared" si="0"/>
        <v>0</v>
      </c>
      <c r="F10" s="20"/>
      <c r="G10" s="71"/>
      <c r="H10" s="21"/>
      <c r="I10" s="18"/>
      <c r="J10" s="18"/>
      <c r="K10" s="19"/>
    </row>
    <row r="11" spans="1:26" ht="15.6">
      <c r="A11" s="14">
        <v>45604</v>
      </c>
      <c r="B11" s="15">
        <v>530</v>
      </c>
      <c r="C11" s="15"/>
      <c r="D11" s="16"/>
      <c r="E11" s="2">
        <f t="shared" si="0"/>
        <v>530</v>
      </c>
      <c r="F11" s="20" t="s">
        <v>228</v>
      </c>
      <c r="G11" s="71"/>
      <c r="H11" s="18"/>
      <c r="I11" s="18"/>
      <c r="J11" s="18"/>
      <c r="K11" s="19"/>
    </row>
    <row r="12" spans="1:26" ht="15.6">
      <c r="A12" s="14">
        <v>45605</v>
      </c>
      <c r="B12" s="15"/>
      <c r="C12" s="15"/>
      <c r="D12" s="16"/>
      <c r="E12" s="2">
        <f t="shared" si="0"/>
        <v>0</v>
      </c>
      <c r="F12" s="17"/>
      <c r="G12" s="22"/>
      <c r="H12" s="18"/>
      <c r="I12" s="18"/>
      <c r="J12" s="18"/>
      <c r="K12" s="19"/>
    </row>
    <row r="13" spans="1:26" ht="15.6">
      <c r="A13" s="14">
        <v>45606</v>
      </c>
      <c r="B13" s="15"/>
      <c r="C13" s="15"/>
      <c r="D13" s="16"/>
      <c r="E13" s="2">
        <f t="shared" si="0"/>
        <v>0</v>
      </c>
      <c r="F13" s="20"/>
      <c r="G13" s="78"/>
      <c r="H13" s="78"/>
      <c r="I13" s="18"/>
      <c r="J13" s="18"/>
      <c r="K13" s="19"/>
    </row>
    <row r="14" spans="1:26" ht="15.6">
      <c r="A14" s="14">
        <v>45607</v>
      </c>
      <c r="B14" s="15">
        <v>530</v>
      </c>
      <c r="C14" s="15"/>
      <c r="D14" s="16"/>
      <c r="E14" s="2">
        <f t="shared" si="0"/>
        <v>530</v>
      </c>
      <c r="F14" s="20" t="s">
        <v>228</v>
      </c>
      <c r="G14" s="78"/>
      <c r="H14" s="78"/>
      <c r="I14" s="18"/>
      <c r="J14" s="18"/>
      <c r="K14" s="19"/>
    </row>
    <row r="15" spans="1:26" ht="15.6">
      <c r="A15" s="14">
        <v>45608</v>
      </c>
      <c r="B15" s="15">
        <f>12600+530</f>
        <v>13130</v>
      </c>
      <c r="C15" s="15"/>
      <c r="D15" s="16"/>
      <c r="E15" s="2">
        <f t="shared" si="0"/>
        <v>13130</v>
      </c>
      <c r="F15" s="20" t="s">
        <v>232</v>
      </c>
      <c r="G15" s="78"/>
      <c r="H15" s="78"/>
      <c r="I15" s="24"/>
      <c r="J15" s="78"/>
      <c r="K15" s="19"/>
    </row>
    <row r="16" spans="1:26" ht="15.6">
      <c r="A16" s="14">
        <v>45609</v>
      </c>
      <c r="B16" s="15">
        <f>3410</f>
        <v>3410</v>
      </c>
      <c r="C16" s="15"/>
      <c r="D16" s="16"/>
      <c r="E16" s="2">
        <f t="shared" si="0"/>
        <v>3410</v>
      </c>
      <c r="F16" s="20" t="s">
        <v>233</v>
      </c>
      <c r="G16" s="22"/>
      <c r="H16" s="18"/>
      <c r="I16" s="18"/>
      <c r="J16" s="18"/>
      <c r="K16" s="19"/>
    </row>
    <row r="17" spans="1:11" ht="15.6">
      <c r="A17" s="14">
        <v>45610</v>
      </c>
      <c r="B17" s="15">
        <v>530</v>
      </c>
      <c r="C17" s="7"/>
      <c r="D17" s="16"/>
      <c r="E17" s="2">
        <f t="shared" si="0"/>
        <v>530</v>
      </c>
      <c r="F17" s="20" t="s">
        <v>178</v>
      </c>
      <c r="G17" s="78"/>
      <c r="H17" s="78"/>
      <c r="I17" s="24"/>
      <c r="J17" s="18"/>
      <c r="K17" s="19"/>
    </row>
    <row r="18" spans="1:11" ht="15.6">
      <c r="A18" s="14">
        <v>45611</v>
      </c>
      <c r="B18" s="15"/>
      <c r="C18" s="15"/>
      <c r="D18" s="16"/>
      <c r="E18" s="2">
        <f t="shared" si="0"/>
        <v>0</v>
      </c>
      <c r="F18" s="20"/>
      <c r="G18" s="19"/>
      <c r="H18" s="19"/>
      <c r="I18" s="18"/>
      <c r="J18" s="18"/>
      <c r="K18" s="19"/>
    </row>
    <row r="19" spans="1:11" ht="15.6">
      <c r="A19" s="14">
        <v>45612</v>
      </c>
      <c r="B19" s="15"/>
      <c r="C19" s="15">
        <v>60000</v>
      </c>
      <c r="D19" s="16"/>
      <c r="E19" s="2">
        <f t="shared" si="0"/>
        <v>60000</v>
      </c>
      <c r="F19" s="20" t="s">
        <v>234</v>
      </c>
      <c r="G19" s="71"/>
      <c r="H19" s="22"/>
      <c r="I19" s="18"/>
      <c r="J19" s="18"/>
      <c r="K19" s="19"/>
    </row>
    <row r="20" spans="1:11" ht="15.6">
      <c r="A20" s="14">
        <v>45613</v>
      </c>
      <c r="B20" s="15">
        <v>795</v>
      </c>
      <c r="C20" s="15"/>
      <c r="D20" s="16"/>
      <c r="E20" s="2">
        <f t="shared" si="0"/>
        <v>795</v>
      </c>
      <c r="F20" s="20" t="s">
        <v>235</v>
      </c>
      <c r="G20" s="78"/>
      <c r="H20" s="18"/>
      <c r="I20" s="18"/>
      <c r="J20" s="18"/>
      <c r="K20" s="19"/>
    </row>
    <row r="21" spans="1:11" ht="15.6">
      <c r="A21" s="14">
        <v>45614</v>
      </c>
      <c r="B21" s="15"/>
      <c r="C21" s="15"/>
      <c r="D21" s="16"/>
      <c r="E21" s="2">
        <f t="shared" si="0"/>
        <v>0</v>
      </c>
      <c r="F21" s="17"/>
      <c r="G21" s="71"/>
      <c r="H21" s="18"/>
      <c r="I21" s="18"/>
      <c r="J21" s="18"/>
      <c r="K21" s="19"/>
    </row>
    <row r="22" spans="1:11" ht="15.6">
      <c r="A22" s="14">
        <v>45615</v>
      </c>
      <c r="B22" s="15"/>
      <c r="C22" s="15"/>
      <c r="D22" s="16"/>
      <c r="E22" s="2">
        <f t="shared" si="0"/>
        <v>0</v>
      </c>
      <c r="F22" s="20"/>
      <c r="G22" s="71"/>
      <c r="H22" s="18"/>
      <c r="I22" s="18"/>
      <c r="J22" s="18"/>
      <c r="K22" s="19"/>
    </row>
    <row r="23" spans="1:11" ht="15.6">
      <c r="A23" s="14">
        <v>45616</v>
      </c>
      <c r="B23" s="15"/>
      <c r="C23" s="15"/>
      <c r="D23" s="16"/>
      <c r="E23" s="2">
        <f t="shared" si="0"/>
        <v>0</v>
      </c>
      <c r="F23" s="20"/>
      <c r="G23" s="18"/>
      <c r="H23" s="18"/>
      <c r="I23" s="18"/>
      <c r="J23" s="18"/>
      <c r="K23" s="19"/>
    </row>
    <row r="24" spans="1:11" ht="15.6">
      <c r="A24" s="14">
        <v>45617</v>
      </c>
      <c r="B24" s="15">
        <v>530</v>
      </c>
      <c r="C24" s="15"/>
      <c r="D24" s="16"/>
      <c r="E24" s="2">
        <f t="shared" si="0"/>
        <v>530</v>
      </c>
      <c r="F24" s="20" t="s">
        <v>238</v>
      </c>
      <c r="G24" s="78"/>
      <c r="H24" s="78"/>
      <c r="I24" s="78"/>
      <c r="J24" s="18"/>
      <c r="K24" s="19"/>
    </row>
    <row r="25" spans="1:11" ht="15.6">
      <c r="A25" s="14">
        <v>45618</v>
      </c>
      <c r="B25" s="15"/>
      <c r="C25" s="15"/>
      <c r="D25" s="16"/>
      <c r="E25" s="2">
        <f t="shared" si="0"/>
        <v>0</v>
      </c>
      <c r="F25" s="20"/>
      <c r="G25" s="18"/>
      <c r="H25" s="18"/>
      <c r="I25" s="18"/>
      <c r="J25" s="18"/>
      <c r="K25" s="19"/>
    </row>
    <row r="26" spans="1:11" ht="15.6">
      <c r="A26" s="14">
        <v>45619</v>
      </c>
      <c r="B26" s="15">
        <v>530</v>
      </c>
      <c r="C26" s="15"/>
      <c r="D26" s="16"/>
      <c r="E26" s="2">
        <f t="shared" si="0"/>
        <v>530</v>
      </c>
      <c r="F26" s="17" t="s">
        <v>238</v>
      </c>
      <c r="G26" s="78"/>
      <c r="H26" s="18"/>
      <c r="I26" s="18"/>
      <c r="J26" s="18"/>
      <c r="K26" s="19"/>
    </row>
    <row r="27" spans="1:11" ht="15.6">
      <c r="A27" s="14">
        <v>45620</v>
      </c>
      <c r="B27" s="15">
        <v>1000</v>
      </c>
      <c r="C27" s="15"/>
      <c r="D27" s="16"/>
      <c r="E27" s="2">
        <f t="shared" si="0"/>
        <v>1000</v>
      </c>
      <c r="F27" s="20" t="s">
        <v>236</v>
      </c>
      <c r="G27" s="18"/>
      <c r="H27" s="18"/>
      <c r="I27" s="18"/>
      <c r="J27" s="18"/>
      <c r="K27" s="19"/>
    </row>
    <row r="28" spans="1:11" ht="15.6">
      <c r="A28" s="14">
        <v>45621</v>
      </c>
      <c r="B28" s="15">
        <v>530</v>
      </c>
      <c r="C28" s="15"/>
      <c r="D28" s="16"/>
      <c r="E28" s="2">
        <f t="shared" si="0"/>
        <v>530</v>
      </c>
      <c r="F28" s="20" t="s">
        <v>238</v>
      </c>
      <c r="G28" s="18"/>
      <c r="H28" s="18"/>
      <c r="I28" s="18"/>
      <c r="J28" s="18"/>
      <c r="K28" s="19"/>
    </row>
    <row r="29" spans="1:11" ht="15.6">
      <c r="A29" s="14">
        <v>45622</v>
      </c>
      <c r="B29" s="15">
        <v>12620</v>
      </c>
      <c r="C29" s="15"/>
      <c r="D29" s="16"/>
      <c r="E29" s="2">
        <f t="shared" si="0"/>
        <v>12620</v>
      </c>
      <c r="F29" s="20" t="s">
        <v>237</v>
      </c>
      <c r="G29" s="22"/>
      <c r="H29" s="18"/>
      <c r="I29" s="18"/>
      <c r="J29" s="18"/>
      <c r="K29" s="19"/>
    </row>
    <row r="30" spans="1:11" ht="15.6">
      <c r="A30" s="14">
        <v>45623</v>
      </c>
      <c r="B30" s="15"/>
      <c r="C30" s="15"/>
      <c r="D30" s="16"/>
      <c r="E30" s="2">
        <f t="shared" si="0"/>
        <v>0</v>
      </c>
      <c r="F30" s="20"/>
      <c r="G30" s="22"/>
      <c r="H30" s="18"/>
      <c r="I30" s="18"/>
      <c r="J30" s="18"/>
      <c r="K30" s="19"/>
    </row>
    <row r="31" spans="1:11" ht="15.6">
      <c r="A31" s="14">
        <v>45624</v>
      </c>
      <c r="B31" s="15">
        <v>795</v>
      </c>
      <c r="C31" s="15"/>
      <c r="D31" s="16"/>
      <c r="E31" s="2">
        <f t="shared" si="0"/>
        <v>795</v>
      </c>
      <c r="F31" s="20" t="s">
        <v>238</v>
      </c>
      <c r="G31" s="22"/>
      <c r="H31" s="18"/>
      <c r="I31" s="18"/>
      <c r="J31" s="18"/>
      <c r="K31" s="19"/>
    </row>
    <row r="32" spans="1:11" ht="15.6">
      <c r="A32" s="14">
        <v>45625</v>
      </c>
      <c r="B32" s="15"/>
      <c r="C32" s="15"/>
      <c r="D32" s="16"/>
      <c r="E32" s="2">
        <f t="shared" si="0"/>
        <v>0</v>
      </c>
      <c r="F32" s="17"/>
      <c r="G32" s="18"/>
      <c r="H32" s="18"/>
      <c r="I32" s="18"/>
      <c r="J32" s="18"/>
      <c r="K32" s="19"/>
    </row>
    <row r="33" spans="1:11" ht="15.6">
      <c r="A33" s="14">
        <v>45626</v>
      </c>
      <c r="B33" s="15">
        <v>530</v>
      </c>
      <c r="C33" s="15"/>
      <c r="D33" s="16"/>
      <c r="E33" s="2">
        <f t="shared" si="0"/>
        <v>530</v>
      </c>
      <c r="F33" s="20" t="s">
        <v>238</v>
      </c>
      <c r="G33" s="18"/>
      <c r="H33" s="18"/>
      <c r="I33" s="18"/>
      <c r="J33" s="18"/>
      <c r="K33" s="19"/>
    </row>
    <row r="34" spans="1:11" ht="15.6">
      <c r="A34" s="14"/>
      <c r="B34" s="15">
        <f>SUM(B4:B33)</f>
        <v>37159</v>
      </c>
      <c r="C34" s="15">
        <f t="shared" ref="C34:E34" si="1">SUM(C4:C33)</f>
        <v>60768</v>
      </c>
      <c r="D34" s="15">
        <f t="shared" si="1"/>
        <v>6800</v>
      </c>
      <c r="E34" s="15">
        <f t="shared" si="1"/>
        <v>104727</v>
      </c>
      <c r="F34" s="20"/>
      <c r="G34" s="71"/>
      <c r="H34" s="78"/>
      <c r="I34" s="22"/>
      <c r="J34" s="18"/>
      <c r="K34" s="19"/>
    </row>
    <row r="35" spans="1:11" ht="15.6">
      <c r="A35" s="12"/>
      <c r="B35" s="15"/>
      <c r="C35" s="15"/>
      <c r="D35" s="15"/>
      <c r="E35" s="15"/>
      <c r="F35" s="17"/>
      <c r="G35" s="18"/>
      <c r="H35" s="18"/>
      <c r="I35" s="18"/>
      <c r="J35" s="18"/>
      <c r="K35" s="19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85"/>
      <c r="C38" s="4"/>
      <c r="E38" s="4"/>
      <c r="F38" s="5"/>
      <c r="G38" s="9"/>
      <c r="H38" s="9"/>
      <c r="I38" s="9"/>
      <c r="J38" s="9"/>
      <c r="K38" s="10"/>
    </row>
    <row r="39" spans="1:11" ht="15.6">
      <c r="A39" s="3"/>
      <c r="B39" s="86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2410憑證" xr:uid="{A39DA8C1-2514-48AA-9006-41C3ABE0D245}"/>
  </hyperlinks>
  <pageMargins left="0" right="0" top="0" bottom="0" header="0" footer="0"/>
  <pageSetup paperSize="9" scale="74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FBF4-AC68-45C5-9B0B-34E4D78BB4A9}">
  <sheetPr>
    <outlinePr summaryBelow="0" summaryRight="0"/>
  </sheetPr>
  <dimension ref="A1:AA1003"/>
  <sheetViews>
    <sheetView zoomScale="144" zoomScaleNormal="100" zoomScaleSheetLayoutView="100" workbookViewId="0">
      <pane ySplit="2" topLeftCell="A3" activePane="bottomLeft" state="frozen"/>
      <selection activeCell="B1" sqref="B1"/>
      <selection pane="bottomLeft" activeCell="E13" sqref="C13:E22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0.33203125" style="13" customWidth="1"/>
    <col min="7" max="7" width="17" style="13" bestFit="1" customWidth="1"/>
    <col min="8" max="8" width="10.33203125" style="13" bestFit="1" customWidth="1"/>
    <col min="9" max="9" width="12.109375" style="13" customWidth="1"/>
    <col min="10" max="10" width="8.33203125" style="13" customWidth="1"/>
    <col min="11" max="12" width="12.33203125" style="13" customWidth="1"/>
    <col min="13" max="13" width="15.33203125" style="13" bestFit="1" customWidth="1"/>
    <col min="14" max="14" width="15.109375" style="13" customWidth="1"/>
    <col min="15" max="16384" width="12.33203125" style="13"/>
  </cols>
  <sheetData>
    <row r="1" spans="1:27" ht="28.2" customHeight="1" thickBot="1">
      <c r="A1" s="98" t="s">
        <v>0</v>
      </c>
      <c r="B1" s="99"/>
      <c r="C1" s="99"/>
      <c r="D1" s="99"/>
      <c r="E1" s="99"/>
      <c r="F1" s="99"/>
      <c r="G1" s="99"/>
      <c r="H1" s="99"/>
      <c r="I1" s="100"/>
      <c r="K1" s="101"/>
      <c r="L1" s="102"/>
      <c r="M1" s="102"/>
      <c r="N1" s="102"/>
      <c r="O1" s="102"/>
    </row>
    <row r="2" spans="1:27">
      <c r="A2" s="27" t="s">
        <v>1</v>
      </c>
      <c r="B2" s="28" t="s">
        <v>2</v>
      </c>
      <c r="C2" s="28" t="s">
        <v>3</v>
      </c>
      <c r="D2" s="28"/>
      <c r="E2" s="28" t="s">
        <v>5</v>
      </c>
      <c r="F2" s="28" t="s">
        <v>226</v>
      </c>
      <c r="G2" s="28" t="s">
        <v>6</v>
      </c>
      <c r="H2" s="28" t="s">
        <v>7</v>
      </c>
      <c r="I2" s="29" t="s">
        <v>8</v>
      </c>
      <c r="J2" s="30"/>
      <c r="K2" s="31"/>
      <c r="L2" s="67" t="s">
        <v>9</v>
      </c>
      <c r="M2" s="32" t="s">
        <v>10</v>
      </c>
      <c r="N2" s="32" t="s">
        <v>11</v>
      </c>
      <c r="O2" s="33" t="s">
        <v>12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>
      <c r="A3" s="34">
        <v>45597</v>
      </c>
      <c r="B3" s="35">
        <v>6125</v>
      </c>
      <c r="C3" s="90">
        <v>4820</v>
      </c>
      <c r="D3" s="35">
        <v>930</v>
      </c>
      <c r="E3" s="35">
        <v>385</v>
      </c>
      <c r="F3" s="35">
        <v>0</v>
      </c>
      <c r="G3" s="35">
        <v>0</v>
      </c>
      <c r="H3" s="35">
        <f>'2411費用明細憑證'!E3</f>
        <v>0</v>
      </c>
      <c r="I3" s="82">
        <f t="shared" ref="I3:I4" si="0">B3-C3-D3-E3-F3-G3-H3</f>
        <v>-10</v>
      </c>
      <c r="J3" s="37"/>
      <c r="K3" s="38" t="s">
        <v>13</v>
      </c>
      <c r="L3" s="39">
        <f>C4+C5+C7+C8+C10+C11+C13+C14+C17+C19+C23+C25+C26+C31+C32+C16</f>
        <v>69220</v>
      </c>
      <c r="M3" s="40">
        <f>40000+12620+12560</f>
        <v>65180</v>
      </c>
      <c r="N3" s="39">
        <f>L3-M3</f>
        <v>4040</v>
      </c>
      <c r="O3" s="41">
        <f>N3-H35</f>
        <v>-14617.333333333332</v>
      </c>
    </row>
    <row r="4" spans="1:27">
      <c r="A4" s="34">
        <v>45598</v>
      </c>
      <c r="B4" s="35">
        <v>8350</v>
      </c>
      <c r="C4" s="89">
        <v>2950</v>
      </c>
      <c r="D4" s="35">
        <v>925</v>
      </c>
      <c r="E4" s="35">
        <v>165</v>
      </c>
      <c r="F4" s="35">
        <v>0</v>
      </c>
      <c r="G4" s="35">
        <v>0</v>
      </c>
      <c r="H4" s="35">
        <f>'2411費用明細憑證'!E5</f>
        <v>5700</v>
      </c>
      <c r="I4" s="82">
        <f t="shared" si="0"/>
        <v>-1390</v>
      </c>
      <c r="J4" s="37"/>
      <c r="K4" s="38" t="s">
        <v>14</v>
      </c>
      <c r="L4" s="39">
        <f>C3+C6+C9+C12+C15+C18+C21+C22+C24+C27+C28+C29+C30</f>
        <v>48495</v>
      </c>
      <c r="M4" s="81">
        <f>20000+3410+1000</f>
        <v>24410</v>
      </c>
      <c r="N4" s="88">
        <f>L4-M4</f>
        <v>24085</v>
      </c>
      <c r="O4" s="41">
        <f>N4+N6-H35</f>
        <v>30074.666666666668</v>
      </c>
    </row>
    <row r="5" spans="1:27">
      <c r="A5" s="34">
        <v>45599</v>
      </c>
      <c r="B5" s="35">
        <v>5960</v>
      </c>
      <c r="C5" s="89">
        <v>4900</v>
      </c>
      <c r="D5" s="35">
        <v>385</v>
      </c>
      <c r="E5" s="35">
        <v>185</v>
      </c>
      <c r="F5" s="35">
        <v>215</v>
      </c>
      <c r="G5" s="35">
        <v>0</v>
      </c>
      <c r="H5" s="35">
        <f>'2411費用明細憑證'!E6</f>
        <v>557</v>
      </c>
      <c r="I5" s="82">
        <f>B5-C5-D5-E5-F5-G5-H5</f>
        <v>-282</v>
      </c>
      <c r="J5" s="37"/>
      <c r="K5" s="38" t="s">
        <v>15</v>
      </c>
      <c r="L5" s="39">
        <f>C20</f>
        <v>3200</v>
      </c>
      <c r="M5" s="39">
        <v>0</v>
      </c>
      <c r="N5" s="39">
        <f>L5-M5</f>
        <v>3200</v>
      </c>
      <c r="O5" s="42">
        <f>N5-H35</f>
        <v>-15457.333333333332</v>
      </c>
    </row>
    <row r="6" spans="1:27">
      <c r="A6" s="34">
        <v>45600</v>
      </c>
      <c r="B6" s="35">
        <v>3390</v>
      </c>
      <c r="C6" s="90">
        <v>2530</v>
      </c>
      <c r="D6" s="35">
        <v>625</v>
      </c>
      <c r="E6" s="35">
        <v>65</v>
      </c>
      <c r="F6" s="35">
        <v>260</v>
      </c>
      <c r="G6" s="35">
        <v>85</v>
      </c>
      <c r="H6" s="35">
        <f>'2411費用明細憑證'!E7</f>
        <v>0</v>
      </c>
      <c r="I6" s="82">
        <f t="shared" ref="I6:I32" si="1">B6-C6-D6-E6-F6-G6-H6</f>
        <v>-175</v>
      </c>
      <c r="J6" s="37"/>
      <c r="K6" s="43" t="s">
        <v>16</v>
      </c>
      <c r="L6" s="44">
        <f>13538+11109</f>
        <v>24647</v>
      </c>
      <c r="M6" s="44"/>
      <c r="N6" s="44">
        <f>L6-M6</f>
        <v>24647</v>
      </c>
      <c r="O6" s="45"/>
    </row>
    <row r="7" spans="1:27">
      <c r="A7" s="34">
        <v>45601</v>
      </c>
      <c r="B7" s="35">
        <f>1100+4005</f>
        <v>5105</v>
      </c>
      <c r="C7" s="89">
        <v>3000</v>
      </c>
      <c r="D7" s="35">
        <v>660</v>
      </c>
      <c r="E7" s="35">
        <v>65</v>
      </c>
      <c r="F7" s="35">
        <v>0</v>
      </c>
      <c r="G7" s="35">
        <v>0</v>
      </c>
      <c r="H7" s="35">
        <f>'2411費用明細憑證'!E8</f>
        <v>1480</v>
      </c>
      <c r="I7" s="82">
        <f t="shared" si="1"/>
        <v>-100</v>
      </c>
      <c r="J7" s="37"/>
      <c r="K7" s="46" t="s">
        <v>17</v>
      </c>
      <c r="L7" s="47"/>
      <c r="M7" s="47"/>
      <c r="N7" s="48">
        <f>'2409費用明細憑證'!E33</f>
        <v>0</v>
      </c>
      <c r="O7" s="49"/>
    </row>
    <row r="8" spans="1:27">
      <c r="A8" s="34">
        <v>45602</v>
      </c>
      <c r="B8" s="35">
        <f>3730+1200</f>
        <v>4930</v>
      </c>
      <c r="C8" s="89">
        <v>2600</v>
      </c>
      <c r="D8" s="35">
        <v>835</v>
      </c>
      <c r="E8" s="35">
        <v>0</v>
      </c>
      <c r="F8" s="35">
        <v>0</v>
      </c>
      <c r="G8" s="35">
        <v>145</v>
      </c>
      <c r="H8" s="35">
        <f>'2411費用明細憑證'!E9</f>
        <v>1530</v>
      </c>
      <c r="I8" s="82">
        <f t="shared" si="1"/>
        <v>-180</v>
      </c>
      <c r="J8" s="37"/>
      <c r="K8" s="50" t="s">
        <v>18</v>
      </c>
      <c r="L8" s="51"/>
      <c r="M8" s="51"/>
      <c r="N8" s="51">
        <f>SUM(N3:N6)+M7</f>
        <v>55972</v>
      </c>
      <c r="O8" s="52"/>
    </row>
    <row r="9" spans="1:27">
      <c r="A9" s="34">
        <v>45603</v>
      </c>
      <c r="B9" s="35">
        <v>5660</v>
      </c>
      <c r="C9" s="35">
        <v>3605</v>
      </c>
      <c r="D9" s="35">
        <v>1910</v>
      </c>
      <c r="E9" s="35">
        <v>0</v>
      </c>
      <c r="F9" s="35">
        <v>0</v>
      </c>
      <c r="G9" s="35">
        <v>275</v>
      </c>
      <c r="H9" s="35">
        <f>'2411費用明細憑證'!E10</f>
        <v>0</v>
      </c>
      <c r="I9" s="82">
        <f t="shared" si="1"/>
        <v>-130</v>
      </c>
      <c r="J9" s="37"/>
      <c r="K9" s="38" t="s">
        <v>19</v>
      </c>
      <c r="L9" s="39"/>
      <c r="M9" s="39"/>
      <c r="N9" s="39">
        <v>6000</v>
      </c>
      <c r="O9" s="53"/>
    </row>
    <row r="10" spans="1:27" ht="16.2" thickBot="1">
      <c r="A10" s="34">
        <v>45604</v>
      </c>
      <c r="B10" s="54">
        <v>6900</v>
      </c>
      <c r="C10" s="91">
        <v>5810</v>
      </c>
      <c r="D10" s="54">
        <v>715</v>
      </c>
      <c r="E10" s="54">
        <v>0</v>
      </c>
      <c r="F10" s="54">
        <v>340</v>
      </c>
      <c r="G10" s="54">
        <v>145</v>
      </c>
      <c r="H10" s="35">
        <f>'2411費用明細憑證'!E11</f>
        <v>530</v>
      </c>
      <c r="I10" s="82">
        <f t="shared" si="1"/>
        <v>-640</v>
      </c>
      <c r="J10" s="37"/>
      <c r="K10" s="55" t="s">
        <v>20</v>
      </c>
      <c r="L10" s="56"/>
      <c r="M10" s="56"/>
      <c r="N10" s="56">
        <f>SUM(N8:N9)</f>
        <v>61972</v>
      </c>
      <c r="O10" s="57"/>
    </row>
    <row r="11" spans="1:27">
      <c r="A11" s="34">
        <v>45605</v>
      </c>
      <c r="B11" s="54">
        <v>5305</v>
      </c>
      <c r="C11" s="91">
        <v>4705</v>
      </c>
      <c r="D11" s="54">
        <v>560</v>
      </c>
      <c r="E11" s="54">
        <v>0</v>
      </c>
      <c r="F11" s="54">
        <v>595</v>
      </c>
      <c r="G11" s="54">
        <v>0</v>
      </c>
      <c r="H11" s="35">
        <f>'2411費用明細憑證'!E12</f>
        <v>0</v>
      </c>
      <c r="I11" s="82">
        <f t="shared" si="1"/>
        <v>-555</v>
      </c>
      <c r="J11" s="37"/>
    </row>
    <row r="12" spans="1:27">
      <c r="A12" s="34">
        <v>45606</v>
      </c>
      <c r="B12" s="54">
        <v>6500</v>
      </c>
      <c r="C12" s="54">
        <v>5400</v>
      </c>
      <c r="D12" s="54">
        <v>375</v>
      </c>
      <c r="E12" s="54">
        <v>140</v>
      </c>
      <c r="F12" s="54">
        <v>215</v>
      </c>
      <c r="G12" s="54">
        <v>505</v>
      </c>
      <c r="H12" s="35">
        <f>'2411費用明細憑證'!E13</f>
        <v>0</v>
      </c>
      <c r="I12" s="82">
        <f t="shared" si="1"/>
        <v>-135</v>
      </c>
      <c r="J12" s="37"/>
    </row>
    <row r="13" spans="1:27">
      <c r="A13" s="34">
        <v>45607</v>
      </c>
      <c r="B13" s="54">
        <v>6595</v>
      </c>
      <c r="C13" s="91">
        <v>4380</v>
      </c>
      <c r="D13" s="54">
        <v>585</v>
      </c>
      <c r="E13" s="54">
        <v>220</v>
      </c>
      <c r="F13" s="54">
        <v>0</v>
      </c>
      <c r="G13" s="54">
        <v>55</v>
      </c>
      <c r="H13" s="35">
        <f>'2411費用明細憑證'!E14</f>
        <v>530</v>
      </c>
      <c r="I13" s="82">
        <f t="shared" si="1"/>
        <v>825</v>
      </c>
      <c r="J13" s="37"/>
      <c r="K13" s="30" t="s">
        <v>182</v>
      </c>
    </row>
    <row r="14" spans="1:27">
      <c r="A14" s="34">
        <v>45608</v>
      </c>
      <c r="B14" s="54">
        <v>5470</v>
      </c>
      <c r="C14" s="91">
        <v>5050</v>
      </c>
      <c r="D14" s="54">
        <v>440</v>
      </c>
      <c r="E14" s="54">
        <v>0</v>
      </c>
      <c r="F14" s="54">
        <v>0</v>
      </c>
      <c r="G14" s="54">
        <v>0</v>
      </c>
      <c r="H14" s="35">
        <f>'2411費用明細憑證'!E15-12560</f>
        <v>570</v>
      </c>
      <c r="I14" s="82">
        <f t="shared" si="1"/>
        <v>-590</v>
      </c>
      <c r="J14" s="37"/>
      <c r="K14" s="84" t="s">
        <v>180</v>
      </c>
    </row>
    <row r="15" spans="1:27">
      <c r="A15" s="34">
        <v>45609</v>
      </c>
      <c r="B15" s="54">
        <v>3750</v>
      </c>
      <c r="C15" s="54">
        <v>2350</v>
      </c>
      <c r="D15" s="54">
        <v>995</v>
      </c>
      <c r="E15" s="54">
        <v>165</v>
      </c>
      <c r="F15" s="54">
        <v>0</v>
      </c>
      <c r="G15" s="54">
        <v>380</v>
      </c>
      <c r="H15" s="35">
        <f>'2411費用明細憑證'!E16-3410</f>
        <v>0</v>
      </c>
      <c r="I15" s="82">
        <f t="shared" si="1"/>
        <v>-140</v>
      </c>
      <c r="J15" s="37"/>
      <c r="K15" s="13" t="s">
        <v>181</v>
      </c>
    </row>
    <row r="16" spans="1:27">
      <c r="A16" s="34">
        <v>45610</v>
      </c>
      <c r="B16" s="54">
        <v>6430</v>
      </c>
      <c r="C16" s="91">
        <v>5775</v>
      </c>
      <c r="D16" s="54">
        <v>395</v>
      </c>
      <c r="E16" s="54">
        <v>260</v>
      </c>
      <c r="F16" s="54">
        <v>0</v>
      </c>
      <c r="G16" s="54">
        <v>0</v>
      </c>
      <c r="H16" s="35">
        <f>'2411費用明細憑證'!E17</f>
        <v>530</v>
      </c>
      <c r="I16" s="82">
        <f t="shared" si="1"/>
        <v>-530</v>
      </c>
      <c r="J16" s="37"/>
    </row>
    <row r="17" spans="1:15">
      <c r="A17" s="34">
        <v>45611</v>
      </c>
      <c r="B17" s="54">
        <v>7905</v>
      </c>
      <c r="C17" s="91">
        <v>6380</v>
      </c>
      <c r="D17" s="54">
        <v>700</v>
      </c>
      <c r="E17" s="54">
        <v>135</v>
      </c>
      <c r="F17" s="54">
        <v>225</v>
      </c>
      <c r="G17" s="54">
        <v>0</v>
      </c>
      <c r="H17" s="35">
        <f>'2411費用明細憑證'!E18</f>
        <v>0</v>
      </c>
      <c r="I17" s="82">
        <f t="shared" si="1"/>
        <v>465</v>
      </c>
      <c r="J17" s="37"/>
    </row>
    <row r="18" spans="1:15">
      <c r="A18" s="34">
        <v>45612</v>
      </c>
      <c r="B18" s="54">
        <v>4610</v>
      </c>
      <c r="C18" s="54">
        <v>3750</v>
      </c>
      <c r="D18" s="54">
        <v>646</v>
      </c>
      <c r="E18" s="54">
        <v>40</v>
      </c>
      <c r="F18" s="54">
        <v>190</v>
      </c>
      <c r="G18" s="54">
        <v>0</v>
      </c>
      <c r="H18" s="35">
        <f>'2411費用明細憑證'!E19-60000</f>
        <v>0</v>
      </c>
      <c r="I18" s="82">
        <f t="shared" si="1"/>
        <v>-16</v>
      </c>
    </row>
    <row r="19" spans="1:15">
      <c r="A19" s="34">
        <v>45613</v>
      </c>
      <c r="B19" s="54">
        <v>5690</v>
      </c>
      <c r="C19" s="91">
        <v>4630</v>
      </c>
      <c r="D19" s="54">
        <v>935</v>
      </c>
      <c r="E19" s="54">
        <v>140</v>
      </c>
      <c r="F19" s="54">
        <v>0</v>
      </c>
      <c r="G19" s="54">
        <v>0</v>
      </c>
      <c r="H19" s="35">
        <f>'2411費用明細憑證'!E20</f>
        <v>795</v>
      </c>
      <c r="I19" s="82">
        <f t="shared" si="1"/>
        <v>-810</v>
      </c>
      <c r="O19" s="13" t="s">
        <v>184</v>
      </c>
    </row>
    <row r="20" spans="1:15">
      <c r="A20" s="34">
        <v>45614</v>
      </c>
      <c r="B20" s="54">
        <v>4255</v>
      </c>
      <c r="C20" s="92">
        <v>3200</v>
      </c>
      <c r="D20" s="54">
        <v>215</v>
      </c>
      <c r="E20" s="54">
        <v>315</v>
      </c>
      <c r="F20" s="54">
        <v>0</v>
      </c>
      <c r="G20" s="54">
        <v>0</v>
      </c>
      <c r="H20" s="35">
        <f>'2411費用明細憑證'!E21</f>
        <v>0</v>
      </c>
      <c r="I20" s="82">
        <f t="shared" si="1"/>
        <v>525</v>
      </c>
    </row>
    <row r="21" spans="1:15">
      <c r="A21" s="34">
        <v>45615</v>
      </c>
      <c r="B21" s="54">
        <v>5235</v>
      </c>
      <c r="C21" s="54">
        <v>3800</v>
      </c>
      <c r="D21" s="54">
        <v>1275</v>
      </c>
      <c r="E21" s="54">
        <v>115</v>
      </c>
      <c r="F21" s="54">
        <v>0</v>
      </c>
      <c r="G21" s="54">
        <v>0</v>
      </c>
      <c r="H21" s="35">
        <f>'2411費用明細憑證'!E22</f>
        <v>0</v>
      </c>
      <c r="I21" s="82">
        <f t="shared" si="1"/>
        <v>45</v>
      </c>
    </row>
    <row r="22" spans="1:15">
      <c r="A22" s="34">
        <v>45616</v>
      </c>
      <c r="B22" s="54">
        <v>6830</v>
      </c>
      <c r="C22" s="54">
        <v>4525</v>
      </c>
      <c r="D22" s="54">
        <v>1485</v>
      </c>
      <c r="E22" s="54">
        <v>230</v>
      </c>
      <c r="F22" s="54"/>
      <c r="G22" s="54">
        <v>0</v>
      </c>
      <c r="H22" s="35">
        <f>'2411費用明細憑證'!E23</f>
        <v>0</v>
      </c>
      <c r="I22" s="82">
        <f t="shared" si="1"/>
        <v>590</v>
      </c>
    </row>
    <row r="23" spans="1:15">
      <c r="A23" s="34">
        <v>45617</v>
      </c>
      <c r="B23" s="54">
        <v>5335</v>
      </c>
      <c r="C23" s="91">
        <v>4120</v>
      </c>
      <c r="D23" s="54">
        <v>210</v>
      </c>
      <c r="E23" s="54">
        <v>205</v>
      </c>
      <c r="F23" s="54"/>
      <c r="G23" s="54">
        <v>0</v>
      </c>
      <c r="H23" s="35">
        <f>'2411費用明細憑證'!E24</f>
        <v>530</v>
      </c>
      <c r="I23" s="82">
        <f t="shared" si="1"/>
        <v>270</v>
      </c>
    </row>
    <row r="24" spans="1:15">
      <c r="A24" s="34">
        <v>45618</v>
      </c>
      <c r="B24" s="54">
        <v>4865</v>
      </c>
      <c r="C24" s="93">
        <v>3450</v>
      </c>
      <c r="D24" s="54">
        <v>420</v>
      </c>
      <c r="E24" s="54">
        <v>0</v>
      </c>
      <c r="F24" s="54"/>
      <c r="G24" s="54">
        <v>0</v>
      </c>
      <c r="H24" s="35">
        <v>1000</v>
      </c>
      <c r="I24" s="82">
        <f t="shared" si="1"/>
        <v>-5</v>
      </c>
    </row>
    <row r="25" spans="1:15">
      <c r="A25" s="34">
        <v>45619</v>
      </c>
      <c r="B25" s="54">
        <v>5516</v>
      </c>
      <c r="C25" s="91">
        <v>4100</v>
      </c>
      <c r="D25" s="54">
        <v>400</v>
      </c>
      <c r="E25" s="54">
        <v>95</v>
      </c>
      <c r="F25" s="54">
        <v>576</v>
      </c>
      <c r="G25" s="54">
        <v>375</v>
      </c>
      <c r="H25" s="35">
        <f>'2411費用明細憑證'!E26</f>
        <v>530</v>
      </c>
      <c r="I25" s="82">
        <f t="shared" si="1"/>
        <v>-560</v>
      </c>
    </row>
    <row r="26" spans="1:15">
      <c r="A26" s="34">
        <v>45620</v>
      </c>
      <c r="B26" s="54">
        <v>5580</v>
      </c>
      <c r="C26" s="91">
        <v>4600</v>
      </c>
      <c r="D26" s="54">
        <v>450</v>
      </c>
      <c r="E26" s="54">
        <v>285</v>
      </c>
      <c r="F26" s="54">
        <v>220</v>
      </c>
      <c r="G26" s="54">
        <v>350</v>
      </c>
      <c r="H26" s="35">
        <f>'2411費用明細憑證'!E27</f>
        <v>1000</v>
      </c>
      <c r="I26" s="82">
        <f t="shared" si="1"/>
        <v>-1325</v>
      </c>
    </row>
    <row r="27" spans="1:15">
      <c r="A27" s="34">
        <v>45621</v>
      </c>
      <c r="B27" s="54">
        <v>5530</v>
      </c>
      <c r="C27" s="54">
        <v>3725</v>
      </c>
      <c r="D27" s="54">
        <v>815</v>
      </c>
      <c r="E27" s="54">
        <v>120</v>
      </c>
      <c r="F27" s="54">
        <v>0</v>
      </c>
      <c r="G27" s="54">
        <v>350</v>
      </c>
      <c r="H27" s="35">
        <f>'2411費用明細憑證'!E28</f>
        <v>530</v>
      </c>
      <c r="I27" s="82">
        <f t="shared" si="1"/>
        <v>-10</v>
      </c>
    </row>
    <row r="28" spans="1:15">
      <c r="A28" s="34">
        <v>45622</v>
      </c>
      <c r="B28" s="54">
        <v>4190</v>
      </c>
      <c r="C28" s="35">
        <v>3200</v>
      </c>
      <c r="D28" s="54">
        <v>995</v>
      </c>
      <c r="E28" s="54">
        <v>0</v>
      </c>
      <c r="F28" s="54">
        <v>0</v>
      </c>
      <c r="G28" s="54">
        <v>55</v>
      </c>
      <c r="H28" s="35">
        <f>'2411費用明細憑證'!E29-12620</f>
        <v>0</v>
      </c>
      <c r="I28" s="82">
        <f t="shared" si="1"/>
        <v>-60</v>
      </c>
    </row>
    <row r="29" spans="1:15">
      <c r="A29" s="34">
        <v>45623</v>
      </c>
      <c r="B29" s="54">
        <v>4220</v>
      </c>
      <c r="C29" s="54">
        <v>3165</v>
      </c>
      <c r="D29" s="54">
        <v>700</v>
      </c>
      <c r="E29" s="54">
        <v>0</v>
      </c>
      <c r="F29" s="54">
        <v>440</v>
      </c>
      <c r="G29" s="54">
        <v>0</v>
      </c>
      <c r="H29" s="35">
        <f>'2411費用明細憑證'!E30</f>
        <v>0</v>
      </c>
      <c r="I29" s="82">
        <f t="shared" si="1"/>
        <v>-85</v>
      </c>
    </row>
    <row r="30" spans="1:15">
      <c r="A30" s="34">
        <v>45624</v>
      </c>
      <c r="B30" s="54">
        <v>5350</v>
      </c>
      <c r="C30" s="54">
        <v>4175</v>
      </c>
      <c r="D30" s="54">
        <v>205</v>
      </c>
      <c r="E30" s="54">
        <v>0</v>
      </c>
      <c r="F30" s="54">
        <v>220</v>
      </c>
      <c r="G30" s="54">
        <v>0</v>
      </c>
      <c r="H30" s="35">
        <f>'2411費用明細憑證'!E31</f>
        <v>795</v>
      </c>
      <c r="I30" s="82">
        <f t="shared" si="1"/>
        <v>-45</v>
      </c>
    </row>
    <row r="31" spans="1:15">
      <c r="A31" s="34">
        <v>45625</v>
      </c>
      <c r="B31" s="54">
        <v>4500</v>
      </c>
      <c r="C31" s="91">
        <v>2100</v>
      </c>
      <c r="D31" s="54">
        <v>780</v>
      </c>
      <c r="E31" s="54">
        <v>0</v>
      </c>
      <c r="F31" s="54">
        <v>0</v>
      </c>
      <c r="G31" s="54">
        <v>0</v>
      </c>
      <c r="H31" s="35">
        <f>'2411費用明細憑證'!E32</f>
        <v>0</v>
      </c>
      <c r="I31" s="82">
        <f t="shared" si="1"/>
        <v>1620</v>
      </c>
    </row>
    <row r="32" spans="1:15">
      <c r="A32" s="34">
        <v>45626</v>
      </c>
      <c r="B32" s="54">
        <v>4860</v>
      </c>
      <c r="C32" s="91">
        <v>4120</v>
      </c>
      <c r="D32" s="54">
        <v>690</v>
      </c>
      <c r="E32" s="54">
        <v>0</v>
      </c>
      <c r="F32" s="54">
        <v>300</v>
      </c>
      <c r="G32" s="54">
        <v>0</v>
      </c>
      <c r="H32" s="35">
        <f>'2411費用明細憑證'!E33</f>
        <v>530</v>
      </c>
      <c r="I32" s="82">
        <f t="shared" si="1"/>
        <v>-780</v>
      </c>
    </row>
    <row r="33" spans="1:10" ht="16.2" thickBot="1">
      <c r="A33" s="34"/>
      <c r="B33" s="54"/>
      <c r="C33" s="54">
        <f>SUM(C3:C32)</f>
        <v>120915</v>
      </c>
      <c r="D33" s="54">
        <f>SUM(D3:D32)</f>
        <v>21256</v>
      </c>
      <c r="E33" s="54">
        <f>SUM(E3:E32)</f>
        <v>3330</v>
      </c>
      <c r="F33" s="54"/>
      <c r="G33" s="54"/>
      <c r="H33" s="35"/>
      <c r="I33" s="82"/>
    </row>
    <row r="34" spans="1:10">
      <c r="A34" s="62" t="s">
        <v>21</v>
      </c>
      <c r="B34" s="63" t="s">
        <v>22</v>
      </c>
      <c r="C34" s="63" t="s">
        <v>23</v>
      </c>
      <c r="D34" s="63" t="s">
        <v>24</v>
      </c>
      <c r="E34" s="63"/>
      <c r="F34" s="63"/>
      <c r="G34" s="63" t="s">
        <v>25</v>
      </c>
      <c r="H34" s="103" t="s">
        <v>26</v>
      </c>
      <c r="I34" s="104"/>
      <c r="J34" s="37"/>
    </row>
    <row r="35" spans="1:10" ht="16.2" thickBot="1">
      <c r="A35" s="64" t="s">
        <v>27</v>
      </c>
      <c r="B35" s="65">
        <f>SUM(B3:B33)</f>
        <v>164941</v>
      </c>
      <c r="C35" s="65">
        <f>'2411費用明細憑證'!E34</f>
        <v>104727</v>
      </c>
      <c r="D35" s="65">
        <f>B35-C35</f>
        <v>60214</v>
      </c>
      <c r="E35" s="65"/>
      <c r="F35" s="65"/>
      <c r="G35" s="66">
        <f>B35-C35-12620-12520</f>
        <v>35074</v>
      </c>
      <c r="H35" s="105">
        <f>N8/3</f>
        <v>18657.333333333332</v>
      </c>
      <c r="I35" s="106"/>
      <c r="J35" s="37"/>
    </row>
    <row r="36" spans="1:10">
      <c r="A36" s="25"/>
    </row>
    <row r="37" spans="1:10">
      <c r="A37" s="25"/>
    </row>
    <row r="38" spans="1:10">
      <c r="A38" s="25"/>
    </row>
    <row r="39" spans="1:10">
      <c r="A39" s="25"/>
    </row>
    <row r="40" spans="1:10">
      <c r="A40" s="25"/>
    </row>
    <row r="41" spans="1:10">
      <c r="A41" s="25"/>
    </row>
    <row r="42" spans="1:10">
      <c r="A42" s="25"/>
    </row>
    <row r="43" spans="1:10">
      <c r="A43" s="25"/>
    </row>
    <row r="44" spans="1:10">
      <c r="A44" s="25"/>
    </row>
    <row r="45" spans="1:10">
      <c r="A45" s="25"/>
    </row>
    <row r="46" spans="1:10">
      <c r="A46" s="25"/>
    </row>
    <row r="47" spans="1:10">
      <c r="A47" s="25"/>
    </row>
    <row r="48" spans="1:10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</sheetData>
  <mergeCells count="4">
    <mergeCell ref="A1:I1"/>
    <mergeCell ref="K1:O1"/>
    <mergeCell ref="H34:I34"/>
    <mergeCell ref="H35:I35"/>
  </mergeCells>
  <phoneticPr fontId="5" type="noConversion"/>
  <dataValidations count="1">
    <dataValidation type="list" allowBlank="1" showErrorMessage="1" sqref="K2" xr:uid="{25A6CD90-3333-4B61-9E90-9337C6A475EC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906F-5AF3-9540-8470-B58C73040CB8}">
  <sheetPr>
    <outlinePr summaryBelow="0" summaryRight="0"/>
  </sheetPr>
  <dimension ref="A1:Z1003"/>
  <sheetViews>
    <sheetView zoomScaleNormal="100" zoomScaleSheetLayoutView="100" workbookViewId="0">
      <pane ySplit="2" topLeftCell="A20" activePane="bottomLeft" state="frozen"/>
      <selection activeCell="B1" sqref="B1"/>
      <selection pane="bottomLeft" activeCell="H42" sqref="H42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7" style="13" bestFit="1" customWidth="1"/>
    <col min="7" max="7" width="10.33203125" style="13" bestFit="1" customWidth="1"/>
    <col min="8" max="8" width="12.109375" style="13" customWidth="1"/>
    <col min="9" max="9" width="8.33203125" style="13" customWidth="1"/>
    <col min="10" max="11" width="12.33203125" style="13" customWidth="1"/>
    <col min="12" max="12" width="15.33203125" style="13" bestFit="1" customWidth="1"/>
    <col min="13" max="13" width="15.109375" style="13" customWidth="1"/>
    <col min="14" max="16384" width="12.33203125" style="13"/>
  </cols>
  <sheetData>
    <row r="1" spans="1:26" ht="28.2" customHeight="1" thickBot="1">
      <c r="A1" s="98" t="s">
        <v>0</v>
      </c>
      <c r="B1" s="99"/>
      <c r="C1" s="99"/>
      <c r="D1" s="99"/>
      <c r="E1" s="99"/>
      <c r="F1" s="99"/>
      <c r="G1" s="99"/>
      <c r="H1" s="100"/>
      <c r="J1" s="101"/>
      <c r="K1" s="102"/>
      <c r="L1" s="102"/>
      <c r="M1" s="102"/>
      <c r="N1" s="102"/>
    </row>
    <row r="2" spans="1:26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9" t="s">
        <v>8</v>
      </c>
      <c r="I2" s="30"/>
      <c r="J2" s="31"/>
      <c r="K2" s="67" t="s">
        <v>9</v>
      </c>
      <c r="L2" s="32" t="s">
        <v>10</v>
      </c>
      <c r="M2" s="32" t="s">
        <v>11</v>
      </c>
      <c r="N2" s="33" t="s">
        <v>12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4">
        <v>45566</v>
      </c>
      <c r="B3" s="35">
        <v>5165</v>
      </c>
      <c r="C3" s="35">
        <f>3510</f>
        <v>3510</v>
      </c>
      <c r="D3" s="35">
        <v>990</v>
      </c>
      <c r="E3" s="35">
        <v>45</v>
      </c>
      <c r="F3" s="35">
        <v>0</v>
      </c>
      <c r="G3" s="35">
        <f>'2410費用明細憑證'!E3</f>
        <v>660</v>
      </c>
      <c r="H3" s="82">
        <f>(B3-D3-E3-F3-G3-C3)</f>
        <v>-40</v>
      </c>
      <c r="I3" s="37"/>
      <c r="J3" s="38" t="s">
        <v>13</v>
      </c>
      <c r="K3" s="39">
        <f>C3+C5+C6+C8+C9+C10+C12+C14+C15+C17+C20+C21+C23+C24+C26+C27+C29+C30+C31+C33</f>
        <v>83515</v>
      </c>
      <c r="L3" s="40">
        <f>40000+11000+11715</f>
        <v>62715</v>
      </c>
      <c r="M3" s="39">
        <f>K3-L3</f>
        <v>20800</v>
      </c>
      <c r="N3" s="41">
        <f>M3-G35</f>
        <v>7061.6666666666661</v>
      </c>
    </row>
    <row r="4" spans="1:26">
      <c r="A4" s="34">
        <v>45567</v>
      </c>
      <c r="B4" s="35">
        <v>4995</v>
      </c>
      <c r="C4" s="35">
        <v>3730</v>
      </c>
      <c r="D4" s="35">
        <v>305</v>
      </c>
      <c r="E4" s="35">
        <v>165</v>
      </c>
      <c r="F4" s="35">
        <v>0</v>
      </c>
      <c r="G4" s="35">
        <f>'2410費用明細憑證'!E4</f>
        <v>795</v>
      </c>
      <c r="H4" s="82">
        <f t="shared" ref="H4:H32" si="0">(B4-D4-E4-F4-G4-C4)</f>
        <v>0</v>
      </c>
      <c r="I4" s="37"/>
      <c r="J4" s="38" t="s">
        <v>14</v>
      </c>
      <c r="K4" s="39">
        <f>C4+C7+C11+C13+C16+C19+C22+C25+C28+4830</f>
        <v>46566</v>
      </c>
      <c r="L4" s="81">
        <f>2348+15822+20030+530+855+700+1399+4831</f>
        <v>46515</v>
      </c>
      <c r="M4" s="39">
        <f>K4-L4</f>
        <v>51</v>
      </c>
      <c r="N4" s="41">
        <f>M4+M6-G35</f>
        <v>6541.6666666666661</v>
      </c>
    </row>
    <row r="5" spans="1:26">
      <c r="A5" s="34">
        <v>45568</v>
      </c>
      <c r="B5" s="35">
        <v>3790</v>
      </c>
      <c r="C5" s="35">
        <v>3450</v>
      </c>
      <c r="D5" s="35">
        <v>360</v>
      </c>
      <c r="E5" s="35">
        <v>0</v>
      </c>
      <c r="F5" s="35">
        <v>0</v>
      </c>
      <c r="G5" s="35">
        <f>'2410費用明細憑證'!E5</f>
        <v>11000</v>
      </c>
      <c r="H5" s="82">
        <f>(B5-D5-E5-F5-G5-C5)+11000</f>
        <v>-20</v>
      </c>
      <c r="I5" s="37"/>
      <c r="J5" s="38" t="s">
        <v>15</v>
      </c>
      <c r="K5" s="39">
        <f>C18+645</f>
        <v>5325</v>
      </c>
      <c r="L5" s="39">
        <f>1350+3840</f>
        <v>5190</v>
      </c>
      <c r="M5" s="39">
        <f>K5-L5</f>
        <v>135</v>
      </c>
      <c r="N5" s="42">
        <f>M5-G35</f>
        <v>-13603.333333333334</v>
      </c>
    </row>
    <row r="6" spans="1:26">
      <c r="A6" s="34">
        <v>45569</v>
      </c>
      <c r="B6" s="35">
        <v>4790</v>
      </c>
      <c r="C6" s="35">
        <v>980</v>
      </c>
      <c r="D6" s="35">
        <v>610</v>
      </c>
      <c r="E6" s="35">
        <v>65</v>
      </c>
      <c r="F6" s="35">
        <v>0</v>
      </c>
      <c r="G6" s="35">
        <f>'2410費用明細憑證'!E6</f>
        <v>3120</v>
      </c>
      <c r="H6" s="82">
        <f>(B6-D6-E6-F6-G6-C6)</f>
        <v>15</v>
      </c>
      <c r="I6" s="37"/>
      <c r="J6" s="43" t="s">
        <v>16</v>
      </c>
      <c r="K6" s="44">
        <f>14037+12262</f>
        <v>26299</v>
      </c>
      <c r="L6" s="44">
        <v>6070</v>
      </c>
      <c r="M6" s="44">
        <f>K6-L6</f>
        <v>20229</v>
      </c>
      <c r="N6" s="45"/>
    </row>
    <row r="7" spans="1:26">
      <c r="A7" s="34">
        <v>45570</v>
      </c>
      <c r="B7" s="35">
        <v>6910</v>
      </c>
      <c r="C7" s="35">
        <v>6195</v>
      </c>
      <c r="D7" s="35">
        <v>660</v>
      </c>
      <c r="E7" s="35">
        <v>55</v>
      </c>
      <c r="F7" s="35">
        <v>0</v>
      </c>
      <c r="G7" s="35">
        <f>'2410費用明細憑證'!E7</f>
        <v>0</v>
      </c>
      <c r="H7" s="82">
        <f>(B7-D7-E7-F7-G7-C7)</f>
        <v>0</v>
      </c>
      <c r="I7" s="37"/>
      <c r="J7" s="46" t="s">
        <v>17</v>
      </c>
      <c r="K7" s="47"/>
      <c r="L7" s="47"/>
      <c r="M7" s="48">
        <f>'2409費用明細憑證'!E33</f>
        <v>0</v>
      </c>
      <c r="N7" s="49"/>
    </row>
    <row r="8" spans="1:26">
      <c r="A8" s="34">
        <v>45571</v>
      </c>
      <c r="B8" s="35">
        <v>6620</v>
      </c>
      <c r="C8" s="35">
        <v>5280</v>
      </c>
      <c r="D8" s="35">
        <v>875</v>
      </c>
      <c r="E8" s="35">
        <v>70</v>
      </c>
      <c r="F8" s="35">
        <v>770</v>
      </c>
      <c r="G8" s="35">
        <f>'2410費用明細憑證'!E8</f>
        <v>0</v>
      </c>
      <c r="H8" s="82">
        <f t="shared" si="0"/>
        <v>-375</v>
      </c>
      <c r="I8" s="37"/>
      <c r="J8" s="50" t="s">
        <v>18</v>
      </c>
      <c r="K8" s="51"/>
      <c r="L8" s="51"/>
      <c r="M8" s="51">
        <f>SUM(M3:M6)+L7</f>
        <v>41215</v>
      </c>
      <c r="N8" s="52"/>
    </row>
    <row r="9" spans="1:26">
      <c r="A9" s="34">
        <v>45572</v>
      </c>
      <c r="B9" s="35">
        <v>6795</v>
      </c>
      <c r="C9" s="35">
        <v>4100</v>
      </c>
      <c r="D9" s="35">
        <v>1100</v>
      </c>
      <c r="E9" s="35">
        <v>455</v>
      </c>
      <c r="F9" s="35">
        <v>275</v>
      </c>
      <c r="G9" s="35">
        <f>'2410費用明細憑證'!E9</f>
        <v>530</v>
      </c>
      <c r="H9" s="82">
        <f t="shared" si="0"/>
        <v>335</v>
      </c>
      <c r="I9" s="37"/>
      <c r="J9" s="38" t="s">
        <v>19</v>
      </c>
      <c r="K9" s="39"/>
      <c r="L9" s="39"/>
      <c r="M9" s="39">
        <v>6000</v>
      </c>
      <c r="N9" s="53"/>
    </row>
    <row r="10" spans="1:26" ht="16.2" thickBot="1">
      <c r="A10" s="34">
        <v>45573</v>
      </c>
      <c r="B10" s="54">
        <v>6655</v>
      </c>
      <c r="C10" s="54">
        <v>5010</v>
      </c>
      <c r="D10" s="54">
        <v>895</v>
      </c>
      <c r="E10" s="54">
        <v>0</v>
      </c>
      <c r="F10" s="54">
        <v>435</v>
      </c>
      <c r="G10" s="35">
        <f>'2410費用明細憑證'!E10</f>
        <v>570</v>
      </c>
      <c r="H10" s="82">
        <f t="shared" si="0"/>
        <v>-255</v>
      </c>
      <c r="I10" s="37"/>
      <c r="J10" s="55" t="s">
        <v>20</v>
      </c>
      <c r="K10" s="56"/>
      <c r="L10" s="56"/>
      <c r="M10" s="56">
        <f>SUM(M8:M9)</f>
        <v>47215</v>
      </c>
      <c r="N10" s="57"/>
    </row>
    <row r="11" spans="1:26">
      <c r="A11" s="34">
        <v>45574</v>
      </c>
      <c r="B11" s="54">
        <v>5045</v>
      </c>
      <c r="C11" s="54">
        <v>3935</v>
      </c>
      <c r="D11" s="54">
        <v>315</v>
      </c>
      <c r="E11" s="54">
        <v>265</v>
      </c>
      <c r="F11" s="54">
        <v>0</v>
      </c>
      <c r="G11" s="35">
        <f>'2410費用明細憑證'!E11</f>
        <v>530</v>
      </c>
      <c r="H11" s="82">
        <f>(B11-D11-E11-F11-G11-C11)</f>
        <v>0</v>
      </c>
      <c r="I11" s="37"/>
    </row>
    <row r="12" spans="1:26">
      <c r="A12" s="34">
        <v>45575</v>
      </c>
      <c r="B12" s="54">
        <v>7860</v>
      </c>
      <c r="C12" s="54">
        <v>5400</v>
      </c>
      <c r="D12" s="54">
        <v>895</v>
      </c>
      <c r="E12" s="54">
        <v>0</v>
      </c>
      <c r="F12" s="54">
        <v>1065</v>
      </c>
      <c r="G12" s="35">
        <f>'2410費用明細憑證'!E12</f>
        <v>0</v>
      </c>
      <c r="H12" s="82">
        <f t="shared" si="0"/>
        <v>500</v>
      </c>
      <c r="I12" s="37"/>
    </row>
    <row r="13" spans="1:26">
      <c r="A13" s="34">
        <v>45576</v>
      </c>
      <c r="B13" s="54">
        <v>6635</v>
      </c>
      <c r="C13" s="54">
        <v>3870</v>
      </c>
      <c r="D13" s="54">
        <v>1020</v>
      </c>
      <c r="E13" s="54">
        <v>45</v>
      </c>
      <c r="F13" s="54">
        <v>905</v>
      </c>
      <c r="G13" s="35">
        <f>'2410費用明細憑證'!E13</f>
        <v>795</v>
      </c>
      <c r="H13" s="82">
        <f t="shared" si="0"/>
        <v>0</v>
      </c>
      <c r="I13" s="37"/>
      <c r="J13" s="30" t="s">
        <v>182</v>
      </c>
    </row>
    <row r="14" spans="1:26">
      <c r="A14" s="34">
        <v>45577</v>
      </c>
      <c r="B14" s="54">
        <v>8090</v>
      </c>
      <c r="C14" s="54">
        <v>8200</v>
      </c>
      <c r="D14" s="54">
        <v>360</v>
      </c>
      <c r="E14" s="54">
        <v>0</v>
      </c>
      <c r="F14" s="54">
        <v>0</v>
      </c>
      <c r="G14" s="35">
        <f>'2410費用明細憑證'!E14</f>
        <v>0</v>
      </c>
      <c r="H14" s="82">
        <f>(B14-D14-E14-F14-G14-C14)</f>
        <v>-470</v>
      </c>
      <c r="I14" s="37"/>
      <c r="J14" s="84" t="s">
        <v>180</v>
      </c>
    </row>
    <row r="15" spans="1:26">
      <c r="A15" s="34">
        <v>45578</v>
      </c>
      <c r="B15" s="54">
        <v>7550</v>
      </c>
      <c r="C15" s="54">
        <v>5865</v>
      </c>
      <c r="D15" s="54">
        <v>800</v>
      </c>
      <c r="E15" s="54">
        <v>0</v>
      </c>
      <c r="F15" s="54">
        <f>65+1050</f>
        <v>1115</v>
      </c>
      <c r="G15" s="35">
        <f>'2410費用明細憑證'!E15</f>
        <v>0</v>
      </c>
      <c r="H15" s="82">
        <f t="shared" si="0"/>
        <v>-230</v>
      </c>
      <c r="I15" s="37"/>
      <c r="J15" s="13" t="s">
        <v>181</v>
      </c>
    </row>
    <row r="16" spans="1:26">
      <c r="A16" s="34">
        <v>45579</v>
      </c>
      <c r="B16" s="54">
        <v>7305</v>
      </c>
      <c r="C16" s="54">
        <v>3816</v>
      </c>
      <c r="D16" s="54">
        <v>1150</v>
      </c>
      <c r="E16" s="54">
        <v>235</v>
      </c>
      <c r="F16" s="54">
        <v>0</v>
      </c>
      <c r="G16" s="35">
        <f>'2410費用明細憑證'!E16</f>
        <v>2104</v>
      </c>
      <c r="H16" s="82">
        <f t="shared" si="0"/>
        <v>0</v>
      </c>
      <c r="I16" s="37"/>
    </row>
    <row r="17" spans="1:14">
      <c r="A17" s="34">
        <v>45580</v>
      </c>
      <c r="B17" s="54">
        <v>7930</v>
      </c>
      <c r="C17" s="54">
        <v>6510</v>
      </c>
      <c r="D17" s="54">
        <v>650</v>
      </c>
      <c r="E17" s="54">
        <v>175</v>
      </c>
      <c r="F17" s="54"/>
      <c r="G17" s="35">
        <f>'2410費用明細憑證'!E17</f>
        <v>78941</v>
      </c>
      <c r="H17" s="82">
        <f>(B17-D17-E17-F17-G17-C17)+60030+18170</f>
        <v>-146</v>
      </c>
      <c r="I17" s="37"/>
    </row>
    <row r="18" spans="1:14">
      <c r="A18" s="34">
        <v>45581</v>
      </c>
      <c r="B18" s="54">
        <v>5980</v>
      </c>
      <c r="C18" s="54">
        <v>4680</v>
      </c>
      <c r="D18" s="54">
        <v>355</v>
      </c>
      <c r="E18" s="54">
        <v>0</v>
      </c>
      <c r="F18" s="54">
        <v>245</v>
      </c>
      <c r="G18" s="35">
        <f>'2410費用明細憑證'!E18</f>
        <v>6865</v>
      </c>
      <c r="H18" s="82">
        <f>(B18-D18-E18-F18-G18-C18)+6070</f>
        <v>-95</v>
      </c>
    </row>
    <row r="19" spans="1:14">
      <c r="A19" s="34">
        <v>45582</v>
      </c>
      <c r="B19" s="54">
        <v>8375</v>
      </c>
      <c r="C19" s="54">
        <v>7135</v>
      </c>
      <c r="D19" s="54">
        <v>490</v>
      </c>
      <c r="E19" s="54">
        <v>120</v>
      </c>
      <c r="F19" s="54">
        <v>630</v>
      </c>
      <c r="G19" s="35">
        <f>'2410費用明細憑證'!E19</f>
        <v>0</v>
      </c>
      <c r="H19" s="82">
        <f t="shared" si="0"/>
        <v>0</v>
      </c>
      <c r="N19" s="13" t="s">
        <v>184</v>
      </c>
    </row>
    <row r="20" spans="1:14">
      <c r="A20" s="34">
        <v>45583</v>
      </c>
      <c r="B20" s="54">
        <v>6365</v>
      </c>
      <c r="C20" s="54">
        <v>4800</v>
      </c>
      <c r="D20" s="54">
        <v>990</v>
      </c>
      <c r="E20" s="54">
        <v>65</v>
      </c>
      <c r="F20" s="54">
        <v>350</v>
      </c>
      <c r="G20" s="35">
        <f>'2410費用明細憑證'!E20</f>
        <v>12245</v>
      </c>
      <c r="H20" s="82">
        <f>(B20-D20-E20-F20-G20-C20)+11715</f>
        <v>-370</v>
      </c>
    </row>
    <row r="21" spans="1:14">
      <c r="A21" s="34">
        <v>45584</v>
      </c>
      <c r="B21" s="54">
        <v>4480</v>
      </c>
      <c r="C21" s="54">
        <v>3800</v>
      </c>
      <c r="D21" s="54">
        <v>380</v>
      </c>
      <c r="E21" s="54">
        <v>45</v>
      </c>
      <c r="F21" s="54">
        <v>380</v>
      </c>
      <c r="G21" s="35">
        <f>'2410費用明細憑證'!E21</f>
        <v>0</v>
      </c>
      <c r="H21" s="82">
        <f t="shared" si="0"/>
        <v>-125</v>
      </c>
    </row>
    <row r="22" spans="1:14">
      <c r="A22" s="34">
        <v>45585</v>
      </c>
      <c r="B22" s="54">
        <v>6090</v>
      </c>
      <c r="C22" s="54">
        <v>4525</v>
      </c>
      <c r="D22" s="54">
        <v>1190</v>
      </c>
      <c r="E22" s="54">
        <v>0</v>
      </c>
      <c r="F22" s="54">
        <v>0</v>
      </c>
      <c r="G22" s="35">
        <f>'2410費用明細憑證'!E22</f>
        <v>0</v>
      </c>
      <c r="H22" s="82">
        <f>(B22-D22-E22-F22-G22-C22)</f>
        <v>375</v>
      </c>
    </row>
    <row r="23" spans="1:14">
      <c r="A23" s="34">
        <v>45586</v>
      </c>
      <c r="B23" s="54">
        <v>4855</v>
      </c>
      <c r="C23" s="54">
        <v>3000</v>
      </c>
      <c r="D23" s="54">
        <v>1175</v>
      </c>
      <c r="E23" s="54">
        <v>190</v>
      </c>
      <c r="F23" s="54">
        <v>200</v>
      </c>
      <c r="G23" s="35">
        <f>'2410費用明細憑證'!E23</f>
        <v>5720</v>
      </c>
      <c r="H23" s="82">
        <f>(B23-D23-E23-F23-G23-C23)+5190</f>
        <v>-240</v>
      </c>
    </row>
    <row r="24" spans="1:14">
      <c r="A24" s="34">
        <v>45587</v>
      </c>
      <c r="B24" s="54">
        <v>4945</v>
      </c>
      <c r="C24" s="54">
        <v>3000</v>
      </c>
      <c r="D24" s="54">
        <v>1050</v>
      </c>
      <c r="E24" s="54">
        <v>250</v>
      </c>
      <c r="F24" s="54">
        <v>0</v>
      </c>
      <c r="G24" s="35">
        <f>'2410費用明細憑證'!E24</f>
        <v>530</v>
      </c>
      <c r="H24" s="82">
        <f t="shared" si="0"/>
        <v>115</v>
      </c>
    </row>
    <row r="25" spans="1:14">
      <c r="A25" s="34">
        <v>45588</v>
      </c>
      <c r="B25" s="54">
        <v>4210</v>
      </c>
      <c r="C25" s="54">
        <f>3710+530</f>
        <v>4240</v>
      </c>
      <c r="D25" s="54">
        <v>500</v>
      </c>
      <c r="E25" s="54">
        <v>0</v>
      </c>
      <c r="F25" s="54">
        <v>0</v>
      </c>
      <c r="G25" s="35">
        <f>'2410費用明細憑證'!E25</f>
        <v>0</v>
      </c>
      <c r="H25" s="82">
        <f>(B25-D25-E25-F25-G25-C25)+530</f>
        <v>0</v>
      </c>
    </row>
    <row r="26" spans="1:14">
      <c r="A26" s="34">
        <v>45589</v>
      </c>
      <c r="B26" s="54">
        <v>5580</v>
      </c>
      <c r="C26" s="54">
        <v>4900</v>
      </c>
      <c r="D26" s="54">
        <v>845</v>
      </c>
      <c r="E26" s="54">
        <v>0</v>
      </c>
      <c r="F26" s="54">
        <v>0</v>
      </c>
      <c r="G26" s="35">
        <f>'2410費用明細憑證'!E26</f>
        <v>0</v>
      </c>
      <c r="H26" s="82">
        <f t="shared" si="0"/>
        <v>-165</v>
      </c>
    </row>
    <row r="27" spans="1:14">
      <c r="A27" s="34">
        <v>45590</v>
      </c>
      <c r="B27" s="54">
        <v>4970</v>
      </c>
      <c r="C27" s="54">
        <v>1230</v>
      </c>
      <c r="D27" s="54">
        <v>1540</v>
      </c>
      <c r="E27" s="54">
        <v>0</v>
      </c>
      <c r="F27" s="54">
        <v>0</v>
      </c>
      <c r="G27" s="35">
        <f>'2410費用明細憑證'!E27</f>
        <v>2519</v>
      </c>
      <c r="H27" s="82">
        <f t="shared" si="0"/>
        <v>-319</v>
      </c>
    </row>
    <row r="28" spans="1:14">
      <c r="A28" s="34">
        <v>45591</v>
      </c>
      <c r="B28" s="54">
        <v>5165</v>
      </c>
      <c r="C28" s="35">
        <v>4290</v>
      </c>
      <c r="D28" s="54">
        <v>675</v>
      </c>
      <c r="E28" s="54">
        <v>0</v>
      </c>
      <c r="F28" s="54">
        <v>200</v>
      </c>
      <c r="G28" s="35">
        <f>'2410費用明細憑證'!E28</f>
        <v>0</v>
      </c>
      <c r="H28" s="82">
        <f t="shared" si="0"/>
        <v>0</v>
      </c>
    </row>
    <row r="29" spans="1:14">
      <c r="A29" s="34">
        <v>45592</v>
      </c>
      <c r="B29" s="54">
        <v>6425</v>
      </c>
      <c r="C29" s="54">
        <v>5000</v>
      </c>
      <c r="D29" s="54">
        <v>1095</v>
      </c>
      <c r="E29" s="54">
        <v>340</v>
      </c>
      <c r="F29" s="54">
        <v>495</v>
      </c>
      <c r="G29" s="35">
        <f>'2410費用明細憑證'!E29</f>
        <v>855</v>
      </c>
      <c r="H29" s="82">
        <f>(B29-D29-E29-F29-G29-C29)+855</f>
        <v>-505</v>
      </c>
    </row>
    <row r="30" spans="1:14">
      <c r="A30" s="34">
        <v>45593</v>
      </c>
      <c r="B30" s="54">
        <v>6965</v>
      </c>
      <c r="C30" s="54">
        <v>5100</v>
      </c>
      <c r="D30" s="54">
        <v>1010</v>
      </c>
      <c r="E30" s="54">
        <v>120</v>
      </c>
      <c r="F30" s="54">
        <v>0</v>
      </c>
      <c r="G30" s="35">
        <f>'2410費用明細憑證'!E30</f>
        <v>795</v>
      </c>
      <c r="H30" s="82">
        <f t="shared" si="0"/>
        <v>-60</v>
      </c>
    </row>
    <row r="31" spans="1:14">
      <c r="A31" s="34">
        <v>45594</v>
      </c>
      <c r="B31" s="54">
        <v>4470</v>
      </c>
      <c r="C31" s="54">
        <v>3520</v>
      </c>
      <c r="D31" s="54">
        <v>415</v>
      </c>
      <c r="E31" s="54">
        <v>120</v>
      </c>
      <c r="F31" s="54">
        <v>0</v>
      </c>
      <c r="G31" s="35">
        <f>'2410費用明細憑證'!E31</f>
        <v>1038</v>
      </c>
      <c r="H31" s="82">
        <f>(B31-D31-E31-F31-G31-C31)+700</f>
        <v>77</v>
      </c>
    </row>
    <row r="32" spans="1:14">
      <c r="A32" s="34">
        <v>45595</v>
      </c>
      <c r="B32" s="54">
        <v>5805</v>
      </c>
      <c r="C32" s="54">
        <v>4830</v>
      </c>
      <c r="D32" s="54">
        <v>275</v>
      </c>
      <c r="E32" s="54">
        <v>170</v>
      </c>
      <c r="F32" s="54">
        <v>0</v>
      </c>
      <c r="G32" s="35">
        <f>'2410費用明細憑證'!E32</f>
        <v>530</v>
      </c>
      <c r="H32" s="82">
        <f t="shared" si="0"/>
        <v>0</v>
      </c>
    </row>
    <row r="33" spans="1:9" ht="16.2" thickBot="1">
      <c r="A33" s="34">
        <v>45596</v>
      </c>
      <c r="B33" s="54">
        <v>860</v>
      </c>
      <c r="C33" s="54">
        <v>860</v>
      </c>
      <c r="D33" s="54">
        <v>180</v>
      </c>
      <c r="E33" s="54">
        <v>0</v>
      </c>
      <c r="F33" s="54">
        <v>0</v>
      </c>
      <c r="G33" s="35">
        <f>'2410費用明細憑證'!E33</f>
        <v>6230</v>
      </c>
      <c r="H33" s="82">
        <f>(B33-D33-E33-F33-G33-C33)</f>
        <v>-6410</v>
      </c>
    </row>
    <row r="34" spans="1:9">
      <c r="A34" s="62" t="s">
        <v>21</v>
      </c>
      <c r="B34" s="63" t="s">
        <v>22</v>
      </c>
      <c r="C34" s="63" t="s">
        <v>23</v>
      </c>
      <c r="D34" s="63" t="s">
        <v>24</v>
      </c>
      <c r="E34" s="63"/>
      <c r="F34" s="63" t="s">
        <v>25</v>
      </c>
      <c r="G34" s="103" t="s">
        <v>26</v>
      </c>
      <c r="H34" s="104"/>
      <c r="I34" s="37"/>
    </row>
    <row r="35" spans="1:9" ht="16.2" thickBot="1">
      <c r="A35" s="64" t="s">
        <v>27</v>
      </c>
      <c r="B35" s="65">
        <f>SUM(B3:B33)</f>
        <v>181675</v>
      </c>
      <c r="C35" s="65">
        <f>SUM(G3:G33)</f>
        <v>136372</v>
      </c>
      <c r="D35" s="65">
        <f>B35-C35</f>
        <v>45303</v>
      </c>
      <c r="E35" s="65"/>
      <c r="F35" s="66">
        <f>SUM(H3:H33)</f>
        <v>-8408</v>
      </c>
      <c r="G35" s="105">
        <f>M8/3</f>
        <v>13738.333333333334</v>
      </c>
      <c r="H35" s="106"/>
      <c r="I35" s="37"/>
    </row>
    <row r="36" spans="1:9">
      <c r="A36" s="25"/>
    </row>
    <row r="37" spans="1:9">
      <c r="A37" s="25"/>
    </row>
    <row r="38" spans="1:9">
      <c r="A38" s="25"/>
    </row>
    <row r="39" spans="1:9">
      <c r="A39" s="25"/>
    </row>
    <row r="40" spans="1:9">
      <c r="A40" s="25"/>
    </row>
    <row r="41" spans="1:9">
      <c r="A41" s="25"/>
    </row>
    <row r="42" spans="1:9">
      <c r="A42" s="25"/>
    </row>
    <row r="43" spans="1:9">
      <c r="A43" s="25"/>
    </row>
    <row r="44" spans="1:9">
      <c r="A44" s="25"/>
    </row>
    <row r="45" spans="1:9">
      <c r="A45" s="25"/>
    </row>
    <row r="46" spans="1:9">
      <c r="A46" s="25"/>
    </row>
    <row r="47" spans="1:9">
      <c r="A47" s="25"/>
    </row>
    <row r="48" spans="1:9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</sheetData>
  <mergeCells count="4">
    <mergeCell ref="A1:H1"/>
    <mergeCell ref="J1:N1"/>
    <mergeCell ref="G34:H34"/>
    <mergeCell ref="G35:H35"/>
  </mergeCells>
  <phoneticPr fontId="5" type="noConversion"/>
  <dataValidations count="1">
    <dataValidation type="list" allowBlank="1" showErrorMessage="1" sqref="J2" xr:uid="{EECD4455-88BC-784A-A936-79D3A0979034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E637-78F1-E449-BB7C-50D149CAE300}">
  <sheetPr>
    <outlinePr summaryBelow="0" summaryRight="0"/>
  </sheetPr>
  <dimension ref="A1:Z1003"/>
  <sheetViews>
    <sheetView zoomScaleNormal="100" zoomScaleSheetLayoutView="100" workbookViewId="0">
      <pane ySplit="2" topLeftCell="A12" activePane="bottomLeft" state="frozen"/>
      <selection activeCell="D1" sqref="D1"/>
      <selection pane="bottomLeft" activeCell="E8" sqref="E8"/>
    </sheetView>
  </sheetViews>
  <sheetFormatPr defaultColWidth="12.33203125" defaultRowHeight="15"/>
  <cols>
    <col min="1" max="1" width="13.6640625" style="2" bestFit="1" customWidth="1"/>
    <col min="2" max="3" width="11.33203125" style="2" bestFit="1" customWidth="1"/>
    <col min="4" max="4" width="11.33203125" style="7" bestFit="1" customWidth="1"/>
    <col min="5" max="5" width="11.33203125" style="2" bestFit="1" customWidth="1"/>
    <col min="6" max="6" width="21.6640625" style="2" customWidth="1"/>
    <col min="7" max="7" width="13.6640625" style="2" bestFit="1" customWidth="1"/>
    <col min="8" max="8" width="14.77734375" style="2" bestFit="1" customWidth="1"/>
    <col min="9" max="10" width="12.33203125" style="2" bestFit="1" customWidth="1"/>
    <col min="11" max="16384" width="12.33203125" style="2"/>
  </cols>
  <sheetData>
    <row r="1" spans="1:26" s="8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 ht="15.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4">
        <v>45566</v>
      </c>
      <c r="C3" s="15"/>
      <c r="D3" s="16">
        <v>660</v>
      </c>
      <c r="E3" s="15">
        <f>SUM(B3:D3)</f>
        <v>660</v>
      </c>
      <c r="F3" s="20" t="s">
        <v>210</v>
      </c>
      <c r="G3" s="108" t="s">
        <v>209</v>
      </c>
      <c r="H3" s="108"/>
      <c r="I3" s="108"/>
      <c r="J3" s="108"/>
      <c r="K3" s="108"/>
    </row>
    <row r="4" spans="1:26" ht="15.6">
      <c r="A4" s="14">
        <v>45567</v>
      </c>
      <c r="B4" s="15">
        <v>795</v>
      </c>
      <c r="E4" s="15">
        <f>SUM(B4:D4)</f>
        <v>795</v>
      </c>
      <c r="F4" s="87" t="s">
        <v>211</v>
      </c>
      <c r="G4" s="18"/>
      <c r="H4" s="18"/>
      <c r="I4" s="18"/>
      <c r="J4" s="18"/>
      <c r="K4" s="19"/>
    </row>
    <row r="5" spans="1:26" ht="15.6">
      <c r="A5" s="14">
        <v>45568</v>
      </c>
      <c r="B5" s="15"/>
      <c r="C5" s="15"/>
      <c r="D5" s="16">
        <v>11000</v>
      </c>
      <c r="E5" s="15">
        <f t="shared" ref="E5:E34" si="0">SUM(B5:D5)</f>
        <v>11000</v>
      </c>
      <c r="F5" s="17" t="s">
        <v>212</v>
      </c>
      <c r="G5" s="71"/>
      <c r="H5" s="71"/>
      <c r="I5" s="18"/>
      <c r="J5" s="18"/>
      <c r="K5" s="19"/>
    </row>
    <row r="6" spans="1:26" ht="46.8">
      <c r="A6" s="14">
        <v>45569</v>
      </c>
      <c r="B6" s="15">
        <f>530+440</f>
        <v>970</v>
      </c>
      <c r="C6" s="15"/>
      <c r="D6" s="16">
        <v>2150</v>
      </c>
      <c r="E6" s="15">
        <f t="shared" si="0"/>
        <v>3120</v>
      </c>
      <c r="F6" s="20" t="s">
        <v>213</v>
      </c>
      <c r="G6" s="18"/>
      <c r="H6" s="18"/>
      <c r="I6" s="18"/>
      <c r="J6" s="18"/>
      <c r="K6" s="19"/>
    </row>
    <row r="7" spans="1:26" ht="15.6">
      <c r="A7" s="14">
        <v>45570</v>
      </c>
      <c r="B7" s="15"/>
      <c r="C7" s="15"/>
      <c r="D7" s="16"/>
      <c r="E7" s="15">
        <f t="shared" si="0"/>
        <v>0</v>
      </c>
      <c r="F7" s="17"/>
      <c r="G7" s="71"/>
      <c r="H7" s="18"/>
      <c r="I7" s="18"/>
      <c r="J7" s="18"/>
      <c r="K7" s="19"/>
    </row>
    <row r="8" spans="1:26" ht="15.6">
      <c r="A8" s="14">
        <v>45571</v>
      </c>
      <c r="B8" s="15"/>
      <c r="C8" s="15"/>
      <c r="D8" s="16"/>
      <c r="E8" s="15">
        <f t="shared" si="0"/>
        <v>0</v>
      </c>
      <c r="F8" s="20"/>
      <c r="G8" s="18"/>
      <c r="H8" s="18"/>
      <c r="I8" s="18"/>
      <c r="J8" s="18"/>
      <c r="K8" s="19"/>
    </row>
    <row r="9" spans="1:26" ht="15.6">
      <c r="A9" s="14">
        <v>45572</v>
      </c>
      <c r="B9" s="15">
        <v>530</v>
      </c>
      <c r="C9" s="15"/>
      <c r="D9" s="16"/>
      <c r="E9" s="15">
        <f t="shared" si="0"/>
        <v>530</v>
      </c>
      <c r="F9" s="20" t="s">
        <v>40</v>
      </c>
      <c r="G9" s="78"/>
      <c r="H9" s="78"/>
      <c r="I9" s="78"/>
      <c r="J9" s="21"/>
      <c r="K9" s="21"/>
    </row>
    <row r="10" spans="1:26" ht="31.2">
      <c r="A10" s="14">
        <v>45573</v>
      </c>
      <c r="B10" s="15">
        <v>350</v>
      </c>
      <c r="C10" s="15"/>
      <c r="D10" s="16">
        <v>220</v>
      </c>
      <c r="E10" s="15">
        <f t="shared" si="0"/>
        <v>570</v>
      </c>
      <c r="F10" s="20" t="s">
        <v>214</v>
      </c>
      <c r="G10" s="71"/>
      <c r="H10" s="21"/>
      <c r="I10" s="18"/>
      <c r="J10" s="18"/>
      <c r="K10" s="19"/>
    </row>
    <row r="11" spans="1:26" ht="15.6">
      <c r="A11" s="14">
        <v>45574</v>
      </c>
      <c r="B11" s="15">
        <v>530</v>
      </c>
      <c r="C11" s="15"/>
      <c r="D11" s="16"/>
      <c r="E11" s="15">
        <f t="shared" si="0"/>
        <v>530</v>
      </c>
      <c r="F11" s="20" t="s">
        <v>40</v>
      </c>
      <c r="G11" s="71"/>
      <c r="H11" s="18"/>
      <c r="I11" s="18"/>
      <c r="J11" s="18"/>
      <c r="K11" s="19"/>
    </row>
    <row r="12" spans="1:26" ht="15.6">
      <c r="A12" s="14">
        <v>45575</v>
      </c>
      <c r="B12" s="15"/>
      <c r="C12" s="15"/>
      <c r="D12" s="16"/>
      <c r="E12" s="15">
        <f t="shared" si="0"/>
        <v>0</v>
      </c>
      <c r="F12" s="17"/>
      <c r="G12" s="22"/>
      <c r="H12" s="18"/>
      <c r="I12" s="18"/>
      <c r="J12" s="18"/>
      <c r="K12" s="19"/>
    </row>
    <row r="13" spans="1:26" ht="15.6">
      <c r="A13" s="14">
        <v>45576</v>
      </c>
      <c r="B13" s="15">
        <v>795</v>
      </c>
      <c r="C13" s="15"/>
      <c r="D13" s="16"/>
      <c r="E13" s="15">
        <f t="shared" si="0"/>
        <v>795</v>
      </c>
      <c r="F13" s="20" t="s">
        <v>111</v>
      </c>
      <c r="G13" s="78"/>
      <c r="H13" s="78"/>
      <c r="I13" s="18"/>
      <c r="J13" s="18"/>
      <c r="K13" s="19"/>
    </row>
    <row r="14" spans="1:26" ht="15.6">
      <c r="A14" s="14">
        <v>45577</v>
      </c>
      <c r="B14" s="15"/>
      <c r="C14" s="15"/>
      <c r="D14" s="16"/>
      <c r="E14" s="15">
        <f t="shared" si="0"/>
        <v>0</v>
      </c>
      <c r="F14" s="20"/>
      <c r="G14" s="78"/>
      <c r="H14" s="78"/>
      <c r="I14" s="18"/>
      <c r="J14" s="18"/>
      <c r="K14" s="19"/>
    </row>
    <row r="15" spans="1:26" ht="15.6">
      <c r="A15" s="14">
        <v>45578</v>
      </c>
      <c r="B15" s="15"/>
      <c r="C15" s="15"/>
      <c r="D15" s="16"/>
      <c r="E15" s="15">
        <f t="shared" si="0"/>
        <v>0</v>
      </c>
      <c r="F15" s="20"/>
      <c r="G15" s="78"/>
      <c r="H15" s="78"/>
      <c r="I15" s="24"/>
      <c r="J15" s="78"/>
      <c r="K15" s="19"/>
    </row>
    <row r="16" spans="1:26" ht="62.4">
      <c r="A16" s="14">
        <v>45579</v>
      </c>
      <c r="B16" s="15">
        <f>530+235</f>
        <v>765</v>
      </c>
      <c r="C16" s="15"/>
      <c r="D16" s="16">
        <f>89+600+650</f>
        <v>1339</v>
      </c>
      <c r="E16" s="15">
        <f t="shared" si="0"/>
        <v>2104</v>
      </c>
      <c r="F16" s="20" t="s">
        <v>215</v>
      </c>
      <c r="G16" s="22"/>
      <c r="H16" s="18"/>
      <c r="I16" s="18"/>
      <c r="J16" s="18"/>
      <c r="K16" s="19"/>
    </row>
    <row r="17" spans="1:11" ht="62.4">
      <c r="A17" s="14">
        <v>45580</v>
      </c>
      <c r="B17" s="15">
        <v>741</v>
      </c>
      <c r="C17" s="7">
        <v>60000</v>
      </c>
      <c r="D17" s="16">
        <f>30+18170</f>
        <v>18200</v>
      </c>
      <c r="E17" s="15">
        <f t="shared" si="0"/>
        <v>78941</v>
      </c>
      <c r="F17" s="75" t="s">
        <v>220</v>
      </c>
      <c r="G17" s="78"/>
      <c r="H17" s="78"/>
      <c r="I17" s="24"/>
      <c r="J17" s="18"/>
      <c r="K17" s="19"/>
    </row>
    <row r="18" spans="1:11" ht="31.2">
      <c r="A18" s="14">
        <v>45581</v>
      </c>
      <c r="B18" s="15">
        <v>795</v>
      </c>
      <c r="C18" s="15"/>
      <c r="D18" s="16">
        <v>6070</v>
      </c>
      <c r="E18" s="15">
        <f t="shared" si="0"/>
        <v>6865</v>
      </c>
      <c r="F18" s="20" t="s">
        <v>216</v>
      </c>
      <c r="G18" s="19"/>
      <c r="H18" s="19"/>
      <c r="I18" s="18"/>
      <c r="J18" s="18"/>
      <c r="K18" s="19"/>
    </row>
    <row r="19" spans="1:11" ht="15.6">
      <c r="A19" s="14">
        <v>45582</v>
      </c>
      <c r="B19" s="15"/>
      <c r="C19" s="15"/>
      <c r="D19" s="16"/>
      <c r="E19" s="15">
        <f t="shared" si="0"/>
        <v>0</v>
      </c>
      <c r="F19" s="20"/>
      <c r="G19" s="71"/>
      <c r="H19" s="22"/>
      <c r="I19" s="18"/>
      <c r="J19" s="18"/>
      <c r="K19" s="19"/>
    </row>
    <row r="20" spans="1:11" ht="31.2">
      <c r="A20" s="14">
        <v>45583</v>
      </c>
      <c r="B20" s="15">
        <v>530</v>
      </c>
      <c r="C20" s="15"/>
      <c r="D20" s="16">
        <v>11715</v>
      </c>
      <c r="E20" s="15">
        <f t="shared" ref="E20" si="1">SUM(B20:D20)</f>
        <v>12245</v>
      </c>
      <c r="F20" s="20" t="s">
        <v>217</v>
      </c>
      <c r="G20" s="78"/>
      <c r="H20" s="18"/>
      <c r="I20" s="18"/>
      <c r="J20" s="18"/>
      <c r="K20" s="19"/>
    </row>
    <row r="21" spans="1:11" ht="15.6">
      <c r="A21" s="14">
        <v>45584</v>
      </c>
      <c r="B21" s="15"/>
      <c r="C21" s="15"/>
      <c r="D21" s="16"/>
      <c r="E21" s="15">
        <f t="shared" si="0"/>
        <v>0</v>
      </c>
      <c r="F21" s="17"/>
      <c r="G21" s="71"/>
      <c r="H21" s="18"/>
      <c r="I21" s="18"/>
      <c r="J21" s="18"/>
      <c r="K21" s="19"/>
    </row>
    <row r="22" spans="1:11" ht="15.6">
      <c r="A22" s="14">
        <v>45585</v>
      </c>
      <c r="B22" s="15"/>
      <c r="C22" s="15"/>
      <c r="D22" s="16"/>
      <c r="E22" s="15">
        <f t="shared" si="0"/>
        <v>0</v>
      </c>
      <c r="F22" s="20"/>
      <c r="G22" s="71"/>
      <c r="H22" s="18"/>
      <c r="I22" s="18"/>
      <c r="J22" s="18"/>
      <c r="K22" s="19"/>
    </row>
    <row r="23" spans="1:11" ht="46.8">
      <c r="A23" s="14">
        <v>45586</v>
      </c>
      <c r="B23" s="15">
        <f>530+1350</f>
        <v>1880</v>
      </c>
      <c r="C23" s="15"/>
      <c r="D23" s="16">
        <v>3840</v>
      </c>
      <c r="E23" s="15">
        <f t="shared" si="0"/>
        <v>5720</v>
      </c>
      <c r="F23" s="20" t="s">
        <v>218</v>
      </c>
      <c r="G23" s="18"/>
      <c r="H23" s="18"/>
      <c r="I23" s="18"/>
      <c r="J23" s="18"/>
      <c r="K23" s="19"/>
    </row>
    <row r="24" spans="1:11" ht="15.6">
      <c r="A24" s="14">
        <v>45587</v>
      </c>
      <c r="B24" s="15">
        <v>530</v>
      </c>
      <c r="C24" s="15"/>
      <c r="D24" s="16"/>
      <c r="E24" s="15">
        <f t="shared" ref="E24" si="2">SUM(B24:D24)</f>
        <v>530</v>
      </c>
      <c r="F24" s="20" t="s">
        <v>40</v>
      </c>
      <c r="G24" s="78"/>
      <c r="H24" s="78"/>
      <c r="I24" s="78"/>
      <c r="J24" s="18"/>
      <c r="K24" s="19"/>
    </row>
    <row r="25" spans="1:11" ht="15.6">
      <c r="A25" s="14">
        <v>45588</v>
      </c>
      <c r="B25" s="15"/>
      <c r="C25" s="15"/>
      <c r="D25" s="16"/>
      <c r="E25" s="15">
        <f t="shared" si="0"/>
        <v>0</v>
      </c>
      <c r="F25" s="20"/>
      <c r="G25" s="18"/>
      <c r="H25" s="18"/>
      <c r="I25" s="18"/>
      <c r="J25" s="18"/>
      <c r="K25" s="19"/>
    </row>
    <row r="26" spans="1:11" ht="15.6">
      <c r="A26" s="14">
        <v>45589</v>
      </c>
      <c r="B26" s="15"/>
      <c r="C26" s="15"/>
      <c r="D26" s="16"/>
      <c r="E26" s="15">
        <f t="shared" si="0"/>
        <v>0</v>
      </c>
      <c r="F26" s="17"/>
      <c r="G26" s="78"/>
      <c r="H26" s="18"/>
      <c r="I26" s="18"/>
      <c r="J26" s="18"/>
      <c r="K26" s="19"/>
    </row>
    <row r="27" spans="1:11" ht="46.8">
      <c r="A27" s="14">
        <v>45590</v>
      </c>
      <c r="B27" s="15">
        <f>1900+530</f>
        <v>2430</v>
      </c>
      <c r="C27" s="15"/>
      <c r="D27" s="16">
        <v>89</v>
      </c>
      <c r="E27" s="15">
        <f t="shared" si="0"/>
        <v>2519</v>
      </c>
      <c r="F27" s="20" t="s">
        <v>221</v>
      </c>
      <c r="G27" s="18"/>
      <c r="H27" s="18"/>
      <c r="I27" s="18"/>
      <c r="J27" s="18"/>
      <c r="K27" s="19"/>
    </row>
    <row r="28" spans="1:11" ht="15.6">
      <c r="A28" s="14">
        <v>45591</v>
      </c>
      <c r="B28" s="15"/>
      <c r="C28" s="15"/>
      <c r="D28" s="16"/>
      <c r="E28" s="15">
        <f t="shared" si="0"/>
        <v>0</v>
      </c>
      <c r="F28" s="20"/>
      <c r="G28" s="18"/>
      <c r="H28" s="18"/>
      <c r="I28" s="18"/>
      <c r="J28" s="18"/>
      <c r="K28" s="19"/>
    </row>
    <row r="29" spans="1:11" ht="15.6">
      <c r="A29" s="14">
        <v>45592</v>
      </c>
      <c r="B29" s="15"/>
      <c r="C29" s="15"/>
      <c r="D29" s="16">
        <v>855</v>
      </c>
      <c r="E29" s="15">
        <f t="shared" si="0"/>
        <v>855</v>
      </c>
      <c r="F29" s="20" t="s">
        <v>222</v>
      </c>
      <c r="G29" s="22"/>
      <c r="H29" s="18"/>
      <c r="I29" s="18"/>
      <c r="J29" s="18"/>
      <c r="K29" s="19"/>
    </row>
    <row r="30" spans="1:11" ht="15.6">
      <c r="A30" s="14">
        <v>45593</v>
      </c>
      <c r="B30" s="15">
        <v>795</v>
      </c>
      <c r="C30" s="15"/>
      <c r="D30" s="16"/>
      <c r="E30" s="15">
        <f t="shared" ref="E30" si="3">SUM(B30:D30)</f>
        <v>795</v>
      </c>
      <c r="F30" s="20" t="s">
        <v>111</v>
      </c>
      <c r="G30" s="22"/>
      <c r="H30" s="18"/>
      <c r="I30" s="18"/>
      <c r="J30" s="18"/>
      <c r="K30" s="19"/>
    </row>
    <row r="31" spans="1:11" ht="31.2">
      <c r="A31" s="14">
        <v>45594</v>
      </c>
      <c r="B31" s="15"/>
      <c r="C31" s="15"/>
      <c r="D31" s="16">
        <f>338+700</f>
        <v>1038</v>
      </c>
      <c r="E31" s="15">
        <f t="shared" si="0"/>
        <v>1038</v>
      </c>
      <c r="F31" s="20" t="s">
        <v>223</v>
      </c>
      <c r="G31" s="22"/>
      <c r="H31" s="18"/>
      <c r="I31" s="18"/>
      <c r="J31" s="18"/>
      <c r="K31" s="19"/>
    </row>
    <row r="32" spans="1:11" ht="15.6">
      <c r="A32" s="14">
        <v>45595</v>
      </c>
      <c r="B32" s="15">
        <v>530</v>
      </c>
      <c r="C32" s="15"/>
      <c r="D32" s="16"/>
      <c r="E32" s="15">
        <f t="shared" si="0"/>
        <v>530</v>
      </c>
      <c r="F32" s="17" t="s">
        <v>224</v>
      </c>
      <c r="G32" s="18"/>
      <c r="H32" s="18"/>
      <c r="I32" s="18"/>
      <c r="J32" s="18"/>
      <c r="K32" s="19"/>
    </row>
    <row r="33" spans="1:11" ht="15.6">
      <c r="A33" s="14">
        <v>45596</v>
      </c>
      <c r="B33" s="15"/>
      <c r="C33" s="15"/>
      <c r="D33" s="16">
        <f>1399+4831</f>
        <v>6230</v>
      </c>
      <c r="E33" s="15">
        <f t="shared" si="0"/>
        <v>6230</v>
      </c>
      <c r="F33" s="20" t="s">
        <v>225</v>
      </c>
      <c r="G33" s="18"/>
      <c r="H33" s="18"/>
      <c r="I33" s="18"/>
      <c r="J33" s="18"/>
      <c r="K33" s="19"/>
    </row>
    <row r="34" spans="1:11" ht="15.6">
      <c r="A34" s="14" t="s">
        <v>58</v>
      </c>
      <c r="B34" s="15"/>
      <c r="C34" s="15"/>
      <c r="D34" s="16"/>
      <c r="E34" s="15">
        <f t="shared" si="0"/>
        <v>0</v>
      </c>
      <c r="F34" s="20"/>
      <c r="G34" s="71"/>
      <c r="H34" s="78"/>
      <c r="I34" s="22"/>
      <c r="J34" s="18"/>
      <c r="K34" s="19"/>
    </row>
    <row r="35" spans="1:11" ht="15.6">
      <c r="A35" s="12" t="s">
        <v>27</v>
      </c>
      <c r="B35" s="15">
        <f>SUM(B4:B33)</f>
        <v>12966</v>
      </c>
      <c r="C35" s="15">
        <f>SUM(C3:C33)</f>
        <v>60000</v>
      </c>
      <c r="D35" s="15">
        <f>SUM(D3:D33)</f>
        <v>63406</v>
      </c>
      <c r="E35" s="15">
        <f>SUM(E3:E33)</f>
        <v>136372</v>
      </c>
      <c r="F35" s="17"/>
      <c r="G35" s="18"/>
      <c r="H35" s="18"/>
      <c r="I35" s="18"/>
      <c r="J35" s="18"/>
      <c r="K35" s="19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85"/>
      <c r="C38" s="4"/>
      <c r="E38" s="4"/>
      <c r="F38" s="5"/>
      <c r="G38" s="9"/>
      <c r="H38" s="9"/>
      <c r="I38" s="9"/>
      <c r="J38" s="9"/>
      <c r="K38" s="10"/>
    </row>
    <row r="39" spans="1:11" ht="15.6">
      <c r="A39" s="3"/>
      <c r="B39" s="86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2410憑證" xr:uid="{74034ECF-9239-2D4F-8AC6-37008028DEB9}"/>
  </hyperlinks>
  <pageMargins left="0" right="0" top="0" bottom="0" header="0" footer="0"/>
  <pageSetup paperSize="9" scale="74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D0EB-4D6B-9340-B84A-AB72DD78241F}">
  <sheetPr>
    <outlinePr summaryBelow="0" summaryRight="0"/>
  </sheetPr>
  <dimension ref="A1:Z1002"/>
  <sheetViews>
    <sheetView zoomScale="110" zoomScaleNormal="110" zoomScaleSheetLayoutView="100" workbookViewId="0">
      <pane ySplit="2" topLeftCell="A3" activePane="bottomLeft" state="frozen"/>
      <selection activeCell="B1" sqref="B1"/>
      <selection pane="bottomLeft" activeCell="L5" sqref="L5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7" style="13" bestFit="1" customWidth="1"/>
    <col min="7" max="7" width="10.33203125" style="13" bestFit="1" customWidth="1"/>
    <col min="8" max="8" width="12.109375" style="13" customWidth="1"/>
    <col min="9" max="9" width="8.33203125" style="13" customWidth="1"/>
    <col min="10" max="11" width="12.33203125" style="13" customWidth="1"/>
    <col min="12" max="12" width="15.33203125" style="13" bestFit="1" customWidth="1"/>
    <col min="13" max="13" width="15.109375" style="13" customWidth="1"/>
    <col min="14" max="16384" width="12.33203125" style="13"/>
  </cols>
  <sheetData>
    <row r="1" spans="1:26" ht="28.2" customHeight="1" thickBot="1">
      <c r="A1" s="98" t="s">
        <v>0</v>
      </c>
      <c r="B1" s="99"/>
      <c r="C1" s="99"/>
      <c r="D1" s="99"/>
      <c r="E1" s="99"/>
      <c r="F1" s="99"/>
      <c r="G1" s="99"/>
      <c r="H1" s="100"/>
      <c r="J1" s="101"/>
      <c r="K1" s="102"/>
      <c r="L1" s="102"/>
      <c r="M1" s="102"/>
      <c r="N1" s="102"/>
    </row>
    <row r="2" spans="1:26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9" t="s">
        <v>8</v>
      </c>
      <c r="I2" s="30"/>
      <c r="J2" s="31"/>
      <c r="K2" s="67" t="s">
        <v>9</v>
      </c>
      <c r="L2" s="32" t="s">
        <v>10</v>
      </c>
      <c r="M2" s="32" t="s">
        <v>11</v>
      </c>
      <c r="N2" s="33" t="s">
        <v>12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4">
        <v>45536</v>
      </c>
      <c r="B3" s="35">
        <v>8383</v>
      </c>
      <c r="C3" s="35">
        <v>7200</v>
      </c>
      <c r="D3" s="35">
        <v>930</v>
      </c>
      <c r="E3" s="35">
        <v>0</v>
      </c>
      <c r="F3" s="35">
        <v>0</v>
      </c>
      <c r="G3" s="35">
        <f>'2409費用明細憑證'!E3</f>
        <v>0</v>
      </c>
      <c r="H3" s="82">
        <f>(B3-D3-E3-F3-G3-C3)</f>
        <v>253</v>
      </c>
      <c r="I3" s="37"/>
      <c r="J3" s="38" t="s">
        <v>13</v>
      </c>
      <c r="K3" s="39">
        <f>C3+C4+C5+C8+C9+C11+C12+C14+C15+C17+C18+C21+C26+C29+C30+C32</f>
        <v>80825</v>
      </c>
      <c r="L3" s="40">
        <f>10440+3800+32000+12165</f>
        <v>58405</v>
      </c>
      <c r="M3" s="39">
        <f>K3-L3</f>
        <v>22420</v>
      </c>
      <c r="N3" s="41">
        <f>M3-G34</f>
        <v>333</v>
      </c>
    </row>
    <row r="4" spans="1:26">
      <c r="A4" s="34">
        <v>45537</v>
      </c>
      <c r="B4" s="35">
        <v>7305</v>
      </c>
      <c r="C4" s="35">
        <v>5330</v>
      </c>
      <c r="D4" s="35">
        <v>1115</v>
      </c>
      <c r="E4" s="35">
        <v>210</v>
      </c>
      <c r="F4" s="35">
        <v>0</v>
      </c>
      <c r="G4" s="35">
        <f>'2409費用明細憑證'!E4</f>
        <v>795</v>
      </c>
      <c r="H4" s="82">
        <f t="shared" ref="H4:H31" si="0">(B4-D4-E4-F4-G4-C4)</f>
        <v>-145</v>
      </c>
      <c r="I4" s="37"/>
      <c r="J4" s="38" t="s">
        <v>14</v>
      </c>
      <c r="K4" s="39">
        <f>C6+C7+C10+C13+C16+C19+C22+C25+C28+C31+2000</f>
        <v>51246</v>
      </c>
      <c r="L4" s="81">
        <f>2070+7565+16000+550+88+1893+4700+1516+30</f>
        <v>34412</v>
      </c>
      <c r="M4" s="88">
        <f>K4-L4</f>
        <v>16834</v>
      </c>
      <c r="N4" s="41">
        <f>M4+M6-G34</f>
        <v>6019</v>
      </c>
    </row>
    <row r="5" spans="1:26">
      <c r="A5" s="34">
        <v>45538</v>
      </c>
      <c r="B5" s="35">
        <v>6205</v>
      </c>
      <c r="C5" s="35">
        <v>5685</v>
      </c>
      <c r="D5" s="35">
        <v>560</v>
      </c>
      <c r="E5" s="35">
        <v>60</v>
      </c>
      <c r="F5" s="35">
        <v>0</v>
      </c>
      <c r="G5" s="35">
        <f>'2409費用明細憑證'!E5</f>
        <v>0</v>
      </c>
      <c r="H5" s="82">
        <f t="shared" si="0"/>
        <v>-100</v>
      </c>
      <c r="I5" s="37"/>
      <c r="J5" s="38" t="s">
        <v>15</v>
      </c>
      <c r="K5" s="39">
        <f>4000+C24+C27+C20</f>
        <v>15735</v>
      </c>
      <c r="L5" s="39"/>
      <c r="M5" s="39">
        <f>K5-L5</f>
        <v>15735</v>
      </c>
      <c r="N5" s="42">
        <f>M5-G34</f>
        <v>-6352</v>
      </c>
    </row>
    <row r="6" spans="1:26">
      <c r="A6" s="34">
        <v>45539</v>
      </c>
      <c r="B6" s="35">
        <v>6395</v>
      </c>
      <c r="C6" s="35">
        <v>5255</v>
      </c>
      <c r="D6" s="35">
        <v>610</v>
      </c>
      <c r="E6" s="35">
        <v>0</v>
      </c>
      <c r="F6" s="35">
        <v>0</v>
      </c>
      <c r="G6" s="35">
        <f>'2409費用明細憑證'!E6</f>
        <v>530</v>
      </c>
      <c r="H6" s="82">
        <f t="shared" si="0"/>
        <v>0</v>
      </c>
      <c r="I6" s="37"/>
      <c r="J6" s="43" t="s">
        <v>16</v>
      </c>
      <c r="K6" s="44">
        <f>15674+7598</f>
        <v>23272</v>
      </c>
      <c r="L6" s="44">
        <v>12000</v>
      </c>
      <c r="M6" s="44">
        <f>K6-L6</f>
        <v>11272</v>
      </c>
      <c r="N6" s="45"/>
    </row>
    <row r="7" spans="1:26">
      <c r="A7" s="34">
        <v>45540</v>
      </c>
      <c r="B7" s="35">
        <v>7245</v>
      </c>
      <c r="C7" s="35">
        <v>6330</v>
      </c>
      <c r="D7" s="35">
        <v>815</v>
      </c>
      <c r="E7" s="35">
        <v>100</v>
      </c>
      <c r="F7" s="35">
        <v>0</v>
      </c>
      <c r="G7" s="35">
        <f>'2409費用明細憑證'!E7</f>
        <v>2070</v>
      </c>
      <c r="H7" s="82">
        <f>(B7-D7-E7-F7-G7-C7)+2070</f>
        <v>0</v>
      </c>
      <c r="I7" s="37"/>
      <c r="J7" s="46" t="s">
        <v>17</v>
      </c>
      <c r="K7" s="47"/>
      <c r="L7" s="47"/>
      <c r="M7" s="48">
        <f>'2409費用明細憑證'!E33</f>
        <v>0</v>
      </c>
      <c r="N7" s="49"/>
    </row>
    <row r="8" spans="1:26">
      <c r="A8" s="34">
        <v>45541</v>
      </c>
      <c r="B8" s="35">
        <v>6525</v>
      </c>
      <c r="C8" s="35">
        <v>3250</v>
      </c>
      <c r="D8" s="35">
        <v>1050</v>
      </c>
      <c r="E8" s="35">
        <v>80</v>
      </c>
      <c r="F8" s="35">
        <v>0</v>
      </c>
      <c r="G8" s="35">
        <f>'2409費用明細憑證'!E8</f>
        <v>2221</v>
      </c>
      <c r="H8" s="82">
        <f t="shared" si="0"/>
        <v>-76</v>
      </c>
      <c r="I8" s="37"/>
      <c r="J8" s="50" t="s">
        <v>18</v>
      </c>
      <c r="K8" s="51"/>
      <c r="L8" s="51"/>
      <c r="M8" s="51">
        <f>SUM(M3:M6)+L7</f>
        <v>66261</v>
      </c>
      <c r="N8" s="52"/>
    </row>
    <row r="9" spans="1:26">
      <c r="A9" s="34">
        <v>45542</v>
      </c>
      <c r="B9" s="35">
        <v>6235</v>
      </c>
      <c r="C9" s="35">
        <v>4750</v>
      </c>
      <c r="D9" s="35">
        <v>1300</v>
      </c>
      <c r="E9" s="35">
        <v>195</v>
      </c>
      <c r="F9" s="35">
        <v>0</v>
      </c>
      <c r="G9" s="35">
        <f>'2409費用明細憑證'!E9</f>
        <v>0</v>
      </c>
      <c r="H9" s="82">
        <f t="shared" si="0"/>
        <v>-10</v>
      </c>
      <c r="I9" s="37"/>
      <c r="J9" s="38" t="s">
        <v>19</v>
      </c>
      <c r="K9" s="39"/>
      <c r="L9" s="39"/>
      <c r="M9" s="39">
        <v>6000</v>
      </c>
      <c r="N9" s="53"/>
    </row>
    <row r="10" spans="1:26" ht="16.2" thickBot="1">
      <c r="A10" s="34">
        <v>45543</v>
      </c>
      <c r="B10" s="54">
        <v>5680</v>
      </c>
      <c r="C10" s="54">
        <v>5345</v>
      </c>
      <c r="D10" s="54">
        <v>335</v>
      </c>
      <c r="E10" s="54">
        <v>0</v>
      </c>
      <c r="F10" s="54">
        <v>0</v>
      </c>
      <c r="G10" s="35">
        <f>'2409費用明細憑證'!E10</f>
        <v>0</v>
      </c>
      <c r="H10" s="82">
        <f t="shared" si="0"/>
        <v>0</v>
      </c>
      <c r="I10" s="37"/>
      <c r="J10" s="55" t="s">
        <v>20</v>
      </c>
      <c r="K10" s="56"/>
      <c r="L10" s="56"/>
      <c r="M10" s="56">
        <f>SUM(M8:M9)</f>
        <v>72261</v>
      </c>
      <c r="N10" s="57"/>
    </row>
    <row r="11" spans="1:26">
      <c r="A11" s="34">
        <v>45544</v>
      </c>
      <c r="B11" s="54">
        <v>6625</v>
      </c>
      <c r="C11" s="54">
        <v>5460</v>
      </c>
      <c r="D11" s="54">
        <v>575</v>
      </c>
      <c r="E11" s="54">
        <v>125</v>
      </c>
      <c r="F11" s="54">
        <v>0</v>
      </c>
      <c r="G11" s="35">
        <f>'2409費用明細憑證'!E11</f>
        <v>8095</v>
      </c>
      <c r="H11" s="82">
        <f>(B11-D11-E11-F11-G11-C11)+7565</f>
        <v>-65</v>
      </c>
      <c r="I11" s="37"/>
      <c r="K11" s="13" t="s">
        <v>206</v>
      </c>
    </row>
    <row r="12" spans="1:26">
      <c r="A12" s="34">
        <v>45545</v>
      </c>
      <c r="B12" s="54">
        <v>6330</v>
      </c>
      <c r="C12" s="54">
        <v>5040</v>
      </c>
      <c r="D12" s="54">
        <v>205</v>
      </c>
      <c r="E12" s="54">
        <v>880</v>
      </c>
      <c r="F12" s="54">
        <v>0</v>
      </c>
      <c r="G12" s="35">
        <f>'2409費用明細憑證'!E12</f>
        <v>0</v>
      </c>
      <c r="H12" s="82">
        <f t="shared" si="0"/>
        <v>205</v>
      </c>
      <c r="I12" s="37"/>
    </row>
    <row r="13" spans="1:26">
      <c r="A13" s="34">
        <v>45546</v>
      </c>
      <c r="B13" s="54">
        <v>6735</v>
      </c>
      <c r="C13" s="54">
        <v>5645</v>
      </c>
      <c r="D13" s="54">
        <v>515</v>
      </c>
      <c r="E13" s="54">
        <v>45</v>
      </c>
      <c r="F13" s="54">
        <v>0</v>
      </c>
      <c r="G13" s="35">
        <f>'2409費用明細憑證'!E13</f>
        <v>530</v>
      </c>
      <c r="H13" s="82">
        <f t="shared" si="0"/>
        <v>0</v>
      </c>
      <c r="I13" s="37"/>
      <c r="J13" s="30" t="s">
        <v>182</v>
      </c>
    </row>
    <row r="14" spans="1:26">
      <c r="A14" s="34">
        <v>45547</v>
      </c>
      <c r="B14" s="54">
        <v>6590</v>
      </c>
      <c r="C14" s="54">
        <v>5600</v>
      </c>
      <c r="D14" s="54">
        <v>280</v>
      </c>
      <c r="E14" s="54">
        <v>480</v>
      </c>
      <c r="F14" s="54">
        <v>225</v>
      </c>
      <c r="G14" s="35">
        <f>'2409費用明細憑證'!E14</f>
        <v>14290</v>
      </c>
      <c r="H14" s="82">
        <f>(B14-D14-E14-F14-G14-C14)+10440+3850</f>
        <v>5</v>
      </c>
      <c r="I14" s="37"/>
      <c r="J14" s="84" t="s">
        <v>180</v>
      </c>
    </row>
    <row r="15" spans="1:26">
      <c r="A15" s="34">
        <v>45548</v>
      </c>
      <c r="B15" s="54">
        <v>5795</v>
      </c>
      <c r="C15" s="54">
        <v>4015</v>
      </c>
      <c r="D15" s="54">
        <v>605</v>
      </c>
      <c r="E15" s="54">
        <v>455</v>
      </c>
      <c r="F15" s="54">
        <v>0</v>
      </c>
      <c r="G15" s="35">
        <f>'2409費用明細憑證'!E15</f>
        <v>530</v>
      </c>
      <c r="H15" s="82">
        <f t="shared" si="0"/>
        <v>190</v>
      </c>
      <c r="I15" s="37"/>
      <c r="J15" s="13" t="s">
        <v>181</v>
      </c>
    </row>
    <row r="16" spans="1:26">
      <c r="A16" s="34">
        <v>45549</v>
      </c>
      <c r="B16" s="54">
        <v>4620</v>
      </c>
      <c r="C16" s="54">
        <v>4045</v>
      </c>
      <c r="D16" s="54">
        <v>575</v>
      </c>
      <c r="E16" s="54">
        <v>0</v>
      </c>
      <c r="F16" s="54">
        <v>0</v>
      </c>
      <c r="G16" s="35">
        <f>'2409費用明細憑證'!E16</f>
        <v>0</v>
      </c>
      <c r="H16" s="82">
        <f t="shared" si="0"/>
        <v>0</v>
      </c>
      <c r="I16" s="37"/>
    </row>
    <row r="17" spans="1:14">
      <c r="A17" s="34">
        <v>45550</v>
      </c>
      <c r="B17" s="54">
        <v>5975</v>
      </c>
      <c r="C17" s="54">
        <v>5290</v>
      </c>
      <c r="D17" s="54">
        <v>625</v>
      </c>
      <c r="E17" s="54">
        <v>140</v>
      </c>
      <c r="F17" s="54">
        <v>0</v>
      </c>
      <c r="G17" s="35">
        <f>'2409費用明細憑證'!E17</f>
        <v>0</v>
      </c>
      <c r="H17" s="82">
        <f>(B17-D17-E17-F17-G17-C17)</f>
        <v>-80</v>
      </c>
      <c r="I17" s="37"/>
    </row>
    <row r="18" spans="1:14">
      <c r="A18" s="34">
        <v>45551</v>
      </c>
      <c r="B18" s="54">
        <v>4045</v>
      </c>
      <c r="C18" s="54">
        <v>2690</v>
      </c>
      <c r="D18" s="54">
        <v>560</v>
      </c>
      <c r="E18" s="54">
        <v>0</v>
      </c>
      <c r="F18" s="54">
        <v>0</v>
      </c>
      <c r="G18" s="35">
        <f>'2409費用明細憑證'!E18</f>
        <v>60530</v>
      </c>
      <c r="H18" s="82">
        <f>(B18-D18-E18-F18-G18-C18)+60000</f>
        <v>265</v>
      </c>
    </row>
    <row r="19" spans="1:14">
      <c r="A19" s="34">
        <v>45552</v>
      </c>
      <c r="B19" s="54">
        <v>5185</v>
      </c>
      <c r="C19" s="54">
        <v>5009</v>
      </c>
      <c r="D19" s="54">
        <v>140</v>
      </c>
      <c r="E19" s="54">
        <v>0</v>
      </c>
      <c r="F19" s="54">
        <v>0</v>
      </c>
      <c r="G19" s="35">
        <f>'2409費用明細憑證'!E19</f>
        <v>36</v>
      </c>
      <c r="H19" s="82">
        <f t="shared" si="0"/>
        <v>0</v>
      </c>
      <c r="N19" s="13" t="s">
        <v>184</v>
      </c>
    </row>
    <row r="20" spans="1:14">
      <c r="A20" s="34">
        <v>45553</v>
      </c>
      <c r="B20" s="54">
        <v>4750</v>
      </c>
      <c r="C20" s="54">
        <v>3900</v>
      </c>
      <c r="D20" s="54">
        <v>295</v>
      </c>
      <c r="E20" s="54">
        <v>165</v>
      </c>
      <c r="F20" s="54">
        <v>0</v>
      </c>
      <c r="G20" s="35">
        <f>'2409費用明細憑證'!E20</f>
        <v>530</v>
      </c>
      <c r="H20" s="82">
        <f t="shared" si="0"/>
        <v>-140</v>
      </c>
    </row>
    <row r="21" spans="1:14">
      <c r="A21" s="34">
        <v>45554</v>
      </c>
      <c r="B21" s="54">
        <v>6315</v>
      </c>
      <c r="C21" s="54">
        <v>6050</v>
      </c>
      <c r="D21" s="54">
        <v>555</v>
      </c>
      <c r="E21" s="54">
        <v>0</v>
      </c>
      <c r="F21" s="54"/>
      <c r="G21" s="35">
        <f>'2409費用明細憑證'!E21</f>
        <v>0</v>
      </c>
      <c r="H21" s="82">
        <f t="shared" si="0"/>
        <v>-290</v>
      </c>
    </row>
    <row r="22" spans="1:14">
      <c r="A22" s="34">
        <v>45555</v>
      </c>
      <c r="B22" s="54">
        <v>5670</v>
      </c>
      <c r="C22" s="54">
        <v>4515</v>
      </c>
      <c r="D22" s="54">
        <v>475</v>
      </c>
      <c r="E22" s="54">
        <v>0</v>
      </c>
      <c r="F22" s="54">
        <v>150</v>
      </c>
      <c r="G22" s="35">
        <f>'2409費用明細憑證'!E22</f>
        <v>1168</v>
      </c>
      <c r="H22" s="82">
        <f>(B22-D22-E22-F22-G22-C22)+550+88</f>
        <v>0</v>
      </c>
    </row>
    <row r="23" spans="1:14">
      <c r="A23" s="34">
        <v>45556</v>
      </c>
      <c r="B23" s="54">
        <v>4565</v>
      </c>
      <c r="C23" s="54">
        <v>4000</v>
      </c>
      <c r="D23" s="54">
        <v>960</v>
      </c>
      <c r="E23" s="54">
        <v>255</v>
      </c>
      <c r="F23" s="54">
        <v>0</v>
      </c>
      <c r="G23" s="35">
        <f>'2409費用明細憑證'!E23</f>
        <v>0</v>
      </c>
      <c r="H23" s="82">
        <f t="shared" si="0"/>
        <v>-650</v>
      </c>
    </row>
    <row r="24" spans="1:14">
      <c r="A24" s="34">
        <v>45557</v>
      </c>
      <c r="B24" s="54">
        <v>4340</v>
      </c>
      <c r="C24" s="54">
        <v>4130</v>
      </c>
      <c r="D24" s="54">
        <v>210</v>
      </c>
      <c r="E24" s="54">
        <v>0</v>
      </c>
      <c r="F24" s="54">
        <v>175</v>
      </c>
      <c r="G24" s="35">
        <f>'2409費用明細憑證'!E24</f>
        <v>0</v>
      </c>
      <c r="H24" s="82">
        <f t="shared" si="0"/>
        <v>-175</v>
      </c>
    </row>
    <row r="25" spans="1:14">
      <c r="A25" s="34">
        <v>45558</v>
      </c>
      <c r="B25" s="54">
        <v>5760</v>
      </c>
      <c r="C25" s="54">
        <v>2887</v>
      </c>
      <c r="D25" s="54">
        <v>865</v>
      </c>
      <c r="E25" s="54">
        <v>540</v>
      </c>
      <c r="F25" s="54">
        <v>170</v>
      </c>
      <c r="G25" s="35">
        <f>'2409費用明細憑證'!E25</f>
        <v>3191</v>
      </c>
      <c r="H25" s="82">
        <f>(B25-D25-E25-F25-G25-C25)+1893</f>
        <v>0</v>
      </c>
    </row>
    <row r="26" spans="1:14">
      <c r="A26" s="34">
        <v>45559</v>
      </c>
      <c r="B26" s="54">
        <v>6015</v>
      </c>
      <c r="C26" s="54">
        <v>5320</v>
      </c>
      <c r="D26" s="54">
        <v>500</v>
      </c>
      <c r="E26" s="54">
        <v>220</v>
      </c>
      <c r="F26" s="54">
        <v>0</v>
      </c>
      <c r="G26" s="35">
        <f>'2409費用明細憑證'!E26</f>
        <v>0</v>
      </c>
      <c r="H26" s="82">
        <f t="shared" si="0"/>
        <v>-25</v>
      </c>
    </row>
    <row r="27" spans="1:14">
      <c r="A27" s="34">
        <v>45560</v>
      </c>
      <c r="B27" s="54">
        <v>4605</v>
      </c>
      <c r="C27" s="54">
        <v>3705</v>
      </c>
      <c r="D27" s="54">
        <v>270</v>
      </c>
      <c r="E27" s="54">
        <v>100</v>
      </c>
      <c r="F27" s="54">
        <v>0</v>
      </c>
      <c r="G27" s="35">
        <f>'2409費用明細憑證'!E27</f>
        <v>530</v>
      </c>
      <c r="H27" s="82">
        <f t="shared" si="0"/>
        <v>0</v>
      </c>
    </row>
    <row r="28" spans="1:14">
      <c r="A28" s="34">
        <v>45561</v>
      </c>
      <c r="B28" s="54">
        <v>5350</v>
      </c>
      <c r="C28" s="54">
        <v>4645</v>
      </c>
      <c r="D28" s="54">
        <v>140</v>
      </c>
      <c r="E28" s="54">
        <v>65</v>
      </c>
      <c r="F28" s="54">
        <v>0</v>
      </c>
      <c r="G28" s="35">
        <f>'2409費用明細憑證'!E28</f>
        <v>500</v>
      </c>
      <c r="H28" s="82">
        <f t="shared" si="0"/>
        <v>0</v>
      </c>
    </row>
    <row r="29" spans="1:14">
      <c r="A29" s="34">
        <v>45562</v>
      </c>
      <c r="B29" s="54">
        <v>5420</v>
      </c>
      <c r="C29" s="54">
        <v>4500</v>
      </c>
      <c r="D29" s="54">
        <v>400</v>
      </c>
      <c r="E29" s="54">
        <v>65</v>
      </c>
      <c r="F29" s="54">
        <v>0</v>
      </c>
      <c r="G29" s="35">
        <f>'2409費用明細憑證'!E29</f>
        <v>530</v>
      </c>
      <c r="H29" s="82">
        <f t="shared" si="0"/>
        <v>-75</v>
      </c>
    </row>
    <row r="30" spans="1:14">
      <c r="A30" s="34">
        <v>45563</v>
      </c>
      <c r="B30" s="54">
        <v>8010</v>
      </c>
      <c r="C30" s="54">
        <v>7025</v>
      </c>
      <c r="D30" s="54">
        <v>500</v>
      </c>
      <c r="E30" s="54">
        <v>65</v>
      </c>
      <c r="F30" s="54">
        <v>120</v>
      </c>
      <c r="G30" s="35">
        <f>'2409費用明細憑證'!E30</f>
        <v>300</v>
      </c>
      <c r="H30" s="82">
        <f t="shared" si="0"/>
        <v>0</v>
      </c>
    </row>
    <row r="31" spans="1:14">
      <c r="A31" s="34">
        <v>45564</v>
      </c>
      <c r="B31" s="54">
        <v>6885</v>
      </c>
      <c r="C31" s="54">
        <v>5570</v>
      </c>
      <c r="D31" s="54">
        <v>1315</v>
      </c>
      <c r="E31" s="54">
        <v>0</v>
      </c>
      <c r="F31" s="54">
        <v>0</v>
      </c>
      <c r="G31" s="35">
        <f>'2409費用明細憑證'!E31</f>
        <v>0</v>
      </c>
      <c r="H31" s="82">
        <f t="shared" si="0"/>
        <v>0</v>
      </c>
    </row>
    <row r="32" spans="1:14" ht="16.2" thickBot="1">
      <c r="A32" s="34">
        <v>45565</v>
      </c>
      <c r="B32" s="54">
        <f>6960+440</f>
        <v>7400</v>
      </c>
      <c r="C32" s="54">
        <f>3620</f>
        <v>3620</v>
      </c>
      <c r="D32" s="54">
        <v>670</v>
      </c>
      <c r="E32" s="54">
        <v>145</v>
      </c>
      <c r="F32" s="54">
        <v>0</v>
      </c>
      <c r="G32" s="35">
        <f>'2409費用明細憑證'!E32</f>
        <v>18941</v>
      </c>
      <c r="H32" s="82">
        <f>(B32-D32-E32-F32-G32-C32)+6216+12165</f>
        <v>2405</v>
      </c>
    </row>
    <row r="33" spans="1:9">
      <c r="A33" s="62" t="s">
        <v>21</v>
      </c>
      <c r="B33" s="63" t="s">
        <v>22</v>
      </c>
      <c r="C33" s="63" t="s">
        <v>23</v>
      </c>
      <c r="D33" s="63" t="s">
        <v>24</v>
      </c>
      <c r="E33" s="63"/>
      <c r="F33" s="63" t="s">
        <v>25</v>
      </c>
      <c r="G33" s="103" t="s">
        <v>26</v>
      </c>
      <c r="H33" s="104"/>
      <c r="I33" s="37"/>
    </row>
    <row r="34" spans="1:9" ht="16.2" thickBot="1">
      <c r="A34" s="64" t="s">
        <v>27</v>
      </c>
      <c r="B34" s="65">
        <f>SUM(B3:B32)</f>
        <v>180958</v>
      </c>
      <c r="C34" s="65">
        <f>SUM(G3:G32)</f>
        <v>115317</v>
      </c>
      <c r="D34" s="65">
        <f>B34-C34</f>
        <v>65641</v>
      </c>
      <c r="E34" s="65"/>
      <c r="F34" s="66">
        <f>SUM(H3:H32)</f>
        <v>1492</v>
      </c>
      <c r="G34" s="105">
        <f>M8/3</f>
        <v>22087</v>
      </c>
      <c r="H34" s="106"/>
      <c r="I34" s="37"/>
    </row>
    <row r="35" spans="1:9">
      <c r="A35" s="25"/>
    </row>
    <row r="36" spans="1:9">
      <c r="A36" s="25"/>
    </row>
    <row r="37" spans="1:9">
      <c r="A37" s="25"/>
    </row>
    <row r="38" spans="1:9">
      <c r="A38" s="25"/>
    </row>
    <row r="39" spans="1:9">
      <c r="A39" s="25"/>
    </row>
    <row r="40" spans="1:9">
      <c r="A40" s="25"/>
    </row>
    <row r="41" spans="1:9">
      <c r="A41" s="25"/>
    </row>
    <row r="42" spans="1:9">
      <c r="A42" s="25"/>
    </row>
    <row r="43" spans="1:9">
      <c r="A43" s="25"/>
    </row>
    <row r="44" spans="1:9">
      <c r="A44" s="25"/>
    </row>
    <row r="45" spans="1:9">
      <c r="A45" s="25"/>
    </row>
    <row r="46" spans="1:9">
      <c r="A46" s="25"/>
    </row>
    <row r="47" spans="1:9">
      <c r="A47" s="25"/>
    </row>
    <row r="48" spans="1:9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</sheetData>
  <mergeCells count="4">
    <mergeCell ref="A1:H1"/>
    <mergeCell ref="J1:N1"/>
    <mergeCell ref="G33:H33"/>
    <mergeCell ref="G34:H34"/>
  </mergeCells>
  <phoneticPr fontId="5" type="noConversion"/>
  <dataValidations count="1">
    <dataValidation type="list" allowBlank="1" showErrorMessage="1" sqref="J2" xr:uid="{F7B0CB87-A966-334E-BD13-FDC073D6E213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B73D-58A8-BC45-9CAE-B28237215FA6}">
  <sheetPr>
    <outlinePr summaryBelow="0" summaryRight="0"/>
  </sheetPr>
  <dimension ref="A1:Z1002"/>
  <sheetViews>
    <sheetView zoomScaleNormal="100" zoomScaleSheetLayoutView="100" workbookViewId="0">
      <pane ySplit="2" topLeftCell="A6" activePane="bottomLeft" state="frozen"/>
      <selection activeCell="D1" sqref="D1"/>
      <selection pane="bottomLeft" activeCell="B29" sqref="B29:F29"/>
    </sheetView>
  </sheetViews>
  <sheetFormatPr defaultColWidth="12.33203125" defaultRowHeight="15"/>
  <cols>
    <col min="1" max="1" width="13.6640625" style="2" bestFit="1" customWidth="1"/>
    <col min="2" max="3" width="11.33203125" style="2" bestFit="1" customWidth="1"/>
    <col min="4" max="4" width="11.33203125" style="7" bestFit="1" customWidth="1"/>
    <col min="5" max="5" width="11.33203125" style="2" bestFit="1" customWidth="1"/>
    <col min="6" max="6" width="21.6640625" style="2" customWidth="1"/>
    <col min="7" max="7" width="13.6640625" style="2" bestFit="1" customWidth="1"/>
    <col min="8" max="8" width="14.77734375" style="2" bestFit="1" customWidth="1"/>
    <col min="9" max="10" width="12.33203125" style="2" bestFit="1" customWidth="1"/>
    <col min="11" max="16384" width="12.33203125" style="2"/>
  </cols>
  <sheetData>
    <row r="1" spans="1:26" s="8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 ht="15.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4">
        <v>45536</v>
      </c>
      <c r="C3" s="15"/>
      <c r="D3" s="16"/>
      <c r="E3" s="15">
        <f>SUM(B3:D3)</f>
        <v>0</v>
      </c>
      <c r="F3" s="20"/>
      <c r="G3" s="109" t="s">
        <v>196</v>
      </c>
      <c r="H3" s="109"/>
      <c r="I3" s="109"/>
      <c r="J3" s="109"/>
      <c r="K3" s="109"/>
    </row>
    <row r="4" spans="1:26" ht="15.6">
      <c r="A4" s="14">
        <v>45537</v>
      </c>
      <c r="B4" s="15">
        <v>795</v>
      </c>
      <c r="E4" s="15">
        <f>SUM(B4:D4)</f>
        <v>795</v>
      </c>
      <c r="F4" s="87" t="s">
        <v>197</v>
      </c>
      <c r="G4" s="18"/>
      <c r="H4" s="18"/>
      <c r="I4" s="18"/>
      <c r="J4" s="18"/>
      <c r="K4" s="19"/>
    </row>
    <row r="5" spans="1:26" ht="15.6">
      <c r="A5" s="14">
        <v>45538</v>
      </c>
      <c r="B5" s="15"/>
      <c r="C5" s="15"/>
      <c r="D5" s="16"/>
      <c r="E5" s="15">
        <f t="shared" ref="E5:E33" si="0">SUM(B5:D5)</f>
        <v>0</v>
      </c>
      <c r="F5" s="17"/>
      <c r="G5" s="71"/>
      <c r="H5" s="71"/>
      <c r="I5" s="18"/>
      <c r="J5" s="18"/>
      <c r="K5" s="19"/>
    </row>
    <row r="6" spans="1:26" ht="15.6">
      <c r="A6" s="14">
        <v>45539</v>
      </c>
      <c r="B6" s="15">
        <v>530</v>
      </c>
      <c r="C6" s="15"/>
      <c r="D6" s="16"/>
      <c r="E6" s="15">
        <f t="shared" si="0"/>
        <v>530</v>
      </c>
      <c r="F6" s="17" t="s">
        <v>40</v>
      </c>
      <c r="G6" s="18"/>
      <c r="H6" s="18"/>
      <c r="I6" s="18"/>
      <c r="J6" s="18"/>
      <c r="K6" s="19"/>
    </row>
    <row r="7" spans="1:26" ht="15.6">
      <c r="A7" s="14">
        <v>45540</v>
      </c>
      <c r="B7" s="15">
        <v>2070</v>
      </c>
      <c r="C7" s="15"/>
      <c r="D7" s="16"/>
      <c r="E7" s="15">
        <f t="shared" si="0"/>
        <v>2070</v>
      </c>
      <c r="F7" s="17" t="s">
        <v>198</v>
      </c>
      <c r="G7" s="71"/>
      <c r="H7" s="18"/>
      <c r="I7" s="18"/>
      <c r="J7" s="18"/>
      <c r="K7" s="19"/>
    </row>
    <row r="8" spans="1:26" ht="46.8">
      <c r="A8" s="14">
        <v>45541</v>
      </c>
      <c r="B8" s="15">
        <f>950+530+741</f>
        <v>2221</v>
      </c>
      <c r="C8" s="15"/>
      <c r="D8" s="16"/>
      <c r="E8" s="15">
        <f t="shared" si="0"/>
        <v>2221</v>
      </c>
      <c r="F8" s="20" t="s">
        <v>199</v>
      </c>
      <c r="G8" s="18"/>
      <c r="H8" s="18"/>
      <c r="I8" s="18"/>
      <c r="J8" s="18"/>
      <c r="K8" s="19"/>
    </row>
    <row r="9" spans="1:26" ht="15.6">
      <c r="A9" s="14">
        <v>45542</v>
      </c>
      <c r="B9" s="15"/>
      <c r="C9" s="15"/>
      <c r="D9" s="16"/>
      <c r="E9" s="15">
        <f t="shared" si="0"/>
        <v>0</v>
      </c>
      <c r="F9" s="20"/>
      <c r="G9" s="78"/>
      <c r="H9" s="78"/>
      <c r="I9" s="78"/>
      <c r="J9" s="21"/>
      <c r="K9" s="21"/>
    </row>
    <row r="10" spans="1:26" ht="15.6">
      <c r="A10" s="14">
        <v>45543</v>
      </c>
      <c r="B10" s="15"/>
      <c r="C10" s="15"/>
      <c r="D10" s="16"/>
      <c r="E10" s="15">
        <f t="shared" si="0"/>
        <v>0</v>
      </c>
      <c r="F10" s="20"/>
      <c r="G10" s="71"/>
      <c r="H10" s="21"/>
      <c r="I10" s="18"/>
      <c r="J10" s="18"/>
      <c r="K10" s="19"/>
    </row>
    <row r="11" spans="1:26" ht="31.2">
      <c r="A11" s="14">
        <v>45544</v>
      </c>
      <c r="B11" s="15">
        <f>530+7565</f>
        <v>8095</v>
      </c>
      <c r="C11" s="15"/>
      <c r="D11" s="16"/>
      <c r="E11" s="15">
        <f t="shared" si="0"/>
        <v>8095</v>
      </c>
      <c r="F11" s="20" t="s">
        <v>200</v>
      </c>
      <c r="G11" s="71"/>
      <c r="H11" s="18"/>
      <c r="I11" s="18"/>
      <c r="J11" s="18"/>
      <c r="K11" s="19"/>
    </row>
    <row r="12" spans="1:26" ht="15.6">
      <c r="A12" s="14">
        <v>45545</v>
      </c>
      <c r="B12" s="15"/>
      <c r="C12" s="15"/>
      <c r="D12" s="16"/>
      <c r="E12" s="15">
        <f t="shared" si="0"/>
        <v>0</v>
      </c>
      <c r="F12" s="17"/>
      <c r="G12" s="22"/>
      <c r="H12" s="18"/>
      <c r="I12" s="18"/>
      <c r="J12" s="18"/>
      <c r="K12" s="19"/>
    </row>
    <row r="13" spans="1:26" ht="15.6">
      <c r="A13" s="14">
        <v>45546</v>
      </c>
      <c r="B13" s="15">
        <v>530</v>
      </c>
      <c r="C13" s="15"/>
      <c r="D13" s="16"/>
      <c r="E13" s="15">
        <f t="shared" si="0"/>
        <v>530</v>
      </c>
      <c r="F13" s="20" t="s">
        <v>40</v>
      </c>
      <c r="G13" s="78"/>
      <c r="H13" s="78"/>
      <c r="I13" s="18"/>
      <c r="J13" s="18"/>
      <c r="K13" s="19"/>
    </row>
    <row r="14" spans="1:26" ht="31.2">
      <c r="A14" s="14">
        <v>45547</v>
      </c>
      <c r="B14" s="15">
        <v>10440</v>
      </c>
      <c r="C14" s="15"/>
      <c r="D14" s="16">
        <v>3850</v>
      </c>
      <c r="E14" s="15">
        <f t="shared" si="0"/>
        <v>14290</v>
      </c>
      <c r="F14" s="20" t="s">
        <v>201</v>
      </c>
      <c r="G14" s="78"/>
      <c r="H14" s="78"/>
      <c r="I14" s="18"/>
      <c r="J14" s="18"/>
      <c r="K14" s="19"/>
    </row>
    <row r="15" spans="1:26" ht="15.6">
      <c r="A15" s="14">
        <v>45548</v>
      </c>
      <c r="B15" s="15">
        <v>530</v>
      </c>
      <c r="C15" s="15"/>
      <c r="D15" s="16"/>
      <c r="E15" s="15">
        <f>SUM(B15:D15)</f>
        <v>530</v>
      </c>
      <c r="F15" s="20" t="s">
        <v>40</v>
      </c>
      <c r="G15" s="78"/>
      <c r="H15" s="78"/>
      <c r="I15" s="24"/>
      <c r="J15" s="78"/>
      <c r="K15" s="19"/>
    </row>
    <row r="16" spans="1:26" ht="15.6">
      <c r="A16" s="14">
        <v>45549</v>
      </c>
      <c r="B16" s="15"/>
      <c r="C16" s="15"/>
      <c r="D16" s="16"/>
      <c r="E16" s="15">
        <f t="shared" si="0"/>
        <v>0</v>
      </c>
      <c r="F16" s="20"/>
      <c r="G16" s="22"/>
      <c r="H16" s="18"/>
      <c r="I16" s="18"/>
      <c r="J16" s="18"/>
      <c r="K16" s="19"/>
    </row>
    <row r="17" spans="1:11" ht="15.6">
      <c r="A17" s="14">
        <v>45550</v>
      </c>
      <c r="B17" s="15"/>
      <c r="D17" s="16"/>
      <c r="E17" s="15">
        <f t="shared" si="0"/>
        <v>0</v>
      </c>
      <c r="F17" s="75"/>
      <c r="G17" s="78"/>
      <c r="H17" s="78"/>
      <c r="I17" s="24"/>
      <c r="J17" s="18"/>
      <c r="K17" s="19"/>
    </row>
    <row r="18" spans="1:11" ht="31.2">
      <c r="A18" s="14">
        <v>45551</v>
      </c>
      <c r="B18" s="15">
        <v>530</v>
      </c>
      <c r="C18" s="15">
        <v>60000</v>
      </c>
      <c r="D18" s="16"/>
      <c r="E18" s="15">
        <f t="shared" si="0"/>
        <v>60530</v>
      </c>
      <c r="F18" s="20" t="s">
        <v>202</v>
      </c>
      <c r="G18" s="19"/>
      <c r="H18" s="19"/>
      <c r="I18" s="18"/>
      <c r="J18" s="18"/>
      <c r="K18" s="19"/>
    </row>
    <row r="19" spans="1:11" ht="15.6">
      <c r="A19" s="14">
        <v>45552</v>
      </c>
      <c r="B19" s="15">
        <v>36</v>
      </c>
      <c r="C19" s="15"/>
      <c r="D19" s="16"/>
      <c r="E19" s="15">
        <f t="shared" si="0"/>
        <v>36</v>
      </c>
      <c r="F19" s="20" t="s">
        <v>203</v>
      </c>
      <c r="G19" s="71"/>
      <c r="H19" s="22"/>
      <c r="I19" s="18"/>
      <c r="J19" s="18"/>
      <c r="K19" s="19"/>
    </row>
    <row r="20" spans="1:11" ht="15.6">
      <c r="A20" s="14">
        <v>45553</v>
      </c>
      <c r="B20" s="15">
        <v>530</v>
      </c>
      <c r="C20" s="15"/>
      <c r="D20" s="16"/>
      <c r="E20" s="15">
        <f t="shared" si="0"/>
        <v>530</v>
      </c>
      <c r="F20" s="20" t="s">
        <v>40</v>
      </c>
      <c r="G20" s="78"/>
      <c r="H20" s="18"/>
      <c r="I20" s="18"/>
      <c r="J20" s="18"/>
      <c r="K20" s="19"/>
    </row>
    <row r="21" spans="1:11" ht="15.6">
      <c r="A21" s="14">
        <v>45554</v>
      </c>
      <c r="B21" s="15"/>
      <c r="C21" s="15"/>
      <c r="D21" s="16"/>
      <c r="E21" s="15">
        <f t="shared" si="0"/>
        <v>0</v>
      </c>
      <c r="F21" s="17"/>
      <c r="G21" s="71"/>
      <c r="H21" s="18"/>
      <c r="I21" s="18"/>
      <c r="J21" s="18"/>
      <c r="K21" s="19"/>
    </row>
    <row r="22" spans="1:11" ht="31.2">
      <c r="A22" s="14">
        <v>45555</v>
      </c>
      <c r="B22" s="15">
        <v>530</v>
      </c>
      <c r="C22" s="15"/>
      <c r="D22" s="16">
        <f>550+88</f>
        <v>638</v>
      </c>
      <c r="E22" s="15">
        <f t="shared" si="0"/>
        <v>1168</v>
      </c>
      <c r="F22" s="20" t="s">
        <v>204</v>
      </c>
      <c r="G22" s="71"/>
      <c r="H22" s="18"/>
      <c r="I22" s="18"/>
      <c r="J22" s="18"/>
      <c r="K22" s="19"/>
    </row>
    <row r="23" spans="1:11" ht="15.6">
      <c r="A23" s="14">
        <v>45556</v>
      </c>
      <c r="B23" s="15"/>
      <c r="C23" s="15"/>
      <c r="D23" s="16"/>
      <c r="E23" s="15">
        <f t="shared" si="0"/>
        <v>0</v>
      </c>
      <c r="F23" s="17"/>
      <c r="G23" s="18"/>
      <c r="H23" s="18"/>
      <c r="I23" s="18"/>
      <c r="J23" s="18"/>
      <c r="K23" s="19"/>
    </row>
    <row r="24" spans="1:11" ht="15.6">
      <c r="A24" s="14">
        <v>45557</v>
      </c>
      <c r="B24" s="15"/>
      <c r="C24" s="15"/>
      <c r="D24" s="16"/>
      <c r="E24" s="15">
        <f t="shared" si="0"/>
        <v>0</v>
      </c>
      <c r="F24" s="20"/>
      <c r="G24" s="78"/>
      <c r="H24" s="78"/>
      <c r="I24" s="78"/>
      <c r="J24" s="18"/>
      <c r="K24" s="19"/>
    </row>
    <row r="25" spans="1:11" ht="46.8">
      <c r="A25" s="14">
        <v>45558</v>
      </c>
      <c r="B25" s="15">
        <v>530</v>
      </c>
      <c r="C25" s="15"/>
      <c r="D25" s="16">
        <f>768+1893</f>
        <v>2661</v>
      </c>
      <c r="E25" s="15">
        <f t="shared" si="0"/>
        <v>3191</v>
      </c>
      <c r="F25" s="20" t="s">
        <v>205</v>
      </c>
      <c r="G25" s="18"/>
      <c r="H25" s="18"/>
      <c r="I25" s="18"/>
      <c r="J25" s="18"/>
      <c r="K25" s="19"/>
    </row>
    <row r="26" spans="1:11" ht="15.6">
      <c r="A26" s="14">
        <v>45559</v>
      </c>
      <c r="B26" s="15"/>
      <c r="C26" s="15"/>
      <c r="D26" s="16"/>
      <c r="E26" s="15">
        <f t="shared" si="0"/>
        <v>0</v>
      </c>
      <c r="F26" s="17"/>
      <c r="G26" s="78"/>
      <c r="H26" s="18"/>
      <c r="I26" s="18"/>
      <c r="J26" s="18"/>
      <c r="K26" s="19"/>
    </row>
    <row r="27" spans="1:11" ht="15.6">
      <c r="A27" s="14">
        <v>45560</v>
      </c>
      <c r="B27" s="15">
        <v>530</v>
      </c>
      <c r="C27" s="15"/>
      <c r="D27" s="16"/>
      <c r="E27" s="15">
        <f t="shared" si="0"/>
        <v>530</v>
      </c>
      <c r="F27" s="20" t="s">
        <v>40</v>
      </c>
      <c r="G27" s="18"/>
      <c r="H27" s="18"/>
      <c r="I27" s="18"/>
      <c r="J27" s="18"/>
      <c r="K27" s="19"/>
    </row>
    <row r="28" spans="1:11" ht="15.6">
      <c r="A28" s="14">
        <v>45561</v>
      </c>
      <c r="B28" s="15">
        <v>500</v>
      </c>
      <c r="C28" s="15"/>
      <c r="D28" s="16"/>
      <c r="E28" s="15">
        <f t="shared" si="0"/>
        <v>500</v>
      </c>
      <c r="F28" s="20" t="s">
        <v>128</v>
      </c>
      <c r="G28" s="18"/>
      <c r="H28" s="18"/>
      <c r="I28" s="18"/>
      <c r="J28" s="18"/>
      <c r="K28" s="19"/>
    </row>
    <row r="29" spans="1:11" ht="15.6">
      <c r="A29" s="14">
        <v>45562</v>
      </c>
      <c r="B29" s="15">
        <v>530</v>
      </c>
      <c r="C29" s="15"/>
      <c r="D29" s="16"/>
      <c r="E29" s="15">
        <f>SUM(B29:D29)</f>
        <v>530</v>
      </c>
      <c r="F29" s="20" t="s">
        <v>40</v>
      </c>
      <c r="G29" s="22"/>
      <c r="H29" s="18"/>
      <c r="I29" s="18"/>
      <c r="J29" s="18"/>
      <c r="K29" s="19"/>
    </row>
    <row r="30" spans="1:11" ht="15.6">
      <c r="A30" s="14">
        <v>45563</v>
      </c>
      <c r="B30" s="15"/>
      <c r="C30" s="15"/>
      <c r="D30" s="16">
        <v>300</v>
      </c>
      <c r="E30" s="15">
        <f t="shared" si="0"/>
        <v>300</v>
      </c>
      <c r="F30" s="20" t="s">
        <v>207</v>
      </c>
      <c r="G30" s="22"/>
      <c r="H30" s="18"/>
      <c r="I30" s="18"/>
      <c r="J30" s="18"/>
      <c r="K30" s="19"/>
    </row>
    <row r="31" spans="1:11" ht="15.6">
      <c r="A31" s="14">
        <v>45564</v>
      </c>
      <c r="B31" s="15"/>
      <c r="C31" s="15"/>
      <c r="D31" s="16"/>
      <c r="E31" s="15">
        <f t="shared" si="0"/>
        <v>0</v>
      </c>
      <c r="F31" s="17"/>
      <c r="G31" s="18"/>
      <c r="H31" s="18"/>
      <c r="I31" s="18"/>
      <c r="J31" s="18"/>
      <c r="K31" s="19"/>
    </row>
    <row r="32" spans="1:11" ht="62.4">
      <c r="A32" s="14">
        <v>45565</v>
      </c>
      <c r="B32" s="15">
        <v>530</v>
      </c>
      <c r="C32" s="15"/>
      <c r="D32" s="16">
        <f>4700+1516+30+12165</f>
        <v>18411</v>
      </c>
      <c r="E32" s="15">
        <f>SUM(B32:D32)</f>
        <v>18941</v>
      </c>
      <c r="F32" s="20" t="s">
        <v>208</v>
      </c>
      <c r="G32" s="18"/>
      <c r="H32" s="18"/>
      <c r="I32" s="18"/>
      <c r="J32" s="18"/>
      <c r="K32" s="19"/>
    </row>
    <row r="33" spans="1:11" ht="15.6">
      <c r="A33" s="14" t="s">
        <v>58</v>
      </c>
      <c r="B33" s="15"/>
      <c r="C33" s="15"/>
      <c r="D33" s="16"/>
      <c r="E33" s="15">
        <f t="shared" si="0"/>
        <v>0</v>
      </c>
      <c r="F33" s="20"/>
      <c r="G33" s="71"/>
      <c r="H33" s="78"/>
      <c r="I33" s="22"/>
      <c r="J33" s="18"/>
      <c r="K33" s="19"/>
    </row>
    <row r="34" spans="1:11" ht="15.6">
      <c r="A34" s="12" t="s">
        <v>27</v>
      </c>
      <c r="B34" s="15">
        <f>SUM(B4:B32)</f>
        <v>29457</v>
      </c>
      <c r="C34" s="15">
        <f>SUM(C3:C32)</f>
        <v>60000</v>
      </c>
      <c r="D34" s="15">
        <f>SUM(D3:D32)</f>
        <v>25860</v>
      </c>
      <c r="E34" s="15">
        <f>SUM(E3:E32)</f>
        <v>115317</v>
      </c>
      <c r="F34" s="17"/>
      <c r="G34" s="18"/>
      <c r="H34" s="18"/>
      <c r="I34" s="18"/>
      <c r="J34" s="18"/>
      <c r="K34" s="19"/>
    </row>
    <row r="35" spans="1:11">
      <c r="A35" s="3"/>
      <c r="B35" s="4"/>
      <c r="C35" s="4"/>
      <c r="E35" s="4"/>
      <c r="F35" s="5"/>
      <c r="G35" s="9"/>
      <c r="H35" s="9"/>
      <c r="I35" s="9"/>
      <c r="J35" s="9"/>
      <c r="K35" s="10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 ht="15.6">
      <c r="A37" s="3"/>
      <c r="B37" s="85" t="s">
        <v>187</v>
      </c>
      <c r="C37" s="4"/>
      <c r="E37" s="4"/>
      <c r="F37" s="5"/>
      <c r="G37" s="9"/>
      <c r="H37" s="9"/>
      <c r="I37" s="9"/>
      <c r="J37" s="9"/>
      <c r="K37" s="10"/>
    </row>
    <row r="38" spans="1:11" ht="15.6">
      <c r="A38" s="3"/>
      <c r="B38" s="86" t="s">
        <v>188</v>
      </c>
      <c r="C38" s="4"/>
      <c r="E38" s="4"/>
      <c r="F38" s="5"/>
      <c r="G38" s="9"/>
      <c r="H38" s="9"/>
      <c r="I38" s="9"/>
      <c r="J38" s="9"/>
      <c r="K38" s="10"/>
    </row>
    <row r="39" spans="1:11">
      <c r="A39" s="3"/>
      <c r="B39" s="4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6"/>
      <c r="H57" s="6"/>
      <c r="I57" s="6"/>
      <c r="J57" s="6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</sheetData>
  <autoFilter ref="A1:K34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hyperlinks>
    <hyperlink ref="G3:K3" r:id="rId1" display="2409憑證" xr:uid="{D161934B-7D96-5147-B2A9-70EA0DCF229D}"/>
  </hyperlinks>
  <pageMargins left="0" right="0" top="0" bottom="0" header="0" footer="0"/>
  <pageSetup paperSize="9" scale="74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C39A-B2BA-6449-ACB0-A38D7E265123}">
  <sheetPr>
    <outlinePr summaryBelow="0" summaryRight="0"/>
  </sheetPr>
  <dimension ref="A1:Z1003"/>
  <sheetViews>
    <sheetView zoomScaleNormal="100" zoomScaleSheetLayoutView="100" workbookViewId="0">
      <pane ySplit="2" topLeftCell="A35" activePane="bottomLeft" state="frozen"/>
      <selection activeCell="B1" sqref="B1"/>
      <selection pane="bottomLeft" activeCell="K5" sqref="K5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7" style="13" bestFit="1" customWidth="1"/>
    <col min="7" max="7" width="10.33203125" style="13" bestFit="1" customWidth="1"/>
    <col min="8" max="8" width="12.109375" style="13" customWidth="1"/>
    <col min="9" max="9" width="8.33203125" style="13" customWidth="1"/>
    <col min="10" max="11" width="12.33203125" style="13" customWidth="1"/>
    <col min="12" max="12" width="15.33203125" style="13" bestFit="1" customWidth="1"/>
    <col min="13" max="13" width="15.109375" style="13" customWidth="1"/>
    <col min="14" max="16384" width="12.33203125" style="13"/>
  </cols>
  <sheetData>
    <row r="1" spans="1:26" ht="28.2" customHeight="1" thickBot="1">
      <c r="A1" s="98" t="s">
        <v>0</v>
      </c>
      <c r="B1" s="99"/>
      <c r="C1" s="99"/>
      <c r="D1" s="99"/>
      <c r="E1" s="99"/>
      <c r="F1" s="99"/>
      <c r="G1" s="99"/>
      <c r="H1" s="100"/>
      <c r="J1" s="101"/>
      <c r="K1" s="102"/>
      <c r="L1" s="102"/>
      <c r="M1" s="102"/>
      <c r="N1" s="102"/>
    </row>
    <row r="2" spans="1:26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9" t="s">
        <v>8</v>
      </c>
      <c r="I2" s="30"/>
      <c r="J2" s="31"/>
      <c r="K2" s="67" t="s">
        <v>9</v>
      </c>
      <c r="L2" s="32" t="s">
        <v>10</v>
      </c>
      <c r="M2" s="32" t="s">
        <v>11</v>
      </c>
      <c r="N2" s="33" t="s">
        <v>12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4">
        <v>45505</v>
      </c>
      <c r="B3" s="35">
        <v>4520</v>
      </c>
      <c r="C3" s="35">
        <v>3610</v>
      </c>
      <c r="D3" s="35">
        <v>480</v>
      </c>
      <c r="E3" s="35">
        <v>440</v>
      </c>
      <c r="F3" s="35">
        <v>0</v>
      </c>
      <c r="G3" s="35">
        <f>'2408費用明細憑證 '!E3</f>
        <v>0</v>
      </c>
      <c r="H3" s="82">
        <f>(B3-D3-E3-F3-G3-C3)</f>
        <v>-10</v>
      </c>
      <c r="I3" s="37"/>
      <c r="J3" s="38" t="s">
        <v>13</v>
      </c>
      <c r="K3" s="39">
        <f>C3+C4+C8+C6+C7+C10+C13+C11+C14+C15+C19+C18+C21+C22+C24+C25+C27+C28+C29+C31+C33</f>
        <v>100780</v>
      </c>
      <c r="L3" s="40">
        <f>16273+3500+23000+7000+10850+2000</f>
        <v>62623</v>
      </c>
      <c r="M3" s="39">
        <f>K3-L3</f>
        <v>38157</v>
      </c>
      <c r="N3" s="41">
        <f>M3-G35</f>
        <v>21016.333333333332</v>
      </c>
    </row>
    <row r="4" spans="1:26">
      <c r="A4" s="34">
        <v>45506</v>
      </c>
      <c r="B4" s="35">
        <v>7255</v>
      </c>
      <c r="C4" s="35">
        <v>5700</v>
      </c>
      <c r="D4" s="35">
        <v>380</v>
      </c>
      <c r="E4" s="35">
        <v>250</v>
      </c>
      <c r="F4" s="35">
        <v>0</v>
      </c>
      <c r="G4" s="35">
        <f>'2408費用明細憑證 '!E4</f>
        <v>0</v>
      </c>
      <c r="H4" s="82">
        <f>(B4-D4-E4-F4-G4-C4)</f>
        <v>925</v>
      </c>
      <c r="I4" s="37"/>
      <c r="J4" s="38" t="s">
        <v>14</v>
      </c>
      <c r="K4" s="39">
        <f>C5+C9+C12+C16+C17+C20+C23+C26+C30+C32</f>
        <v>52364</v>
      </c>
      <c r="L4" s="81">
        <f>68+2250+11215+800+2050+250+23784+169+1180+2490+4851</f>
        <v>49107</v>
      </c>
      <c r="M4" s="39">
        <f>K4-L4</f>
        <v>3257</v>
      </c>
      <c r="N4" s="41">
        <f>M4+M6-G35</f>
        <v>-5875.6666666666679</v>
      </c>
    </row>
    <row r="5" spans="1:26">
      <c r="A5" s="34">
        <v>45507</v>
      </c>
      <c r="B5" s="35">
        <v>5785</v>
      </c>
      <c r="C5" s="35">
        <v>5100</v>
      </c>
      <c r="D5" s="35">
        <v>695</v>
      </c>
      <c r="E5" s="35">
        <v>185</v>
      </c>
      <c r="F5" s="35">
        <v>0</v>
      </c>
      <c r="G5" s="35">
        <f>'2408費用明細憑證 '!E5</f>
        <v>68</v>
      </c>
      <c r="H5" s="82">
        <f>(B5-D5-E5-F5-G5-C5)+68</f>
        <v>-195</v>
      </c>
      <c r="I5" s="37"/>
      <c r="J5" s="38" t="s">
        <v>15</v>
      </c>
      <c r="K5" s="39">
        <v>2000</v>
      </c>
      <c r="L5" s="39"/>
      <c r="M5" s="39">
        <f>K5-L5</f>
        <v>2000</v>
      </c>
      <c r="N5" s="42">
        <f>M5-G35</f>
        <v>-15140.666666666668</v>
      </c>
    </row>
    <row r="6" spans="1:26">
      <c r="A6" s="34">
        <v>45508</v>
      </c>
      <c r="B6" s="35">
        <v>4285</v>
      </c>
      <c r="C6" s="35">
        <v>3450</v>
      </c>
      <c r="D6" s="35">
        <v>865</v>
      </c>
      <c r="E6" s="35">
        <v>65</v>
      </c>
      <c r="F6" s="35">
        <v>130</v>
      </c>
      <c r="G6" s="35">
        <f>'2408費用明細憑證 '!E6</f>
        <v>0</v>
      </c>
      <c r="H6" s="82">
        <f>(B6-D6-E6-F6-G6-C6)</f>
        <v>-225</v>
      </c>
      <c r="I6" s="37"/>
      <c r="J6" s="43" t="s">
        <v>16</v>
      </c>
      <c r="K6" s="44">
        <f>13216+8008</f>
        <v>21224</v>
      </c>
      <c r="L6" s="44">
        <v>13216</v>
      </c>
      <c r="M6" s="44">
        <f>K6-L6</f>
        <v>8008</v>
      </c>
      <c r="N6" s="45"/>
    </row>
    <row r="7" spans="1:26">
      <c r="A7" s="34">
        <v>45509</v>
      </c>
      <c r="B7" s="35">
        <v>5650</v>
      </c>
      <c r="C7" s="35">
        <v>4990</v>
      </c>
      <c r="D7" s="35">
        <v>515</v>
      </c>
      <c r="E7" s="35">
        <v>265</v>
      </c>
      <c r="F7" s="35">
        <v>95</v>
      </c>
      <c r="G7" s="35">
        <f>'2408費用明細憑證 '!E7</f>
        <v>0</v>
      </c>
      <c r="H7" s="82">
        <f>(B7-D7-E7-F7-G7-C7)</f>
        <v>-215</v>
      </c>
      <c r="I7" s="37"/>
      <c r="J7" s="46" t="s">
        <v>17</v>
      </c>
      <c r="K7" s="47"/>
      <c r="L7" s="47"/>
      <c r="M7" s="48">
        <f>'2408費用明細憑證 '!E34</f>
        <v>2070</v>
      </c>
      <c r="N7" s="49"/>
    </row>
    <row r="8" spans="1:26">
      <c r="A8" s="34">
        <v>45510</v>
      </c>
      <c r="B8" s="35">
        <v>3650</v>
      </c>
      <c r="C8" s="35">
        <v>3050</v>
      </c>
      <c r="D8" s="35">
        <v>385</v>
      </c>
      <c r="E8" s="35">
        <v>235</v>
      </c>
      <c r="F8" s="35">
        <v>0</v>
      </c>
      <c r="G8" s="35">
        <f>'2408費用明細憑證 '!E8</f>
        <v>0</v>
      </c>
      <c r="H8" s="82">
        <f>(B8-D8-E8-F8-G8-C8)</f>
        <v>-20</v>
      </c>
      <c r="I8" s="37"/>
      <c r="J8" s="50" t="s">
        <v>18</v>
      </c>
      <c r="K8" s="51"/>
      <c r="L8" s="51"/>
      <c r="M8" s="51">
        <f>SUM(M3:M6)+L7</f>
        <v>51422</v>
      </c>
      <c r="N8" s="52"/>
    </row>
    <row r="9" spans="1:26">
      <c r="A9" s="34">
        <v>45511</v>
      </c>
      <c r="B9" s="35">
        <v>7460</v>
      </c>
      <c r="C9" s="35">
        <v>6156</v>
      </c>
      <c r="D9" s="35">
        <v>585</v>
      </c>
      <c r="E9" s="35">
        <v>90</v>
      </c>
      <c r="F9" s="35">
        <v>0</v>
      </c>
      <c r="G9" s="35">
        <f>'2408費用明細憑證 '!E9</f>
        <v>13995</v>
      </c>
      <c r="H9" s="82">
        <f>(B9-D9-E9-F9-G9-C9)+13465</f>
        <v>99</v>
      </c>
      <c r="I9" s="37"/>
      <c r="J9" s="38" t="s">
        <v>19</v>
      </c>
      <c r="K9" s="39"/>
      <c r="L9" s="39"/>
      <c r="M9" s="39">
        <v>6000</v>
      </c>
      <c r="N9" s="53"/>
    </row>
    <row r="10" spans="1:26" ht="16.2" thickBot="1">
      <c r="A10" s="34">
        <v>45512</v>
      </c>
      <c r="B10" s="54">
        <v>5715</v>
      </c>
      <c r="C10" s="54">
        <v>4700</v>
      </c>
      <c r="D10" s="54">
        <v>865</v>
      </c>
      <c r="E10" s="54">
        <v>255</v>
      </c>
      <c r="F10" s="54">
        <v>0</v>
      </c>
      <c r="G10" s="35">
        <f>'2408費用明細憑證 '!E10</f>
        <v>0</v>
      </c>
      <c r="H10" s="82">
        <f>(B10-D10-E10-F10-G10-C10)</f>
        <v>-105</v>
      </c>
      <c r="I10" s="37"/>
      <c r="J10" s="55" t="s">
        <v>20</v>
      </c>
      <c r="K10" s="56"/>
      <c r="L10" s="56"/>
      <c r="M10" s="56">
        <f>SUM(M8:M9)</f>
        <v>57422</v>
      </c>
      <c r="N10" s="57"/>
    </row>
    <row r="11" spans="1:26">
      <c r="A11" s="34">
        <v>45513</v>
      </c>
      <c r="B11" s="54">
        <v>4585</v>
      </c>
      <c r="C11" s="54">
        <v>4100</v>
      </c>
      <c r="D11" s="54">
        <v>335</v>
      </c>
      <c r="E11" s="54">
        <v>225</v>
      </c>
      <c r="F11" s="54">
        <v>0</v>
      </c>
      <c r="G11" s="35">
        <f>'2408費用明細憑證 '!E11</f>
        <v>0</v>
      </c>
      <c r="H11" s="82">
        <f>(B11-D11-E11-F11-G11-C11)</f>
        <v>-75</v>
      </c>
      <c r="I11" s="37"/>
    </row>
    <row r="12" spans="1:26">
      <c r="A12" s="34">
        <v>45514</v>
      </c>
      <c r="B12" s="54">
        <v>7010</v>
      </c>
      <c r="C12" s="54">
        <v>5460</v>
      </c>
      <c r="D12" s="54">
        <v>710</v>
      </c>
      <c r="E12" s="54">
        <v>455</v>
      </c>
      <c r="F12" s="54">
        <v>385</v>
      </c>
      <c r="G12" s="35">
        <f>'2408費用明細憑證 '!E12</f>
        <v>0</v>
      </c>
      <c r="H12" s="82">
        <f>(B12-D12-E12-F12-G12-C12)</f>
        <v>0</v>
      </c>
      <c r="I12" s="37"/>
    </row>
    <row r="13" spans="1:26">
      <c r="A13" s="34">
        <v>45515</v>
      </c>
      <c r="B13" s="54">
        <v>4780</v>
      </c>
      <c r="C13" s="54">
        <v>3720</v>
      </c>
      <c r="D13" s="54">
        <v>750</v>
      </c>
      <c r="E13" s="54">
        <v>50</v>
      </c>
      <c r="F13" s="54">
        <v>0</v>
      </c>
      <c r="G13" s="35">
        <f>'2408費用明細憑證 '!E13</f>
        <v>270</v>
      </c>
      <c r="H13" s="82">
        <f>(B13-D13-E13-F13-G13-C13)</f>
        <v>-10</v>
      </c>
      <c r="I13" s="37"/>
      <c r="J13" s="30" t="s">
        <v>182</v>
      </c>
    </row>
    <row r="14" spans="1:26">
      <c r="A14" s="34">
        <v>45516</v>
      </c>
      <c r="B14" s="54">
        <v>6450</v>
      </c>
      <c r="C14" s="54">
        <v>5110</v>
      </c>
      <c r="D14" s="54">
        <v>380</v>
      </c>
      <c r="E14" s="54">
        <v>225</v>
      </c>
      <c r="F14" s="54">
        <v>0</v>
      </c>
      <c r="G14" s="35">
        <f>'2408費用明細憑證 '!E14</f>
        <v>530</v>
      </c>
      <c r="H14" s="82">
        <f>(B14-D14-E14-F14-G14-C14)</f>
        <v>205</v>
      </c>
      <c r="I14" s="37"/>
      <c r="J14" s="84" t="s">
        <v>180</v>
      </c>
    </row>
    <row r="15" spans="1:26">
      <c r="A15" s="34">
        <v>45517</v>
      </c>
      <c r="B15" s="54">
        <v>7115</v>
      </c>
      <c r="C15" s="54">
        <v>5100</v>
      </c>
      <c r="D15" s="54">
        <v>560</v>
      </c>
      <c r="E15" s="54">
        <v>65</v>
      </c>
      <c r="F15" s="54">
        <v>90</v>
      </c>
      <c r="G15" s="35">
        <f>'2408費用明細憑證 '!E15</f>
        <v>21285</v>
      </c>
      <c r="H15" s="82">
        <f>(B15-D15-E15-F15-G15-C15)+16273+3500+800</f>
        <v>588</v>
      </c>
      <c r="I15" s="37"/>
      <c r="J15" s="13" t="s">
        <v>181</v>
      </c>
    </row>
    <row r="16" spans="1:26">
      <c r="A16" s="34">
        <v>45518</v>
      </c>
      <c r="B16" s="54">
        <v>6290</v>
      </c>
      <c r="C16" s="54">
        <v>4755</v>
      </c>
      <c r="D16" s="54">
        <v>555</v>
      </c>
      <c r="E16" s="54">
        <v>0</v>
      </c>
      <c r="F16" s="54">
        <v>200</v>
      </c>
      <c r="G16" s="35">
        <f>'2408費用明細憑證 '!E16</f>
        <v>2830</v>
      </c>
      <c r="H16" s="82">
        <f>(B16-D16-E16-F16-G16-C16)+2050</f>
        <v>0</v>
      </c>
      <c r="I16" s="37"/>
    </row>
    <row r="17" spans="1:14">
      <c r="A17" s="34">
        <v>45519</v>
      </c>
      <c r="B17" s="54">
        <v>7548</v>
      </c>
      <c r="C17" s="54">
        <v>7048</v>
      </c>
      <c r="D17" s="54">
        <v>420</v>
      </c>
      <c r="E17" s="54">
        <v>80</v>
      </c>
      <c r="F17" s="54">
        <v>0</v>
      </c>
      <c r="G17" s="35">
        <f>'2408費用明細憑證 '!E17</f>
        <v>60000</v>
      </c>
      <c r="H17" s="82">
        <f>(B17-D17-E17-F17-G17-C17)+60000</f>
        <v>0</v>
      </c>
      <c r="I17" s="37"/>
    </row>
    <row r="18" spans="1:14">
      <c r="A18" s="34">
        <v>45520</v>
      </c>
      <c r="B18" s="54">
        <v>6010</v>
      </c>
      <c r="C18" s="54">
        <v>4900</v>
      </c>
      <c r="D18" s="54">
        <v>410</v>
      </c>
      <c r="E18" s="54">
        <v>85</v>
      </c>
      <c r="F18" s="54">
        <v>0</v>
      </c>
      <c r="G18" s="35">
        <f>'2408費用明細憑證 '!E18</f>
        <v>530</v>
      </c>
      <c r="H18" s="82">
        <f>(B18-D18-E18-F18-G18-C18)</f>
        <v>85</v>
      </c>
    </row>
    <row r="19" spans="1:14">
      <c r="A19" s="34">
        <v>45521</v>
      </c>
      <c r="B19" s="54">
        <v>6055</v>
      </c>
      <c r="C19" s="54">
        <v>5600</v>
      </c>
      <c r="D19" s="54">
        <v>330</v>
      </c>
      <c r="E19" s="54">
        <v>60</v>
      </c>
      <c r="F19" s="54">
        <v>70</v>
      </c>
      <c r="G19" s="35">
        <f>'2408費用明細憑證 '!E19</f>
        <v>0</v>
      </c>
      <c r="H19" s="82">
        <f>(B19-D19-E19-F19-G19-C19)</f>
        <v>-5</v>
      </c>
      <c r="N19" s="13" t="s">
        <v>184</v>
      </c>
    </row>
    <row r="20" spans="1:14">
      <c r="A20" s="34">
        <v>45522</v>
      </c>
      <c r="B20" s="54">
        <v>6750</v>
      </c>
      <c r="C20" s="54">
        <v>6370</v>
      </c>
      <c r="D20" s="54">
        <v>130</v>
      </c>
      <c r="E20" s="54">
        <v>250</v>
      </c>
      <c r="F20" s="54">
        <v>0</v>
      </c>
      <c r="G20" s="35">
        <f>'2408費用明細憑證 '!E20</f>
        <v>169</v>
      </c>
      <c r="H20" s="82">
        <f>(B20-D20-E20-F20-G20-C20)+169</f>
        <v>0</v>
      </c>
    </row>
    <row r="21" spans="1:14">
      <c r="A21" s="34">
        <v>45523</v>
      </c>
      <c r="B21" s="54">
        <v>6215</v>
      </c>
      <c r="C21" s="54">
        <v>5700</v>
      </c>
      <c r="D21" s="54">
        <v>510</v>
      </c>
      <c r="E21" s="54">
        <v>165</v>
      </c>
      <c r="F21" s="54">
        <v>0</v>
      </c>
      <c r="G21" s="35">
        <f>'2408費用明細憑證 '!E21</f>
        <v>0</v>
      </c>
      <c r="H21" s="82">
        <f>(B21-D21-E21-F21-G21-C21)</f>
        <v>-160</v>
      </c>
    </row>
    <row r="22" spans="1:14">
      <c r="A22" s="34">
        <v>45524</v>
      </c>
      <c r="B22" s="54">
        <v>5410</v>
      </c>
      <c r="C22" s="54">
        <v>4700</v>
      </c>
      <c r="D22" s="54">
        <v>525</v>
      </c>
      <c r="E22" s="54">
        <v>145</v>
      </c>
      <c r="F22" s="54">
        <v>0</v>
      </c>
      <c r="G22" s="35">
        <f>'2408費用明細憑證 '!E22</f>
        <v>0</v>
      </c>
      <c r="H22" s="82">
        <f>(B22-D22-E22-F22-G22-C22)</f>
        <v>40</v>
      </c>
    </row>
    <row r="23" spans="1:14">
      <c r="A23" s="34">
        <v>45525</v>
      </c>
      <c r="B23" s="54">
        <v>5510</v>
      </c>
      <c r="C23" s="54">
        <v>4200</v>
      </c>
      <c r="D23" s="54">
        <v>210</v>
      </c>
      <c r="E23" s="54">
        <v>95</v>
      </c>
      <c r="F23" s="54">
        <v>210</v>
      </c>
      <c r="G23" s="35">
        <f>'2408費用明細憑證 '!E23</f>
        <v>18645</v>
      </c>
      <c r="H23" s="82">
        <f>(B23-D23-E23-F23-G23-C23)+10850+7000</f>
        <v>0</v>
      </c>
    </row>
    <row r="24" spans="1:14">
      <c r="A24" s="34">
        <v>45526</v>
      </c>
      <c r="B24" s="54">
        <v>5190</v>
      </c>
      <c r="C24" s="54">
        <v>2650</v>
      </c>
      <c r="D24" s="54">
        <v>453</v>
      </c>
      <c r="E24" s="54">
        <v>85</v>
      </c>
      <c r="F24" s="54">
        <v>55</v>
      </c>
      <c r="G24" s="35">
        <f>'2408費用明細憑證 '!E24</f>
        <v>1947</v>
      </c>
      <c r="H24" s="82">
        <f>(B24-D24-E24-F24-G24-C24)</f>
        <v>0</v>
      </c>
    </row>
    <row r="25" spans="1:14">
      <c r="A25" s="34">
        <v>45527</v>
      </c>
      <c r="B25" s="54">
        <v>8186</v>
      </c>
      <c r="C25" s="54">
        <v>7050</v>
      </c>
      <c r="D25" s="54">
        <v>480</v>
      </c>
      <c r="E25" s="54">
        <v>185</v>
      </c>
      <c r="F25" s="54">
        <v>0</v>
      </c>
      <c r="G25" s="35">
        <f>'2408費用明細憑證 '!E25</f>
        <v>0</v>
      </c>
      <c r="H25" s="82">
        <f>(B25-D25-E25-F25-G25-C25)</f>
        <v>471</v>
      </c>
    </row>
    <row r="26" spans="1:14">
      <c r="A26" s="34">
        <v>45528</v>
      </c>
      <c r="B26" s="54">
        <v>5046</v>
      </c>
      <c r="C26" s="54">
        <v>4060</v>
      </c>
      <c r="D26" s="54">
        <v>505</v>
      </c>
      <c r="E26" s="54">
        <v>200</v>
      </c>
      <c r="F26" s="54">
        <v>281</v>
      </c>
      <c r="G26" s="35">
        <f>'2408費用明細憑證 '!E26</f>
        <v>0</v>
      </c>
      <c r="H26" s="82">
        <f>(B26-D26-E26-F26-G26-C26)</f>
        <v>0</v>
      </c>
    </row>
    <row r="27" spans="1:14">
      <c r="A27" s="34">
        <v>45529</v>
      </c>
      <c r="B27" s="54">
        <v>8660</v>
      </c>
      <c r="C27" s="54">
        <v>7200</v>
      </c>
      <c r="D27" s="54">
        <v>1495</v>
      </c>
      <c r="E27" s="54">
        <v>210</v>
      </c>
      <c r="F27" s="54">
        <v>0</v>
      </c>
      <c r="G27" s="35">
        <f>'2408費用明細憑證 '!E27</f>
        <v>0</v>
      </c>
      <c r="H27" s="82">
        <f>(B27-D27-E27-F27-G27-C27)</f>
        <v>-245</v>
      </c>
    </row>
    <row r="28" spans="1:14">
      <c r="A28" s="34">
        <v>45530</v>
      </c>
      <c r="B28" s="54">
        <v>5960</v>
      </c>
      <c r="C28" s="54">
        <v>4400</v>
      </c>
      <c r="D28" s="54">
        <v>400</v>
      </c>
      <c r="E28" s="54">
        <v>120</v>
      </c>
      <c r="F28" s="54">
        <v>85</v>
      </c>
      <c r="G28" s="35">
        <f>'2408費用明細憑證 '!E28</f>
        <v>2130</v>
      </c>
      <c r="H28" s="82">
        <f>(B28-D28-E28-F28-G28-C28)+1180</f>
        <v>5</v>
      </c>
    </row>
    <row r="29" spans="1:14">
      <c r="A29" s="34">
        <v>45531</v>
      </c>
      <c r="B29" s="54">
        <v>4540</v>
      </c>
      <c r="C29" s="54">
        <v>4210</v>
      </c>
      <c r="D29" s="54">
        <v>410</v>
      </c>
      <c r="E29" s="54">
        <v>0</v>
      </c>
      <c r="F29" s="54">
        <v>0</v>
      </c>
      <c r="G29" s="35">
        <f>'2408費用明細憑證 '!E29</f>
        <v>0</v>
      </c>
      <c r="H29" s="82">
        <f>(B29-D29-E29-F29-G29-C29)</f>
        <v>-80</v>
      </c>
    </row>
    <row r="30" spans="1:14">
      <c r="A30" s="34">
        <v>45532</v>
      </c>
      <c r="B30" s="54">
        <v>5780</v>
      </c>
      <c r="C30" s="54">
        <v>4035</v>
      </c>
      <c r="D30" s="54">
        <v>415</v>
      </c>
      <c r="E30" s="54">
        <v>535</v>
      </c>
      <c r="F30" s="54">
        <v>0</v>
      </c>
      <c r="G30" s="35">
        <f>'2408費用明細憑證 '!E30</f>
        <v>3285</v>
      </c>
      <c r="H30" s="82">
        <f>(B30-D30-E30-F30-G30-C30)+2490</f>
        <v>0</v>
      </c>
    </row>
    <row r="31" spans="1:14">
      <c r="A31" s="34">
        <v>45533</v>
      </c>
      <c r="B31" s="54">
        <v>6480</v>
      </c>
      <c r="C31" s="54">
        <v>5710</v>
      </c>
      <c r="D31" s="54">
        <v>575</v>
      </c>
      <c r="E31" s="54">
        <v>155</v>
      </c>
      <c r="F31" s="54">
        <v>0</v>
      </c>
      <c r="G31" s="35">
        <f>'2408費用明細憑證 '!E31</f>
        <v>0</v>
      </c>
      <c r="H31" s="82">
        <f>(B31-D31-E31-F31-G31-C31)</f>
        <v>40</v>
      </c>
    </row>
    <row r="32" spans="1:14">
      <c r="A32" s="34">
        <v>45534</v>
      </c>
      <c r="B32" s="54">
        <v>6840</v>
      </c>
      <c r="C32" s="54">
        <v>5180</v>
      </c>
      <c r="D32" s="54">
        <v>1530</v>
      </c>
      <c r="E32" s="54">
        <v>0</v>
      </c>
      <c r="F32" s="54">
        <v>130</v>
      </c>
      <c r="G32" s="35">
        <f>'2408費用明細憑證 '!E32</f>
        <v>4851</v>
      </c>
      <c r="H32" s="82">
        <f>(B32-D32-E32-F32-G32-C32)+4851</f>
        <v>0</v>
      </c>
    </row>
    <row r="33" spans="1:9" ht="16.2" thickBot="1">
      <c r="A33" s="34">
        <v>45535</v>
      </c>
      <c r="B33" s="59">
        <v>5565</v>
      </c>
      <c r="C33" s="59">
        <v>5130</v>
      </c>
      <c r="D33" s="59">
        <v>465</v>
      </c>
      <c r="E33" s="59">
        <v>0</v>
      </c>
      <c r="F33" s="59">
        <v>0</v>
      </c>
      <c r="G33" s="35">
        <f>'2408費用明細憑證 '!E33</f>
        <v>0</v>
      </c>
      <c r="H33" s="83">
        <f>(B33-D33-E33-F33-G33-C33)</f>
        <v>-30</v>
      </c>
    </row>
    <row r="34" spans="1:9">
      <c r="A34" s="62" t="s">
        <v>21</v>
      </c>
      <c r="B34" s="63" t="s">
        <v>22</v>
      </c>
      <c r="C34" s="63" t="s">
        <v>23</v>
      </c>
      <c r="D34" s="63" t="s">
        <v>24</v>
      </c>
      <c r="E34" s="63"/>
      <c r="F34" s="63" t="s">
        <v>25</v>
      </c>
      <c r="G34" s="103" t="s">
        <v>26</v>
      </c>
      <c r="H34" s="104"/>
      <c r="I34" s="37"/>
    </row>
    <row r="35" spans="1:9" ht="16.2" thickBot="1">
      <c r="A35" s="64" t="s">
        <v>27</v>
      </c>
      <c r="B35" s="65">
        <f>SUM(B3:B33)</f>
        <v>186295</v>
      </c>
      <c r="C35" s="65">
        <f>SUM(G3:G33)</f>
        <v>130535</v>
      </c>
      <c r="D35" s="65">
        <f>B35-C35</f>
        <v>55760</v>
      </c>
      <c r="E35" s="65"/>
      <c r="F35" s="66">
        <f>SUM(H3:H33)</f>
        <v>1083</v>
      </c>
      <c r="G35" s="105">
        <f>M8/3</f>
        <v>17140.666666666668</v>
      </c>
      <c r="H35" s="106"/>
      <c r="I35" s="37"/>
    </row>
    <row r="36" spans="1:9">
      <c r="A36" s="25"/>
    </row>
    <row r="37" spans="1:9">
      <c r="A37" s="25"/>
    </row>
    <row r="38" spans="1:9">
      <c r="A38" s="25"/>
    </row>
    <row r="39" spans="1:9">
      <c r="A39" s="25"/>
    </row>
    <row r="40" spans="1:9">
      <c r="A40" s="25"/>
    </row>
    <row r="41" spans="1:9">
      <c r="A41" s="25"/>
    </row>
    <row r="42" spans="1:9">
      <c r="A42" s="25"/>
    </row>
    <row r="43" spans="1:9">
      <c r="A43" s="25"/>
    </row>
    <row r="44" spans="1:9">
      <c r="A44" s="25"/>
    </row>
    <row r="45" spans="1:9">
      <c r="A45" s="25"/>
    </row>
    <row r="46" spans="1:9">
      <c r="A46" s="25"/>
    </row>
    <row r="47" spans="1:9">
      <c r="A47" s="25"/>
    </row>
    <row r="48" spans="1:9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</sheetData>
  <mergeCells count="4">
    <mergeCell ref="A1:H1"/>
    <mergeCell ref="J1:N1"/>
    <mergeCell ref="G34:H34"/>
    <mergeCell ref="G35:H35"/>
  </mergeCells>
  <phoneticPr fontId="5" type="noConversion"/>
  <dataValidations count="1">
    <dataValidation type="list" allowBlank="1" showErrorMessage="1" sqref="J2" xr:uid="{B5BA293A-DFD7-CA45-B6CC-0B3AC1DB8EF7}">
      <formula1>"江政隆,吳献堂,林權松"</formula1>
    </dataValidation>
  </dataValidations>
  <pageMargins left="0" right="0" top="0" bottom="0" header="0" footer="0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60A3-EF84-5C46-B0E5-36225AEE209B}">
  <sheetPr>
    <outlinePr summaryBelow="0" summaryRight="0"/>
  </sheetPr>
  <dimension ref="A1:Z1003"/>
  <sheetViews>
    <sheetView zoomScaleNormal="100" zoomScaleSheetLayoutView="100" workbookViewId="0">
      <pane ySplit="2" topLeftCell="A28" activePane="bottomLeft" state="frozen"/>
      <selection activeCell="D1" sqref="D1"/>
      <selection pane="bottomLeft" activeCell="C17" sqref="C17:F17"/>
    </sheetView>
  </sheetViews>
  <sheetFormatPr defaultColWidth="12.33203125" defaultRowHeight="15"/>
  <cols>
    <col min="1" max="1" width="13.6640625" style="2" bestFit="1" customWidth="1"/>
    <col min="2" max="3" width="11.33203125" style="2" bestFit="1" customWidth="1"/>
    <col min="4" max="4" width="11.33203125" style="7" bestFit="1" customWidth="1"/>
    <col min="5" max="5" width="11.33203125" style="2" bestFit="1" customWidth="1"/>
    <col min="6" max="6" width="21.6640625" style="2" customWidth="1"/>
    <col min="7" max="7" width="13.6640625" style="2" bestFit="1" customWidth="1"/>
    <col min="8" max="8" width="14.77734375" style="2" bestFit="1" customWidth="1"/>
    <col min="9" max="10" width="12.33203125" style="2" bestFit="1" customWidth="1"/>
    <col min="11" max="16384" width="12.33203125" style="2"/>
  </cols>
  <sheetData>
    <row r="1" spans="1:26" s="8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 ht="15.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>
      <c r="A3" s="14">
        <v>45505</v>
      </c>
      <c r="B3" s="15"/>
      <c r="C3" s="15"/>
      <c r="D3" s="16"/>
      <c r="E3" s="15">
        <f>SUM(B3:D3)</f>
        <v>0</v>
      </c>
      <c r="F3" s="20"/>
      <c r="G3" s="108" t="s">
        <v>193</v>
      </c>
      <c r="H3" s="108"/>
      <c r="I3" s="108"/>
      <c r="J3" s="108"/>
      <c r="K3" s="108"/>
    </row>
    <row r="4" spans="1:26" ht="15.6">
      <c r="A4" s="14">
        <v>45506</v>
      </c>
      <c r="E4" s="15">
        <f>SUM(B4:D4)</f>
        <v>0</v>
      </c>
      <c r="G4" s="18"/>
      <c r="H4" s="18"/>
      <c r="I4" s="18"/>
      <c r="J4" s="18"/>
      <c r="K4" s="19"/>
    </row>
    <row r="5" spans="1:26" ht="15.6">
      <c r="A5" s="14">
        <v>45507</v>
      </c>
      <c r="B5" s="15"/>
      <c r="C5" s="15"/>
      <c r="D5" s="16">
        <v>68</v>
      </c>
      <c r="E5" s="15">
        <f>SUM(B5:D5)</f>
        <v>68</v>
      </c>
      <c r="F5" s="17" t="s">
        <v>175</v>
      </c>
      <c r="G5" s="71"/>
      <c r="H5" s="71"/>
      <c r="I5" s="18"/>
      <c r="J5" s="18"/>
      <c r="K5" s="19"/>
    </row>
    <row r="6" spans="1:26" ht="15.6">
      <c r="A6" s="14">
        <v>45508</v>
      </c>
      <c r="B6" s="15"/>
      <c r="C6" s="15"/>
      <c r="D6" s="16"/>
      <c r="E6" s="15">
        <f t="shared" ref="E6:E34" si="0">SUM(B6:D6)</f>
        <v>0</v>
      </c>
      <c r="F6" s="17"/>
      <c r="G6" s="18"/>
      <c r="H6" s="18"/>
      <c r="I6" s="18"/>
      <c r="J6" s="18"/>
      <c r="K6" s="19"/>
    </row>
    <row r="7" spans="1:26" ht="15.6">
      <c r="A7" s="14">
        <v>45509</v>
      </c>
      <c r="B7" s="15"/>
      <c r="C7" s="15"/>
      <c r="D7" s="16"/>
      <c r="E7" s="15">
        <f t="shared" si="0"/>
        <v>0</v>
      </c>
      <c r="F7" s="17"/>
      <c r="G7" s="71"/>
      <c r="H7" s="18"/>
      <c r="I7" s="18"/>
      <c r="J7" s="18"/>
      <c r="K7" s="19"/>
    </row>
    <row r="8" spans="1:26" ht="15.6">
      <c r="A8" s="14">
        <v>45510</v>
      </c>
      <c r="B8" s="15"/>
      <c r="C8" s="15"/>
      <c r="D8" s="16"/>
      <c r="E8" s="15">
        <f t="shared" si="0"/>
        <v>0</v>
      </c>
      <c r="F8" s="17"/>
      <c r="G8" s="18"/>
      <c r="H8" s="18"/>
      <c r="I8" s="18"/>
      <c r="J8" s="18"/>
      <c r="K8" s="19"/>
    </row>
    <row r="9" spans="1:26" ht="46.8">
      <c r="A9" s="14">
        <v>45511</v>
      </c>
      <c r="B9" s="15">
        <f>2250+11215+530</f>
        <v>13995</v>
      </c>
      <c r="C9" s="15"/>
      <c r="D9" s="16"/>
      <c r="E9" s="15">
        <f t="shared" si="0"/>
        <v>13995</v>
      </c>
      <c r="F9" s="20" t="s">
        <v>179</v>
      </c>
      <c r="G9" s="78"/>
      <c r="H9" s="78"/>
      <c r="I9" s="78"/>
      <c r="J9" s="21"/>
      <c r="K9" s="21"/>
    </row>
    <row r="10" spans="1:26" ht="15.6">
      <c r="A10" s="14">
        <v>45512</v>
      </c>
      <c r="B10" s="15"/>
      <c r="C10" s="15"/>
      <c r="D10" s="16"/>
      <c r="E10" s="15"/>
      <c r="F10" s="20"/>
      <c r="G10" s="71"/>
      <c r="H10" s="21"/>
      <c r="I10" s="18"/>
      <c r="J10" s="18"/>
      <c r="K10" s="19"/>
    </row>
    <row r="11" spans="1:26" ht="15.6">
      <c r="A11" s="14">
        <v>45513</v>
      </c>
      <c r="B11" s="15"/>
      <c r="C11" s="15"/>
      <c r="D11" s="16"/>
      <c r="E11" s="15">
        <f t="shared" si="0"/>
        <v>0</v>
      </c>
      <c r="F11" s="20"/>
      <c r="G11" s="71"/>
      <c r="H11" s="18"/>
      <c r="I11" s="18"/>
      <c r="J11" s="18"/>
      <c r="K11" s="19"/>
    </row>
    <row r="12" spans="1:26" ht="15.6">
      <c r="A12" s="14">
        <v>45514</v>
      </c>
      <c r="B12" s="15"/>
      <c r="C12" s="15"/>
      <c r="D12" s="16"/>
      <c r="E12" s="15">
        <f t="shared" si="0"/>
        <v>0</v>
      </c>
      <c r="F12" s="17"/>
      <c r="G12" s="22"/>
      <c r="H12" s="18"/>
      <c r="I12" s="18"/>
      <c r="J12" s="18"/>
      <c r="K12" s="19"/>
    </row>
    <row r="13" spans="1:26" ht="15.6">
      <c r="A13" s="14">
        <v>45515</v>
      </c>
      <c r="B13" s="15">
        <v>270</v>
      </c>
      <c r="C13" s="15"/>
      <c r="D13" s="16"/>
      <c r="E13" s="15">
        <f>SUM(B13:D13)</f>
        <v>270</v>
      </c>
      <c r="F13" s="20" t="s">
        <v>177</v>
      </c>
      <c r="G13" s="78"/>
      <c r="H13" s="78"/>
      <c r="I13" s="18"/>
      <c r="J13" s="18"/>
      <c r="K13" s="19"/>
    </row>
    <row r="14" spans="1:26" ht="15.6">
      <c r="A14" s="14">
        <v>45516</v>
      </c>
      <c r="B14" s="15">
        <v>530</v>
      </c>
      <c r="C14" s="15"/>
      <c r="D14" s="16"/>
      <c r="E14" s="15">
        <f t="shared" si="0"/>
        <v>530</v>
      </c>
      <c r="F14" s="20" t="s">
        <v>178</v>
      </c>
      <c r="G14" s="78"/>
      <c r="H14" s="78"/>
      <c r="I14" s="18"/>
      <c r="J14" s="18"/>
      <c r="K14" s="19"/>
    </row>
    <row r="15" spans="1:26" ht="62.4">
      <c r="A15" s="14">
        <v>45517</v>
      </c>
      <c r="B15" s="15">
        <v>712</v>
      </c>
      <c r="C15" s="15"/>
      <c r="D15" s="16">
        <f>16273+3500+800</f>
        <v>20573</v>
      </c>
      <c r="E15" s="15">
        <f t="shared" si="0"/>
        <v>21285</v>
      </c>
      <c r="F15" s="20" t="s">
        <v>183</v>
      </c>
      <c r="G15" s="78"/>
      <c r="H15" s="78"/>
      <c r="I15" s="24"/>
      <c r="J15" s="78"/>
      <c r="K15" s="19"/>
    </row>
    <row r="16" spans="1:26" ht="62.4">
      <c r="A16" s="14">
        <v>45518</v>
      </c>
      <c r="B16" s="15">
        <v>530</v>
      </c>
      <c r="C16" s="15"/>
      <c r="D16" s="16">
        <f>2050+250</f>
        <v>2300</v>
      </c>
      <c r="E16" s="15">
        <f t="shared" si="0"/>
        <v>2830</v>
      </c>
      <c r="F16" s="20" t="s">
        <v>192</v>
      </c>
      <c r="G16" s="22"/>
      <c r="H16" s="18"/>
      <c r="I16" s="18"/>
      <c r="J16" s="18"/>
      <c r="K16" s="19"/>
    </row>
    <row r="17" spans="1:11" ht="15.6">
      <c r="A17" s="14">
        <v>45519</v>
      </c>
      <c r="B17" s="15"/>
      <c r="C17" s="15">
        <v>60000</v>
      </c>
      <c r="D17" s="16"/>
      <c r="E17" s="15">
        <f t="shared" si="0"/>
        <v>60000</v>
      </c>
      <c r="F17" s="75" t="s">
        <v>81</v>
      </c>
      <c r="G17" s="78"/>
      <c r="H17" s="78"/>
      <c r="I17" s="24"/>
      <c r="J17" s="18"/>
      <c r="K17" s="19"/>
    </row>
    <row r="18" spans="1:11" ht="15.6">
      <c r="A18" s="14">
        <v>45520</v>
      </c>
      <c r="B18" s="15">
        <v>530</v>
      </c>
      <c r="C18" s="15"/>
      <c r="D18" s="16"/>
      <c r="E18" s="15">
        <f t="shared" si="0"/>
        <v>530</v>
      </c>
      <c r="F18" s="13" t="s">
        <v>40</v>
      </c>
      <c r="G18" s="19"/>
      <c r="H18" s="19"/>
      <c r="I18" s="18"/>
      <c r="J18" s="18"/>
      <c r="K18" s="19"/>
    </row>
    <row r="19" spans="1:11" ht="15.6">
      <c r="A19" s="14">
        <v>45521</v>
      </c>
      <c r="B19" s="15"/>
      <c r="C19" s="15"/>
      <c r="D19" s="16"/>
      <c r="E19" s="15">
        <f t="shared" si="0"/>
        <v>0</v>
      </c>
      <c r="F19" s="20"/>
      <c r="G19" s="71"/>
      <c r="H19" s="22"/>
      <c r="I19" s="18"/>
      <c r="J19" s="18"/>
      <c r="K19" s="19"/>
    </row>
    <row r="20" spans="1:11" ht="15.6">
      <c r="A20" s="14">
        <v>45522</v>
      </c>
      <c r="B20" s="15"/>
      <c r="C20" s="15"/>
      <c r="D20" s="16">
        <v>169</v>
      </c>
      <c r="E20" s="15">
        <f t="shared" si="0"/>
        <v>169</v>
      </c>
      <c r="F20" s="17" t="s">
        <v>185</v>
      </c>
      <c r="G20" s="78"/>
      <c r="H20" s="18"/>
      <c r="I20" s="18"/>
      <c r="J20" s="18"/>
      <c r="K20" s="19"/>
    </row>
    <row r="21" spans="1:11" ht="15.6">
      <c r="A21" s="14">
        <v>45523</v>
      </c>
      <c r="B21" s="15"/>
      <c r="C21" s="15"/>
      <c r="D21" s="16"/>
      <c r="E21" s="15">
        <f t="shared" si="0"/>
        <v>0</v>
      </c>
      <c r="F21" s="17"/>
      <c r="G21" s="71"/>
      <c r="H21" s="18"/>
      <c r="I21" s="18"/>
      <c r="J21" s="18"/>
      <c r="K21" s="19"/>
    </row>
    <row r="22" spans="1:11" ht="15.6">
      <c r="A22" s="14">
        <v>45524</v>
      </c>
      <c r="B22" s="15"/>
      <c r="C22" s="15"/>
      <c r="D22" s="16"/>
      <c r="E22" s="15">
        <f t="shared" si="0"/>
        <v>0</v>
      </c>
      <c r="F22" s="20"/>
      <c r="G22" s="71"/>
      <c r="H22" s="18"/>
      <c r="I22" s="18"/>
      <c r="J22" s="18"/>
      <c r="K22" s="19"/>
    </row>
    <row r="23" spans="1:11" ht="46.8">
      <c r="A23" s="14">
        <v>45525</v>
      </c>
      <c r="B23" s="15">
        <f>795+10850+7000</f>
        <v>18645</v>
      </c>
      <c r="C23" s="15"/>
      <c r="D23" s="16"/>
      <c r="E23" s="15">
        <f t="shared" si="0"/>
        <v>18645</v>
      </c>
      <c r="F23" s="20" t="s">
        <v>195</v>
      </c>
      <c r="G23" s="18"/>
      <c r="H23" s="18"/>
      <c r="I23" s="18"/>
      <c r="J23" s="18"/>
      <c r="K23" s="19"/>
    </row>
    <row r="24" spans="1:11" ht="31.2">
      <c r="A24" s="14">
        <v>45526</v>
      </c>
      <c r="B24" s="15"/>
      <c r="C24" s="15"/>
      <c r="D24" s="16">
        <f>1847+100</f>
        <v>1947</v>
      </c>
      <c r="E24" s="15">
        <f t="shared" si="0"/>
        <v>1947</v>
      </c>
      <c r="F24" s="20" t="s">
        <v>186</v>
      </c>
      <c r="G24" s="78"/>
      <c r="H24" s="78"/>
      <c r="I24" s="78"/>
      <c r="J24" s="18"/>
      <c r="K24" s="19"/>
    </row>
    <row r="25" spans="1:11" ht="15.6">
      <c r="A25" s="14">
        <v>45527</v>
      </c>
      <c r="E25" s="15">
        <f t="shared" si="0"/>
        <v>0</v>
      </c>
      <c r="G25" s="18"/>
      <c r="H25" s="18"/>
      <c r="I25" s="18"/>
      <c r="J25" s="18"/>
      <c r="K25" s="19"/>
    </row>
    <row r="26" spans="1:11" ht="15.6">
      <c r="A26" s="14">
        <v>45528</v>
      </c>
      <c r="B26" s="15"/>
      <c r="C26" s="15"/>
      <c r="D26" s="16"/>
      <c r="E26" s="15">
        <f t="shared" si="0"/>
        <v>0</v>
      </c>
      <c r="F26" s="17"/>
      <c r="G26" s="78"/>
      <c r="H26" s="18"/>
      <c r="I26" s="18"/>
      <c r="J26" s="18"/>
      <c r="K26" s="19"/>
    </row>
    <row r="27" spans="1:11" ht="15.6">
      <c r="A27" s="14">
        <v>45529</v>
      </c>
      <c r="B27" s="15"/>
      <c r="C27" s="15"/>
      <c r="D27" s="16"/>
      <c r="E27" s="15">
        <f t="shared" si="0"/>
        <v>0</v>
      </c>
      <c r="F27" s="17"/>
      <c r="G27" s="18"/>
      <c r="H27" s="18"/>
      <c r="I27" s="18"/>
      <c r="J27" s="18"/>
      <c r="K27" s="19"/>
    </row>
    <row r="28" spans="1:11" ht="31.2">
      <c r="A28" s="14">
        <v>45530</v>
      </c>
      <c r="B28" s="15">
        <v>1180</v>
      </c>
      <c r="C28" s="15"/>
      <c r="D28" s="16">
        <v>950</v>
      </c>
      <c r="E28" s="15">
        <f t="shared" si="0"/>
        <v>2130</v>
      </c>
      <c r="F28" s="20" t="s">
        <v>194</v>
      </c>
      <c r="G28" s="18"/>
      <c r="H28" s="18"/>
      <c r="I28" s="18"/>
      <c r="J28" s="18"/>
      <c r="K28" s="19"/>
    </row>
    <row r="29" spans="1:11" ht="15.6">
      <c r="A29" s="14">
        <v>45531</v>
      </c>
      <c r="B29" s="15"/>
      <c r="C29" s="15"/>
      <c r="D29" s="16"/>
      <c r="E29" s="15">
        <f t="shared" si="0"/>
        <v>0</v>
      </c>
      <c r="F29" s="17"/>
      <c r="G29" s="22"/>
      <c r="H29" s="18"/>
      <c r="I29" s="18"/>
      <c r="J29" s="18"/>
      <c r="K29" s="19"/>
    </row>
    <row r="30" spans="1:11" ht="31.2">
      <c r="A30" s="14">
        <v>45532</v>
      </c>
      <c r="B30" s="15">
        <f>795+2490</f>
        <v>3285</v>
      </c>
      <c r="C30" s="15"/>
      <c r="D30" s="16"/>
      <c r="E30" s="15">
        <f t="shared" si="0"/>
        <v>3285</v>
      </c>
      <c r="F30" s="20" t="s">
        <v>189</v>
      </c>
      <c r="G30" s="22"/>
      <c r="H30" s="18"/>
      <c r="I30" s="18"/>
      <c r="J30" s="18"/>
      <c r="K30" s="19"/>
    </row>
    <row r="31" spans="1:11" ht="15.6">
      <c r="A31" s="14">
        <v>45533</v>
      </c>
      <c r="B31" s="15"/>
      <c r="C31" s="15"/>
      <c r="D31" s="16"/>
      <c r="E31" s="15">
        <f t="shared" si="0"/>
        <v>0</v>
      </c>
      <c r="F31" s="17"/>
      <c r="G31" s="18"/>
      <c r="H31" s="18"/>
      <c r="I31" s="18"/>
      <c r="J31" s="18"/>
      <c r="K31" s="19"/>
    </row>
    <row r="32" spans="1:11" ht="15.6">
      <c r="A32" s="14">
        <v>45534</v>
      </c>
      <c r="B32" s="15"/>
      <c r="C32" s="15"/>
      <c r="D32" s="16">
        <v>4851</v>
      </c>
      <c r="E32" s="15">
        <f t="shared" si="0"/>
        <v>4851</v>
      </c>
      <c r="F32" s="17" t="s">
        <v>190</v>
      </c>
      <c r="G32" s="18"/>
      <c r="H32" s="18"/>
      <c r="I32" s="18"/>
      <c r="J32" s="18"/>
      <c r="K32" s="19"/>
    </row>
    <row r="33" spans="1:11" ht="15.6">
      <c r="A33" s="14">
        <v>45535</v>
      </c>
      <c r="B33" s="15"/>
      <c r="C33" s="15"/>
      <c r="D33" s="16"/>
      <c r="E33" s="15">
        <f t="shared" si="0"/>
        <v>0</v>
      </c>
      <c r="F33" s="20"/>
      <c r="G33" s="22"/>
      <c r="H33" s="22"/>
      <c r="I33" s="18"/>
      <c r="J33" s="18"/>
      <c r="K33" s="19"/>
    </row>
    <row r="34" spans="1:11" ht="46.8">
      <c r="A34" s="14" t="s">
        <v>58</v>
      </c>
      <c r="B34" s="15">
        <f>500+500+1070</f>
        <v>2070</v>
      </c>
      <c r="C34" s="15"/>
      <c r="D34" s="16"/>
      <c r="E34" s="15">
        <f t="shared" si="0"/>
        <v>2070</v>
      </c>
      <c r="F34" s="20" t="s">
        <v>191</v>
      </c>
      <c r="G34" s="71"/>
      <c r="H34" s="78"/>
      <c r="I34" s="22"/>
      <c r="J34" s="18"/>
      <c r="K34" s="19"/>
    </row>
    <row r="35" spans="1:11" ht="15.6">
      <c r="A35" s="12" t="s">
        <v>27</v>
      </c>
      <c r="B35" s="15">
        <f>SUM(B3:B33)</f>
        <v>39677</v>
      </c>
      <c r="C35" s="15">
        <f>SUM(C3:C33)</f>
        <v>60000</v>
      </c>
      <c r="D35" s="15">
        <f>SUM(D3:D33)</f>
        <v>30858</v>
      </c>
      <c r="E35" s="15">
        <f>SUM(E3:E33)</f>
        <v>130535</v>
      </c>
      <c r="F35" s="17"/>
      <c r="G35" s="18"/>
      <c r="H35" s="18"/>
      <c r="I35" s="18"/>
      <c r="J35" s="18"/>
      <c r="K35" s="19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85"/>
      <c r="C38" s="4"/>
      <c r="E38" s="4"/>
      <c r="F38" s="5"/>
      <c r="G38" s="9"/>
      <c r="H38" s="9"/>
      <c r="I38" s="9"/>
      <c r="J38" s="9"/>
      <c r="K38" s="10"/>
    </row>
    <row r="39" spans="1:11" ht="15.6">
      <c r="A39" s="3"/>
      <c r="B39" s="86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3">
    <mergeCell ref="A1:K1"/>
    <mergeCell ref="G2:K2"/>
    <mergeCell ref="G3:K3"/>
  </mergeCells>
  <phoneticPr fontId="5" type="noConversion"/>
  <pageMargins left="0" right="0" top="0" bottom="0" header="0" footer="0"/>
  <pageSetup paperSize="9" scale="74" orientation="portrait" r:id="rId1"/>
  <ignoredErrors>
    <ignoredError sqref="E3:E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D004-1A6E-BB4E-9942-1388B9BD6203}">
  <sheetPr>
    <outlinePr summaryBelow="0" summaryRight="0"/>
  </sheetPr>
  <dimension ref="A1:Z1003"/>
  <sheetViews>
    <sheetView zoomScaleNormal="100" zoomScaleSheetLayoutView="100" workbookViewId="0">
      <pane ySplit="2" topLeftCell="A3" activePane="bottomLeft" state="frozen"/>
      <selection activeCell="B1" sqref="B1"/>
      <selection pane="bottomLeft" activeCell="K5" sqref="K5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7" style="13" bestFit="1" customWidth="1"/>
    <col min="7" max="7" width="10.33203125" style="13" bestFit="1" customWidth="1"/>
    <col min="8" max="8" width="12.109375" style="13" customWidth="1"/>
    <col min="9" max="9" width="8.33203125" style="13" customWidth="1"/>
    <col min="10" max="10" width="12.33203125" style="13" customWidth="1"/>
    <col min="11" max="11" width="11.33203125" style="13" bestFit="1" customWidth="1"/>
    <col min="12" max="12" width="15.33203125" style="13" bestFit="1" customWidth="1"/>
    <col min="13" max="13" width="15.109375" style="13" customWidth="1"/>
    <col min="14" max="16384" width="12.33203125" style="13"/>
  </cols>
  <sheetData>
    <row r="1" spans="1:26" ht="28.2" customHeight="1" thickBot="1">
      <c r="A1" s="98" t="s">
        <v>0</v>
      </c>
      <c r="B1" s="99"/>
      <c r="C1" s="99"/>
      <c r="D1" s="99"/>
      <c r="E1" s="99"/>
      <c r="F1" s="99"/>
      <c r="G1" s="99"/>
      <c r="H1" s="100"/>
      <c r="J1" s="101"/>
      <c r="K1" s="102"/>
      <c r="L1" s="102"/>
      <c r="M1" s="102"/>
      <c r="N1" s="102"/>
    </row>
    <row r="2" spans="1:26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9" t="s">
        <v>8</v>
      </c>
      <c r="I2" s="30"/>
      <c r="J2" s="31"/>
      <c r="K2" s="67" t="s">
        <v>9</v>
      </c>
      <c r="L2" s="32" t="s">
        <v>10</v>
      </c>
      <c r="M2" s="32" t="s">
        <v>11</v>
      </c>
      <c r="N2" s="33" t="s">
        <v>12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4">
        <v>45474</v>
      </c>
      <c r="B3" s="35">
        <v>4320</v>
      </c>
      <c r="C3" s="35">
        <v>2300</v>
      </c>
      <c r="D3" s="35">
        <v>0</v>
      </c>
      <c r="E3" s="35">
        <v>85</v>
      </c>
      <c r="F3" s="35">
        <v>0</v>
      </c>
      <c r="G3" s="35">
        <f>'2407費用明細憑證'!E3</f>
        <v>1988</v>
      </c>
      <c r="H3" s="36">
        <f>(B3-D3-E3-F3-G3-C3)</f>
        <v>-53</v>
      </c>
      <c r="I3" s="37"/>
      <c r="J3" s="38" t="s">
        <v>13</v>
      </c>
      <c r="K3" s="39">
        <f>C3+C6+C10+C13+C14+C8+C11+C16+C20+C17-700+C21+C22-3500+C23+C27+C25+C28-1500+C29-4000+C31+C32</f>
        <v>73810</v>
      </c>
      <c r="L3" s="40">
        <v>34900</v>
      </c>
      <c r="M3" s="39">
        <f>K3-L3</f>
        <v>38910</v>
      </c>
      <c r="N3" s="41">
        <f>M3-G35</f>
        <v>17240.333333333332</v>
      </c>
    </row>
    <row r="4" spans="1:26">
      <c r="A4" s="34">
        <v>45475</v>
      </c>
      <c r="B4" s="35">
        <v>10640</v>
      </c>
      <c r="C4" s="35">
        <v>8810</v>
      </c>
      <c r="D4" s="35">
        <v>1515</v>
      </c>
      <c r="E4" s="35">
        <v>210</v>
      </c>
      <c r="F4" s="35">
        <v>0</v>
      </c>
      <c r="G4" s="35">
        <f>'2407費用明細憑證'!E4</f>
        <v>0</v>
      </c>
      <c r="H4" s="36">
        <f t="shared" ref="H4:H33" si="0">(B4-D4-E4-F4-G4-C4)</f>
        <v>105</v>
      </c>
      <c r="I4" s="37"/>
      <c r="J4" s="38" t="s">
        <v>14</v>
      </c>
      <c r="K4" s="39">
        <f>C4+C5+C7+C9+C12+C15+C18+C19+700+C24+C26+C30+C33</f>
        <v>65540</v>
      </c>
      <c r="L4" s="77">
        <f>2200+12700+1900+3750+710+14085+7565+463+12840+2200</f>
        <v>58413</v>
      </c>
      <c r="M4" s="39">
        <f>K4-L4</f>
        <v>7127</v>
      </c>
      <c r="N4" s="41">
        <f>M4+M6-G35</f>
        <v>-4570.6666666666679</v>
      </c>
    </row>
    <row r="5" spans="1:26">
      <c r="A5" s="34">
        <v>45476</v>
      </c>
      <c r="B5" s="35">
        <v>7750</v>
      </c>
      <c r="C5" s="35">
        <v>6560</v>
      </c>
      <c r="D5" s="35">
        <v>85</v>
      </c>
      <c r="E5" s="35">
        <v>80</v>
      </c>
      <c r="F5" s="35">
        <v>245</v>
      </c>
      <c r="G5" s="35">
        <f>'2407費用明細憑證'!E5</f>
        <v>2730</v>
      </c>
      <c r="H5" s="36">
        <f>(B5-D5-E5-F5-G5-C5)+2200</f>
        <v>250</v>
      </c>
      <c r="I5" s="37"/>
      <c r="J5" s="38" t="s">
        <v>15</v>
      </c>
      <c r="K5" s="39">
        <f>3500+1500+4000</f>
        <v>9000</v>
      </c>
      <c r="L5" s="39"/>
      <c r="M5" s="39">
        <f>K5-L5</f>
        <v>9000</v>
      </c>
      <c r="N5" s="42">
        <f>M5-G35</f>
        <v>-12669.666666666668</v>
      </c>
    </row>
    <row r="6" spans="1:26">
      <c r="A6" s="34">
        <v>45477</v>
      </c>
      <c r="B6" s="35">
        <v>6565</v>
      </c>
      <c r="C6" s="35">
        <v>5850</v>
      </c>
      <c r="D6" s="35">
        <v>645</v>
      </c>
      <c r="E6" s="35">
        <v>190</v>
      </c>
      <c r="F6" s="35">
        <v>0</v>
      </c>
      <c r="G6" s="35">
        <f>'2407費用明細憑證'!E6</f>
        <v>0</v>
      </c>
      <c r="H6" s="36">
        <f t="shared" si="0"/>
        <v>-120</v>
      </c>
      <c r="I6" s="37"/>
      <c r="J6" s="43" t="s">
        <v>16</v>
      </c>
      <c r="K6" s="44">
        <f>11015+9972</f>
        <v>20987</v>
      </c>
      <c r="L6" s="44">
        <v>11015</v>
      </c>
      <c r="M6" s="44">
        <f>K6-L6</f>
        <v>9972</v>
      </c>
      <c r="N6" s="45"/>
    </row>
    <row r="7" spans="1:26">
      <c r="A7" s="34">
        <v>45478</v>
      </c>
      <c r="B7" s="35">
        <v>5700</v>
      </c>
      <c r="C7" s="35">
        <v>4543</v>
      </c>
      <c r="D7" s="35">
        <v>435</v>
      </c>
      <c r="E7" s="35">
        <v>55</v>
      </c>
      <c r="F7" s="35">
        <v>80</v>
      </c>
      <c r="G7" s="35">
        <f>'2407費用明細憑證'!E7</f>
        <v>530</v>
      </c>
      <c r="H7" s="36">
        <f t="shared" si="0"/>
        <v>57</v>
      </c>
      <c r="I7" s="37"/>
      <c r="J7" s="46" t="s">
        <v>17</v>
      </c>
      <c r="K7" s="47"/>
      <c r="L7" s="47"/>
      <c r="M7" s="48">
        <f>'2407費用明細憑證'!E34</f>
        <v>2250</v>
      </c>
      <c r="N7" s="49"/>
    </row>
    <row r="8" spans="1:26">
      <c r="A8" s="34">
        <v>45479</v>
      </c>
      <c r="B8" s="35">
        <v>6405</v>
      </c>
      <c r="C8" s="35">
        <v>5490</v>
      </c>
      <c r="D8" s="35">
        <v>560</v>
      </c>
      <c r="E8" s="35">
        <v>140</v>
      </c>
      <c r="F8" s="35">
        <v>515</v>
      </c>
      <c r="G8" s="35">
        <f>'2407費用明細憑證'!E8</f>
        <v>0</v>
      </c>
      <c r="H8" s="36">
        <f>(B8-D8-E8-F8-G8-C8)</f>
        <v>-300</v>
      </c>
      <c r="I8" s="37"/>
      <c r="J8" s="50" t="s">
        <v>18</v>
      </c>
      <c r="K8" s="51"/>
      <c r="L8" s="51"/>
      <c r="M8" s="51">
        <f>SUM(M3:M6)+L7</f>
        <v>65009</v>
      </c>
      <c r="N8" s="52"/>
    </row>
    <row r="9" spans="1:26">
      <c r="A9" s="34">
        <v>45480</v>
      </c>
      <c r="B9" s="35">
        <v>5860</v>
      </c>
      <c r="C9" s="35">
        <v>5740</v>
      </c>
      <c r="D9" s="35">
        <v>65</v>
      </c>
      <c r="E9" s="35">
        <v>0</v>
      </c>
      <c r="F9" s="35">
        <v>130</v>
      </c>
      <c r="G9" s="35">
        <f>'2407費用明細憑證'!E9</f>
        <v>0</v>
      </c>
      <c r="H9" s="36">
        <f>(B9-D9-E9-F9-G9-C9)</f>
        <v>-75</v>
      </c>
      <c r="I9" s="37"/>
      <c r="J9" s="38" t="s">
        <v>19</v>
      </c>
      <c r="K9" s="39"/>
      <c r="L9" s="39"/>
      <c r="M9" s="39">
        <v>6000</v>
      </c>
      <c r="N9" s="53"/>
    </row>
    <row r="10" spans="1:26" ht="16.2" thickBot="1">
      <c r="A10" s="34">
        <v>45481</v>
      </c>
      <c r="B10" s="54">
        <v>4705</v>
      </c>
      <c r="C10" s="54">
        <v>3610</v>
      </c>
      <c r="D10" s="54">
        <v>500</v>
      </c>
      <c r="E10" s="54">
        <v>65</v>
      </c>
      <c r="F10" s="54">
        <v>0</v>
      </c>
      <c r="G10" s="35">
        <f>'2407費用明細憑證'!E10</f>
        <v>530</v>
      </c>
      <c r="H10" s="36">
        <f t="shared" si="0"/>
        <v>0</v>
      </c>
      <c r="I10" s="37"/>
      <c r="J10" s="55" t="s">
        <v>20</v>
      </c>
      <c r="K10" s="56"/>
      <c r="L10" s="56"/>
      <c r="M10" s="56">
        <f>SUM(M8:M9)</f>
        <v>71009</v>
      </c>
      <c r="N10" s="57"/>
    </row>
    <row r="11" spans="1:26">
      <c r="A11" s="34">
        <v>45482</v>
      </c>
      <c r="B11" s="54">
        <v>3985</v>
      </c>
      <c r="C11" s="54">
        <v>3020</v>
      </c>
      <c r="D11" s="54">
        <v>395</v>
      </c>
      <c r="E11" s="54">
        <v>0</v>
      </c>
      <c r="F11" s="54">
        <v>0</v>
      </c>
      <c r="G11" s="35">
        <f>'2407費用明細憑證'!E11</f>
        <v>712</v>
      </c>
      <c r="H11" s="36">
        <f>(B11-D11-E11-F11-G11-C11)</f>
        <v>-142</v>
      </c>
      <c r="I11" s="37"/>
    </row>
    <row r="12" spans="1:26">
      <c r="A12" s="34">
        <v>45483</v>
      </c>
      <c r="B12" s="54">
        <v>5385</v>
      </c>
      <c r="C12" s="54">
        <v>5043</v>
      </c>
      <c r="D12" s="54">
        <v>235</v>
      </c>
      <c r="E12" s="54">
        <v>65</v>
      </c>
      <c r="F12" s="54">
        <v>0</v>
      </c>
      <c r="G12" s="35">
        <f>'2407費用明細憑證'!E12</f>
        <v>0</v>
      </c>
      <c r="H12" s="36">
        <f t="shared" si="0"/>
        <v>42</v>
      </c>
      <c r="I12" s="37"/>
    </row>
    <row r="13" spans="1:26">
      <c r="A13" s="34">
        <v>45484</v>
      </c>
      <c r="B13" s="54">
        <v>6215</v>
      </c>
      <c r="C13" s="54">
        <v>5005</v>
      </c>
      <c r="D13" s="54">
        <v>420</v>
      </c>
      <c r="E13" s="54">
        <v>495</v>
      </c>
      <c r="F13" s="54">
        <v>0</v>
      </c>
      <c r="G13" s="35">
        <f>'2407費用明細憑證'!E13</f>
        <v>15200</v>
      </c>
      <c r="H13" s="36">
        <f>(B13-D13-E13-F13-G13-C13)+12700+1900</f>
        <v>-305</v>
      </c>
      <c r="I13" s="37"/>
    </row>
    <row r="14" spans="1:26">
      <c r="A14" s="34">
        <v>45485</v>
      </c>
      <c r="B14" s="54">
        <v>5980</v>
      </c>
      <c r="C14" s="54">
        <v>4720</v>
      </c>
      <c r="D14" s="54">
        <v>665</v>
      </c>
      <c r="E14" s="54">
        <v>115</v>
      </c>
      <c r="F14" s="54">
        <v>0</v>
      </c>
      <c r="G14" s="35">
        <f>'2407費用明細憑證'!E14</f>
        <v>4280</v>
      </c>
      <c r="H14" s="36">
        <f>(B14-D14-E14-F14-G14-C14)+3750</f>
        <v>-50</v>
      </c>
      <c r="I14" s="37"/>
    </row>
    <row r="15" spans="1:26">
      <c r="A15" s="34">
        <v>45486</v>
      </c>
      <c r="B15" s="54">
        <v>6165</v>
      </c>
      <c r="C15" s="54">
        <v>5535</v>
      </c>
      <c r="D15" s="54">
        <v>595</v>
      </c>
      <c r="E15" s="54">
        <v>155</v>
      </c>
      <c r="F15" s="54">
        <v>0</v>
      </c>
      <c r="G15" s="35">
        <f>'2407費用明細憑證'!E15</f>
        <v>710</v>
      </c>
      <c r="H15" s="36">
        <f>(B15-D15-E15-F15-G15-C15)+710</f>
        <v>-120</v>
      </c>
      <c r="I15" s="37"/>
    </row>
    <row r="16" spans="1:26">
      <c r="A16" s="34">
        <v>45487</v>
      </c>
      <c r="B16" s="54">
        <v>8331</v>
      </c>
      <c r="C16" s="54">
        <v>6080</v>
      </c>
      <c r="D16" s="54">
        <v>480</v>
      </c>
      <c r="E16" s="54">
        <v>210</v>
      </c>
      <c r="F16" s="54">
        <v>530</v>
      </c>
      <c r="G16" s="35">
        <f>'2407費用明細憑證'!E16</f>
        <v>0</v>
      </c>
      <c r="H16" s="36">
        <f t="shared" si="0"/>
        <v>1031</v>
      </c>
      <c r="I16" s="37"/>
    </row>
    <row r="17" spans="1:9">
      <c r="A17" s="34">
        <v>45488</v>
      </c>
      <c r="B17" s="54">
        <v>4960</v>
      </c>
      <c r="C17" s="54">
        <v>4100</v>
      </c>
      <c r="D17" s="54">
        <v>615</v>
      </c>
      <c r="E17" s="54">
        <v>0</v>
      </c>
      <c r="F17" s="54">
        <v>0</v>
      </c>
      <c r="G17" s="35">
        <f>'2407費用明細憑證'!E17</f>
        <v>60530</v>
      </c>
      <c r="H17" s="36">
        <f>(B17-D17-E17-F17-G17-C17)+60000</f>
        <v>-285</v>
      </c>
      <c r="I17" s="37"/>
    </row>
    <row r="18" spans="1:9">
      <c r="A18" s="34">
        <v>45489</v>
      </c>
      <c r="B18" s="54">
        <v>6655</v>
      </c>
      <c r="C18" s="54">
        <v>5810</v>
      </c>
      <c r="D18" s="54">
        <v>245</v>
      </c>
      <c r="E18" s="54">
        <v>125</v>
      </c>
      <c r="F18" s="54">
        <v>100</v>
      </c>
      <c r="G18" s="35">
        <f>'2407費用明細憑證'!E18</f>
        <v>0</v>
      </c>
      <c r="H18" s="36">
        <f t="shared" si="0"/>
        <v>375</v>
      </c>
    </row>
    <row r="19" spans="1:9">
      <c r="A19" s="34">
        <v>45490</v>
      </c>
      <c r="B19" s="54">
        <v>7060</v>
      </c>
      <c r="C19" s="54">
        <v>5173</v>
      </c>
      <c r="D19" s="54">
        <v>490</v>
      </c>
      <c r="E19" s="54">
        <v>910</v>
      </c>
      <c r="F19" s="54">
        <v>0</v>
      </c>
      <c r="G19" s="35">
        <f>'2407費用明細憑證'!E19</f>
        <v>530</v>
      </c>
      <c r="H19" s="36">
        <f t="shared" si="0"/>
        <v>-43</v>
      </c>
    </row>
    <row r="20" spans="1:9">
      <c r="A20" s="34">
        <v>45491</v>
      </c>
      <c r="B20" s="54">
        <v>4130</v>
      </c>
      <c r="C20" s="54">
        <v>4025</v>
      </c>
      <c r="D20" s="54">
        <v>690</v>
      </c>
      <c r="E20" s="54">
        <v>45</v>
      </c>
      <c r="F20" s="54">
        <v>0</v>
      </c>
      <c r="G20" s="35">
        <f>'2407費用明細憑證'!E20</f>
        <v>7565</v>
      </c>
      <c r="H20" s="36">
        <f>(B20-D20-E20-F20-G20-C20)+7565</f>
        <v>-630</v>
      </c>
    </row>
    <row r="21" spans="1:9">
      <c r="A21" s="34">
        <v>45492</v>
      </c>
      <c r="B21" s="54">
        <v>5420</v>
      </c>
      <c r="C21" s="54">
        <v>3950</v>
      </c>
      <c r="D21" s="54">
        <v>765</v>
      </c>
      <c r="E21" s="54">
        <v>50</v>
      </c>
      <c r="F21" s="54">
        <v>0</v>
      </c>
      <c r="G21" s="35">
        <f>'2407費用明細憑證'!E21</f>
        <v>768</v>
      </c>
      <c r="H21" s="36">
        <f t="shared" si="0"/>
        <v>-113</v>
      </c>
    </row>
    <row r="22" spans="1:9">
      <c r="A22" s="34">
        <v>45493</v>
      </c>
      <c r="B22" s="54">
        <v>9195</v>
      </c>
      <c r="C22" s="54">
        <f>2220+3500</f>
        <v>5720</v>
      </c>
      <c r="D22" s="54">
        <v>980</v>
      </c>
      <c r="E22" s="54">
        <v>0</v>
      </c>
      <c r="F22" s="54">
        <v>170</v>
      </c>
      <c r="G22" s="35">
        <f>'2407費用明細憑證'!E22</f>
        <v>2190</v>
      </c>
      <c r="H22" s="36">
        <f t="shared" si="0"/>
        <v>135</v>
      </c>
    </row>
    <row r="23" spans="1:9">
      <c r="A23" s="34">
        <v>45494</v>
      </c>
      <c r="B23" s="54">
        <v>5305</v>
      </c>
      <c r="C23" s="54">
        <v>4600</v>
      </c>
      <c r="D23" s="54">
        <v>475</v>
      </c>
      <c r="E23" s="54">
        <v>185</v>
      </c>
      <c r="F23" s="54">
        <v>65</v>
      </c>
      <c r="G23" s="35">
        <f>'2407費用明細憑證'!E23</f>
        <v>0</v>
      </c>
      <c r="H23" s="36">
        <f t="shared" si="0"/>
        <v>-20</v>
      </c>
    </row>
    <row r="24" spans="1:9">
      <c r="A24" s="34">
        <v>45495</v>
      </c>
      <c r="B24" s="54">
        <v>4923</v>
      </c>
      <c r="C24" s="54">
        <v>4161</v>
      </c>
      <c r="D24" s="54">
        <v>198</v>
      </c>
      <c r="E24" s="54">
        <v>330</v>
      </c>
      <c r="F24" s="54">
        <v>0</v>
      </c>
      <c r="G24" s="35">
        <f>'2407費用明細憑證'!E24</f>
        <v>13833</v>
      </c>
      <c r="H24" s="36">
        <f>(B24-D24-E24-F24-G24-C24)+463+12840</f>
        <v>-296</v>
      </c>
    </row>
    <row r="25" spans="1:9">
      <c r="A25" s="34">
        <v>45496</v>
      </c>
      <c r="B25" s="54">
        <v>4310</v>
      </c>
      <c r="C25" s="54">
        <v>4100</v>
      </c>
      <c r="D25" s="54">
        <v>120</v>
      </c>
      <c r="E25" s="54">
        <v>120</v>
      </c>
      <c r="F25" s="54">
        <v>0</v>
      </c>
      <c r="G25" s="35">
        <f>'2407費用明細憑證'!E25</f>
        <v>0</v>
      </c>
      <c r="H25" s="36">
        <f t="shared" si="0"/>
        <v>-30</v>
      </c>
    </row>
    <row r="26" spans="1:9">
      <c r="A26" s="34">
        <v>45497</v>
      </c>
      <c r="B26" s="54">
        <v>4090</v>
      </c>
      <c r="C26" s="54">
        <v>2700</v>
      </c>
      <c r="D26" s="54">
        <v>660</v>
      </c>
      <c r="E26" s="54">
        <v>150</v>
      </c>
      <c r="F26" s="54">
        <v>0</v>
      </c>
      <c r="G26" s="35">
        <f>'2407費用明細憑證'!E26</f>
        <v>530</v>
      </c>
      <c r="H26" s="36">
        <f t="shared" si="0"/>
        <v>50</v>
      </c>
    </row>
    <row r="27" spans="1:9">
      <c r="A27" s="34">
        <v>45498</v>
      </c>
      <c r="B27" s="54">
        <v>3320</v>
      </c>
      <c r="C27" s="54">
        <v>3010</v>
      </c>
      <c r="D27" s="54">
        <v>55</v>
      </c>
      <c r="E27" s="54">
        <v>65</v>
      </c>
      <c r="F27" s="54">
        <v>225</v>
      </c>
      <c r="G27" s="35">
        <f>'2407費用明細憑證'!E27</f>
        <v>0</v>
      </c>
      <c r="H27" s="36">
        <f t="shared" si="0"/>
        <v>-35</v>
      </c>
    </row>
    <row r="28" spans="1:9">
      <c r="A28" s="34">
        <v>45499</v>
      </c>
      <c r="B28" s="54">
        <v>4995</v>
      </c>
      <c r="C28" s="54">
        <v>4050</v>
      </c>
      <c r="D28" s="54">
        <v>340</v>
      </c>
      <c r="E28" s="54">
        <v>70</v>
      </c>
      <c r="F28" s="54">
        <v>0</v>
      </c>
      <c r="G28" s="35">
        <f>'2407費用明細憑證'!E28</f>
        <v>530</v>
      </c>
      <c r="H28" s="36">
        <f t="shared" si="0"/>
        <v>5</v>
      </c>
    </row>
    <row r="29" spans="1:9">
      <c r="A29" s="34">
        <v>45500</v>
      </c>
      <c r="B29" s="54">
        <v>7040</v>
      </c>
      <c r="C29" s="54">
        <f>3050+4000</f>
        <v>7050</v>
      </c>
      <c r="D29" s="54">
        <v>435</v>
      </c>
      <c r="E29" s="54">
        <v>0</v>
      </c>
      <c r="F29" s="54">
        <v>110</v>
      </c>
      <c r="G29" s="35">
        <f>'2407費用明細憑證'!E29</f>
        <v>0</v>
      </c>
      <c r="H29" s="36">
        <f t="shared" si="0"/>
        <v>-555</v>
      </c>
    </row>
    <row r="30" spans="1:9">
      <c r="A30" s="34">
        <v>45501</v>
      </c>
      <c r="B30" s="54">
        <v>7145</v>
      </c>
      <c r="C30" s="54">
        <f>4800-500</f>
        <v>4300</v>
      </c>
      <c r="D30" s="54">
        <v>1105</v>
      </c>
      <c r="E30" s="54">
        <v>0</v>
      </c>
      <c r="F30" s="54">
        <v>110</v>
      </c>
      <c r="G30" s="35">
        <f>'2407費用明細憑證'!E30</f>
        <v>1180</v>
      </c>
      <c r="H30" s="36">
        <f>(B30-D30-E30-F30-G30-C30)</f>
        <v>450</v>
      </c>
    </row>
    <row r="31" spans="1:9">
      <c r="A31" s="34">
        <v>45502</v>
      </c>
      <c r="B31" s="54">
        <v>5430</v>
      </c>
      <c r="C31" s="54">
        <v>3230</v>
      </c>
      <c r="D31" s="54">
        <v>455</v>
      </c>
      <c r="E31" s="54">
        <v>0</v>
      </c>
      <c r="F31" s="54">
        <v>335</v>
      </c>
      <c r="G31" s="35">
        <f>'2407費用明細憑證'!E31</f>
        <v>2920</v>
      </c>
      <c r="H31" s="36">
        <f>(B31-D31-E31-F31-G31-C31)+2200</f>
        <v>690</v>
      </c>
    </row>
    <row r="32" spans="1:9">
      <c r="A32" s="34">
        <v>45503</v>
      </c>
      <c r="B32" s="54">
        <v>6270</v>
      </c>
      <c r="C32" s="54">
        <v>3600</v>
      </c>
      <c r="D32" s="54">
        <v>800</v>
      </c>
      <c r="E32" s="54">
        <v>185</v>
      </c>
      <c r="F32" s="54">
        <v>0</v>
      </c>
      <c r="G32" s="35">
        <f>'2407費用明細憑證'!E32</f>
        <v>1720</v>
      </c>
      <c r="H32" s="36">
        <f t="shared" si="0"/>
        <v>-35</v>
      </c>
    </row>
    <row r="33" spans="1:9" ht="16.2" thickBot="1">
      <c r="A33" s="34">
        <v>45504</v>
      </c>
      <c r="B33" s="59">
        <v>6025</v>
      </c>
      <c r="C33" s="59">
        <v>6465</v>
      </c>
      <c r="D33" s="59">
        <v>480</v>
      </c>
      <c r="E33" s="59">
        <v>80</v>
      </c>
      <c r="F33" s="59">
        <v>0</v>
      </c>
      <c r="G33" s="35">
        <f>'2407費用明細憑證'!E33</f>
        <v>530</v>
      </c>
      <c r="H33" s="61">
        <f t="shared" si="0"/>
        <v>-1530</v>
      </c>
    </row>
    <row r="34" spans="1:9">
      <c r="A34" s="62" t="s">
        <v>21</v>
      </c>
      <c r="B34" s="63" t="s">
        <v>22</v>
      </c>
      <c r="C34" s="63" t="s">
        <v>23</v>
      </c>
      <c r="D34" s="63" t="s">
        <v>24</v>
      </c>
      <c r="E34" s="63"/>
      <c r="F34" s="63" t="s">
        <v>25</v>
      </c>
      <c r="G34" s="103" t="s">
        <v>26</v>
      </c>
      <c r="H34" s="104"/>
      <c r="I34" s="37"/>
    </row>
    <row r="35" spans="1:9" ht="16.2" thickBot="1">
      <c r="A35" s="64" t="s">
        <v>27</v>
      </c>
      <c r="B35" s="65">
        <f>SUM(B3:B33)</f>
        <v>184279</v>
      </c>
      <c r="C35" s="65">
        <f>SUM(G3:G33)</f>
        <v>119506</v>
      </c>
      <c r="D35" s="65">
        <f>B35-C35</f>
        <v>64773</v>
      </c>
      <c r="E35" s="65"/>
      <c r="F35" s="66">
        <f>SUM(H3:H33)</f>
        <v>-1547</v>
      </c>
      <c r="G35" s="105">
        <f>M8/3</f>
        <v>21669.666666666668</v>
      </c>
      <c r="H35" s="106"/>
      <c r="I35" s="37"/>
    </row>
    <row r="36" spans="1:9">
      <c r="A36" s="25"/>
    </row>
    <row r="37" spans="1:9">
      <c r="A37" s="25"/>
    </row>
    <row r="38" spans="1:9">
      <c r="A38" s="25"/>
    </row>
    <row r="39" spans="1:9">
      <c r="A39" s="25"/>
    </row>
    <row r="40" spans="1:9">
      <c r="A40" s="25"/>
    </row>
    <row r="41" spans="1:9">
      <c r="A41" s="25"/>
    </row>
    <row r="42" spans="1:9">
      <c r="A42" s="25"/>
    </row>
    <row r="43" spans="1:9">
      <c r="A43" s="25"/>
    </row>
    <row r="44" spans="1:9">
      <c r="A44" s="25"/>
    </row>
    <row r="45" spans="1:9">
      <c r="A45" s="25"/>
    </row>
    <row r="46" spans="1:9">
      <c r="A46" s="25"/>
    </row>
    <row r="47" spans="1:9">
      <c r="A47" s="25"/>
    </row>
    <row r="48" spans="1:9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</sheetData>
  <mergeCells count="4">
    <mergeCell ref="A1:H1"/>
    <mergeCell ref="J1:N1"/>
    <mergeCell ref="G34:H34"/>
    <mergeCell ref="G35:H35"/>
  </mergeCells>
  <phoneticPr fontId="5" type="noConversion"/>
  <dataValidations count="1">
    <dataValidation type="list" allowBlank="1" showErrorMessage="1" sqref="J2" xr:uid="{652F9CFE-C9C8-6B47-AB72-A0F8ECA5A229}">
      <formula1>"江政隆,吳献堂,林權松"</formula1>
    </dataValidation>
  </dataValidations>
  <pageMargins left="0" right="0" top="0" bottom="0" header="0" footer="0"/>
  <pageSetup paperSize="9" scale="75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357F-E13D-7A4E-AE1D-4434F1D70A50}">
  <sheetPr>
    <outlinePr summaryBelow="0" summaryRight="0"/>
  </sheetPr>
  <dimension ref="A1:Z1003"/>
  <sheetViews>
    <sheetView topLeftCell="C1" zoomScale="90" zoomScaleNormal="90" zoomScaleSheetLayoutView="90" workbookViewId="0">
      <pane ySplit="2" topLeftCell="A13" activePane="bottomLeft" state="frozen"/>
      <selection activeCell="D1" sqref="D1"/>
      <selection pane="bottomLeft" activeCell="B35" sqref="B35:E35"/>
    </sheetView>
  </sheetViews>
  <sheetFormatPr defaultColWidth="12.33203125" defaultRowHeight="15"/>
  <cols>
    <col min="1" max="1" width="13.6640625" style="2" bestFit="1" customWidth="1"/>
    <col min="2" max="3" width="11.33203125" style="2" bestFit="1" customWidth="1"/>
    <col min="4" max="4" width="11.33203125" style="7" bestFit="1" customWidth="1"/>
    <col min="5" max="5" width="11.33203125" style="2" bestFit="1" customWidth="1"/>
    <col min="6" max="6" width="21.6640625" style="2" customWidth="1"/>
    <col min="7" max="7" width="13.6640625" style="2" bestFit="1" customWidth="1"/>
    <col min="8" max="8" width="14.77734375" style="2" bestFit="1" customWidth="1"/>
    <col min="9" max="10" width="12.33203125" style="2" bestFit="1" customWidth="1"/>
    <col min="11" max="16384" width="12.33203125" style="2"/>
  </cols>
  <sheetData>
    <row r="1" spans="1:26" s="8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 ht="15.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6.8">
      <c r="A3" s="14">
        <v>45474</v>
      </c>
      <c r="B3" s="15"/>
      <c r="C3" s="15"/>
      <c r="D3" s="16">
        <f>1200+288+500</f>
        <v>1988</v>
      </c>
      <c r="E3" s="15">
        <f>SUM(B3:D3)</f>
        <v>1988</v>
      </c>
      <c r="F3" s="20" t="s">
        <v>36</v>
      </c>
      <c r="G3" s="18"/>
      <c r="H3" s="18"/>
      <c r="I3" s="18"/>
      <c r="J3" s="18"/>
      <c r="K3" s="19"/>
    </row>
    <row r="4" spans="1:26" ht="15.6">
      <c r="A4" s="14">
        <v>45475</v>
      </c>
      <c r="E4" s="15">
        <f>SUM(B4:D4)</f>
        <v>0</v>
      </c>
      <c r="G4" s="18"/>
      <c r="H4" s="18"/>
      <c r="I4" s="18"/>
      <c r="J4" s="18"/>
      <c r="K4" s="19"/>
    </row>
    <row r="5" spans="1:26" ht="15.6">
      <c r="A5" s="14">
        <v>45476</v>
      </c>
      <c r="B5" s="15">
        <v>530</v>
      </c>
      <c r="C5" s="15"/>
      <c r="D5" s="16">
        <v>2200</v>
      </c>
      <c r="E5" s="15">
        <f>SUM(B5:D5)</f>
        <v>2730</v>
      </c>
      <c r="F5" s="17" t="s">
        <v>37</v>
      </c>
      <c r="G5" s="71" t="s">
        <v>38</v>
      </c>
      <c r="H5" s="71" t="s">
        <v>39</v>
      </c>
      <c r="I5" s="18"/>
      <c r="J5" s="18"/>
      <c r="K5" s="19"/>
    </row>
    <row r="6" spans="1:26" ht="15.6">
      <c r="A6" s="14">
        <v>45477</v>
      </c>
      <c r="B6" s="15"/>
      <c r="C6" s="15"/>
      <c r="D6" s="16"/>
      <c r="E6" s="15">
        <f t="shared" ref="E6:E34" si="0">SUM(B6:D6)</f>
        <v>0</v>
      </c>
      <c r="F6" s="17"/>
      <c r="G6" s="18"/>
      <c r="H6" s="18"/>
      <c r="I6" s="18"/>
      <c r="J6" s="18"/>
      <c r="K6" s="19"/>
    </row>
    <row r="7" spans="1:26" ht="15.6">
      <c r="A7" s="14">
        <v>45478</v>
      </c>
      <c r="B7" s="15">
        <v>530</v>
      </c>
      <c r="C7" s="15"/>
      <c r="D7" s="16"/>
      <c r="E7" s="15">
        <f t="shared" si="0"/>
        <v>530</v>
      </c>
      <c r="F7" s="17" t="s">
        <v>40</v>
      </c>
      <c r="G7" s="71" t="s">
        <v>41</v>
      </c>
      <c r="H7" s="18"/>
      <c r="I7" s="18"/>
      <c r="J7" s="18"/>
      <c r="K7" s="19"/>
    </row>
    <row r="8" spans="1:26" ht="15.6">
      <c r="A8" s="14">
        <v>45479</v>
      </c>
      <c r="B8" s="15"/>
      <c r="C8" s="15"/>
      <c r="D8" s="16"/>
      <c r="E8" s="15">
        <f t="shared" si="0"/>
        <v>0</v>
      </c>
      <c r="F8" s="17"/>
      <c r="G8" s="18"/>
      <c r="H8" s="18"/>
      <c r="I8" s="18"/>
      <c r="J8" s="18"/>
      <c r="K8" s="19"/>
    </row>
    <row r="9" spans="1:26" ht="15.6">
      <c r="A9" s="14">
        <v>45480</v>
      </c>
      <c r="B9" s="15"/>
      <c r="C9" s="15"/>
      <c r="D9" s="16"/>
      <c r="E9" s="15">
        <f t="shared" si="0"/>
        <v>0</v>
      </c>
      <c r="F9" s="20"/>
      <c r="G9" s="22"/>
      <c r="H9" s="21"/>
      <c r="I9" s="23"/>
      <c r="J9" s="21"/>
      <c r="K9" s="21"/>
    </row>
    <row r="10" spans="1:26" ht="15.6">
      <c r="A10" s="14">
        <v>45481</v>
      </c>
      <c r="B10" s="15">
        <v>530</v>
      </c>
      <c r="C10" s="15"/>
      <c r="D10" s="16"/>
      <c r="E10" s="15">
        <f t="shared" si="0"/>
        <v>530</v>
      </c>
      <c r="F10" s="20" t="s">
        <v>40</v>
      </c>
      <c r="G10" s="71" t="s">
        <v>42</v>
      </c>
      <c r="H10" s="21"/>
      <c r="I10" s="18"/>
      <c r="J10" s="18"/>
      <c r="K10" s="19"/>
    </row>
    <row r="11" spans="1:26" ht="15.6">
      <c r="A11" s="14">
        <v>45482</v>
      </c>
      <c r="B11" s="15">
        <v>712</v>
      </c>
      <c r="C11" s="15"/>
      <c r="D11" s="16"/>
      <c r="E11" s="15">
        <f t="shared" si="0"/>
        <v>712</v>
      </c>
      <c r="F11" s="20" t="s">
        <v>43</v>
      </c>
      <c r="G11" s="71" t="s">
        <v>44</v>
      </c>
      <c r="H11" s="18"/>
      <c r="I11" s="18"/>
      <c r="J11" s="18"/>
      <c r="K11" s="19"/>
    </row>
    <row r="12" spans="1:26" ht="15.6">
      <c r="A12" s="14">
        <v>45483</v>
      </c>
      <c r="B12" s="15"/>
      <c r="C12" s="15"/>
      <c r="D12" s="16"/>
      <c r="E12" s="15">
        <f t="shared" si="0"/>
        <v>0</v>
      </c>
      <c r="F12" s="17"/>
      <c r="G12" s="22"/>
      <c r="H12" s="18"/>
      <c r="I12" s="18"/>
      <c r="J12" s="18"/>
      <c r="K12" s="19"/>
    </row>
    <row r="13" spans="1:26" ht="46.8">
      <c r="A13" s="14">
        <v>45484</v>
      </c>
      <c r="B13" s="15">
        <v>12700</v>
      </c>
      <c r="C13" s="15"/>
      <c r="D13" s="16">
        <f>1900+600</f>
        <v>2500</v>
      </c>
      <c r="E13" s="15">
        <f t="shared" si="0"/>
        <v>15200</v>
      </c>
      <c r="F13" s="20" t="s">
        <v>45</v>
      </c>
      <c r="G13" s="78" t="s">
        <v>46</v>
      </c>
      <c r="H13" s="78" t="s">
        <v>47</v>
      </c>
      <c r="I13" s="18"/>
      <c r="J13" s="18"/>
      <c r="K13" s="19"/>
    </row>
    <row r="14" spans="1:26" ht="31.2">
      <c r="A14" s="14">
        <v>45485</v>
      </c>
      <c r="B14" s="15">
        <f>3750+530</f>
        <v>4280</v>
      </c>
      <c r="C14" s="15"/>
      <c r="D14" s="16"/>
      <c r="E14" s="15">
        <f t="shared" si="0"/>
        <v>4280</v>
      </c>
      <c r="F14" s="20" t="s">
        <v>48</v>
      </c>
      <c r="G14" s="78" t="s">
        <v>49</v>
      </c>
      <c r="H14" s="78" t="s">
        <v>50</v>
      </c>
      <c r="I14" s="18"/>
      <c r="J14" s="18"/>
      <c r="K14" s="19"/>
    </row>
    <row r="15" spans="1:26" ht="15.6">
      <c r="A15" s="14">
        <v>45486</v>
      </c>
      <c r="B15" s="15">
        <v>710</v>
      </c>
      <c r="C15" s="15"/>
      <c r="D15" s="16"/>
      <c r="E15" s="15">
        <f t="shared" si="0"/>
        <v>710</v>
      </c>
      <c r="F15" s="20" t="s">
        <v>51</v>
      </c>
      <c r="G15" s="78" t="s">
        <v>52</v>
      </c>
      <c r="H15" s="22"/>
      <c r="I15" s="18"/>
      <c r="J15" s="18"/>
      <c r="K15" s="19"/>
    </row>
    <row r="16" spans="1:26" ht="15.6">
      <c r="A16" s="14">
        <v>45487</v>
      </c>
      <c r="B16" s="15"/>
      <c r="C16" s="15"/>
      <c r="D16" s="16"/>
      <c r="E16" s="15">
        <f t="shared" si="0"/>
        <v>0</v>
      </c>
      <c r="F16" s="17"/>
      <c r="G16" s="22"/>
      <c r="H16" s="18"/>
      <c r="I16" s="18"/>
      <c r="J16" s="18"/>
      <c r="K16" s="19"/>
    </row>
    <row r="17" spans="1:11" ht="31.2">
      <c r="A17" s="14">
        <v>45488</v>
      </c>
      <c r="B17" s="15">
        <v>530</v>
      </c>
      <c r="C17" s="15">
        <v>60000</v>
      </c>
      <c r="D17" s="16"/>
      <c r="E17" s="15">
        <f t="shared" si="0"/>
        <v>60530</v>
      </c>
      <c r="F17" s="75" t="s">
        <v>163</v>
      </c>
      <c r="G17" s="78" t="s">
        <v>156</v>
      </c>
      <c r="H17" s="78" t="s">
        <v>157</v>
      </c>
      <c r="I17" s="24"/>
      <c r="J17" s="18"/>
      <c r="K17" s="19"/>
    </row>
    <row r="18" spans="1:11" ht="15.6">
      <c r="A18" s="14">
        <v>45489</v>
      </c>
      <c r="B18" s="15"/>
      <c r="C18" s="15"/>
      <c r="D18" s="16"/>
      <c r="E18" s="15">
        <f t="shared" si="0"/>
        <v>0</v>
      </c>
      <c r="F18" s="13"/>
      <c r="G18" s="19"/>
      <c r="H18" s="19"/>
      <c r="I18" s="18"/>
      <c r="J18" s="18"/>
      <c r="K18" s="19"/>
    </row>
    <row r="19" spans="1:11" ht="15.6">
      <c r="A19" s="14">
        <v>45490</v>
      </c>
      <c r="B19" s="15">
        <v>530</v>
      </c>
      <c r="C19" s="15"/>
      <c r="D19" s="16"/>
      <c r="E19" s="15">
        <f t="shared" si="0"/>
        <v>530</v>
      </c>
      <c r="F19" s="20" t="s">
        <v>40</v>
      </c>
      <c r="G19" s="71" t="s">
        <v>53</v>
      </c>
      <c r="H19" s="22"/>
      <c r="I19" s="18"/>
      <c r="J19" s="18"/>
      <c r="K19" s="19"/>
    </row>
    <row r="20" spans="1:11" ht="15.6">
      <c r="A20" s="14">
        <v>45491</v>
      </c>
      <c r="B20" s="15">
        <v>7565</v>
      </c>
      <c r="C20" s="15"/>
      <c r="D20" s="16"/>
      <c r="E20" s="15">
        <f t="shared" si="0"/>
        <v>7565</v>
      </c>
      <c r="F20" s="17" t="s">
        <v>54</v>
      </c>
      <c r="G20" s="78" t="s">
        <v>158</v>
      </c>
      <c r="H20" s="18"/>
      <c r="I20" s="18"/>
      <c r="J20" s="18"/>
      <c r="K20" s="19"/>
    </row>
    <row r="21" spans="1:11" ht="15.6">
      <c r="A21" s="14">
        <v>45492</v>
      </c>
      <c r="B21" s="15"/>
      <c r="C21" s="15"/>
      <c r="D21" s="16">
        <v>768</v>
      </c>
      <c r="E21" s="15">
        <f t="shared" si="0"/>
        <v>768</v>
      </c>
      <c r="F21" s="17" t="s">
        <v>55</v>
      </c>
      <c r="G21" s="71" t="s">
        <v>56</v>
      </c>
      <c r="H21" s="18"/>
      <c r="I21" s="18"/>
      <c r="J21" s="18"/>
      <c r="K21" s="19"/>
    </row>
    <row r="22" spans="1:11" ht="31.2">
      <c r="A22" s="14">
        <v>45493</v>
      </c>
      <c r="B22" s="15">
        <v>1590</v>
      </c>
      <c r="C22" s="15"/>
      <c r="D22" s="16">
        <v>600</v>
      </c>
      <c r="E22" s="15">
        <f t="shared" si="0"/>
        <v>2190</v>
      </c>
      <c r="F22" s="20" t="s">
        <v>57</v>
      </c>
      <c r="G22" s="71">
        <v>720</v>
      </c>
      <c r="H22" s="18"/>
      <c r="I22" s="18"/>
      <c r="J22" s="18"/>
      <c r="K22" s="19"/>
    </row>
    <row r="23" spans="1:11" ht="15.6">
      <c r="A23" s="14">
        <v>45494</v>
      </c>
      <c r="B23" s="15"/>
      <c r="C23" s="15"/>
      <c r="D23" s="16"/>
      <c r="E23" s="15">
        <f t="shared" si="0"/>
        <v>0</v>
      </c>
      <c r="F23" s="17"/>
      <c r="G23" s="18"/>
      <c r="H23" s="18"/>
      <c r="I23" s="18"/>
      <c r="J23" s="18"/>
      <c r="K23" s="19"/>
    </row>
    <row r="24" spans="1:11" ht="46.8">
      <c r="A24" s="14">
        <v>45495</v>
      </c>
      <c r="B24" s="15">
        <f>530+12840</f>
        <v>13370</v>
      </c>
      <c r="C24" s="15"/>
      <c r="D24" s="16">
        <v>463</v>
      </c>
      <c r="E24" s="15">
        <f t="shared" si="0"/>
        <v>13833</v>
      </c>
      <c r="F24" s="20" t="s">
        <v>159</v>
      </c>
      <c r="G24" s="78" t="s">
        <v>160</v>
      </c>
      <c r="H24" s="78" t="s">
        <v>161</v>
      </c>
      <c r="I24" s="78" t="s">
        <v>162</v>
      </c>
      <c r="J24" s="18"/>
      <c r="K24" s="19"/>
    </row>
    <row r="25" spans="1:11" ht="15.6">
      <c r="A25" s="14">
        <v>45496</v>
      </c>
      <c r="E25" s="15">
        <f t="shared" si="0"/>
        <v>0</v>
      </c>
      <c r="G25" s="18"/>
      <c r="H25" s="18"/>
      <c r="I25" s="18"/>
      <c r="J25" s="18"/>
      <c r="K25" s="19"/>
    </row>
    <row r="26" spans="1:11" ht="15.6">
      <c r="A26" s="14">
        <v>45497</v>
      </c>
      <c r="B26" s="15">
        <v>530</v>
      </c>
      <c r="C26" s="15"/>
      <c r="D26" s="16"/>
      <c r="E26" s="15">
        <f>SUM(B26:D26)</f>
        <v>530</v>
      </c>
      <c r="F26" s="17" t="s">
        <v>164</v>
      </c>
      <c r="G26" s="78" t="s">
        <v>165</v>
      </c>
      <c r="H26" s="18"/>
      <c r="I26" s="18"/>
      <c r="J26" s="18"/>
      <c r="K26" s="19"/>
    </row>
    <row r="27" spans="1:11" ht="15.6">
      <c r="A27" s="14">
        <v>45498</v>
      </c>
      <c r="B27" s="15"/>
      <c r="C27" s="15"/>
      <c r="D27" s="16"/>
      <c r="E27" s="15">
        <f t="shared" si="0"/>
        <v>0</v>
      </c>
      <c r="F27" s="17"/>
      <c r="G27" s="18"/>
      <c r="H27" s="18"/>
      <c r="I27" s="18"/>
      <c r="J27" s="18"/>
      <c r="K27" s="19"/>
    </row>
    <row r="28" spans="1:11" ht="15.6">
      <c r="A28" s="14">
        <v>45499</v>
      </c>
      <c r="B28" s="15">
        <v>530</v>
      </c>
      <c r="C28" s="15"/>
      <c r="D28" s="16"/>
      <c r="E28" s="15">
        <f t="shared" si="0"/>
        <v>530</v>
      </c>
      <c r="F28" s="17" t="s">
        <v>40</v>
      </c>
      <c r="G28" s="18"/>
      <c r="H28" s="18"/>
      <c r="I28" s="18"/>
      <c r="J28" s="18"/>
      <c r="K28" s="19"/>
    </row>
    <row r="29" spans="1:11" ht="15.6">
      <c r="A29" s="14">
        <v>45500</v>
      </c>
      <c r="B29" s="15"/>
      <c r="C29" s="15"/>
      <c r="D29" s="16"/>
      <c r="E29" s="15">
        <f t="shared" si="0"/>
        <v>0</v>
      </c>
      <c r="F29" s="17"/>
      <c r="G29" s="22"/>
      <c r="H29" s="18"/>
      <c r="I29" s="18"/>
      <c r="J29" s="18"/>
      <c r="K29" s="19"/>
    </row>
    <row r="30" spans="1:11" ht="46.8">
      <c r="A30" s="14">
        <v>45501</v>
      </c>
      <c r="B30" s="15">
        <v>72</v>
      </c>
      <c r="C30" s="15"/>
      <c r="D30" s="16">
        <f>175+933</f>
        <v>1108</v>
      </c>
      <c r="E30" s="15">
        <f>SUM(B30:D30)</f>
        <v>1180</v>
      </c>
      <c r="F30" s="20" t="s">
        <v>166</v>
      </c>
      <c r="G30" s="78" t="s">
        <v>173</v>
      </c>
      <c r="H30" s="78" t="s">
        <v>174</v>
      </c>
      <c r="I30" s="18"/>
      <c r="J30" s="18"/>
      <c r="K30" s="19"/>
    </row>
    <row r="31" spans="1:11" ht="31.2">
      <c r="A31" s="14">
        <v>45502</v>
      </c>
      <c r="B31" s="15"/>
      <c r="C31" s="15"/>
      <c r="D31" s="16">
        <f>2200+720</f>
        <v>2920</v>
      </c>
      <c r="E31" s="15">
        <f t="shared" si="0"/>
        <v>2920</v>
      </c>
      <c r="F31" s="20" t="s">
        <v>167</v>
      </c>
      <c r="G31" s="78" t="s">
        <v>171</v>
      </c>
      <c r="H31" s="78" t="s">
        <v>172</v>
      </c>
      <c r="I31" s="18"/>
      <c r="J31" s="18"/>
      <c r="K31" s="19"/>
    </row>
    <row r="32" spans="1:11" ht="46.8">
      <c r="A32" s="14">
        <v>45503</v>
      </c>
      <c r="B32" s="15">
        <f>712+890</f>
        <v>1602</v>
      </c>
      <c r="C32" s="15"/>
      <c r="D32" s="16">
        <v>118</v>
      </c>
      <c r="E32" s="15">
        <f>SUM(B32:D32)</f>
        <v>1720</v>
      </c>
      <c r="F32" s="20" t="s">
        <v>168</v>
      </c>
      <c r="G32" s="78" t="s">
        <v>169</v>
      </c>
      <c r="H32" s="78" t="s">
        <v>170</v>
      </c>
      <c r="I32" s="18"/>
      <c r="J32" s="18"/>
      <c r="K32" s="19"/>
    </row>
    <row r="33" spans="1:11" ht="15.6">
      <c r="A33" s="14">
        <v>45504</v>
      </c>
      <c r="B33" s="15">
        <v>530</v>
      </c>
      <c r="C33" s="15"/>
      <c r="D33" s="16"/>
      <c r="E33" s="15">
        <f t="shared" si="0"/>
        <v>530</v>
      </c>
      <c r="F33" s="20" t="s">
        <v>40</v>
      </c>
      <c r="G33" s="22"/>
      <c r="H33" s="22"/>
      <c r="I33" s="18"/>
      <c r="J33" s="18"/>
      <c r="K33" s="19"/>
    </row>
    <row r="34" spans="1:11" ht="78">
      <c r="A34" s="14" t="s">
        <v>58</v>
      </c>
      <c r="B34" s="15">
        <f>500+750+500+500</f>
        <v>2250</v>
      </c>
      <c r="C34" s="15"/>
      <c r="D34" s="16"/>
      <c r="E34" s="15">
        <f t="shared" si="0"/>
        <v>2250</v>
      </c>
      <c r="F34" s="20" t="s">
        <v>176</v>
      </c>
      <c r="G34" s="71" t="s">
        <v>59</v>
      </c>
      <c r="H34" s="78">
        <v>716</v>
      </c>
      <c r="I34" s="22"/>
      <c r="J34" s="18"/>
      <c r="K34" s="19"/>
    </row>
    <row r="35" spans="1:11" ht="15.6">
      <c r="A35" s="12" t="s">
        <v>27</v>
      </c>
      <c r="B35" s="15">
        <f>SUM(B3:B33)</f>
        <v>46841</v>
      </c>
      <c r="C35" s="15">
        <f>SUM(C3:C33)</f>
        <v>60000</v>
      </c>
      <c r="D35" s="15">
        <f>SUM(D3:D33)</f>
        <v>12665</v>
      </c>
      <c r="E35" s="15">
        <f>SUM(E3:E33)</f>
        <v>119506</v>
      </c>
      <c r="F35" s="17"/>
      <c r="G35" s="18"/>
      <c r="H35" s="18"/>
      <c r="I35" s="18"/>
      <c r="J35" s="18"/>
      <c r="K35" s="19"/>
    </row>
    <row r="36" spans="1:11">
      <c r="A36" s="3"/>
      <c r="B36" s="4"/>
      <c r="C36" s="4"/>
      <c r="E36" s="4"/>
      <c r="F36" s="5"/>
      <c r="G36" s="9"/>
      <c r="H36" s="9"/>
      <c r="I36" s="9"/>
      <c r="J36" s="9"/>
      <c r="K36" s="10"/>
    </row>
    <row r="37" spans="1:11">
      <c r="A37" s="3"/>
      <c r="B37" s="4"/>
      <c r="C37" s="4"/>
      <c r="E37" s="4"/>
      <c r="F37" s="5"/>
      <c r="G37" s="9"/>
      <c r="H37" s="9"/>
      <c r="I37" s="9"/>
      <c r="J37" s="9"/>
      <c r="K37" s="10"/>
    </row>
    <row r="38" spans="1:11">
      <c r="A38" s="3"/>
      <c r="B38" s="4"/>
      <c r="C38" s="4"/>
      <c r="E38" s="4"/>
      <c r="F38" s="5"/>
      <c r="G38" s="9"/>
      <c r="H38" s="9"/>
      <c r="I38" s="9"/>
      <c r="J38" s="9"/>
      <c r="K38" s="10"/>
    </row>
    <row r="39" spans="1:11">
      <c r="A39" s="3"/>
      <c r="B39" s="4"/>
      <c r="C39" s="4"/>
      <c r="E39" s="4"/>
      <c r="F39" s="5"/>
      <c r="G39" s="9"/>
      <c r="H39" s="9"/>
      <c r="I39" s="9"/>
      <c r="J39" s="9"/>
      <c r="K39" s="10"/>
    </row>
    <row r="40" spans="1:11">
      <c r="A40" s="3"/>
      <c r="B40" s="4"/>
      <c r="C40" s="4"/>
      <c r="E40" s="4"/>
      <c r="F40" s="5"/>
      <c r="G40" s="9"/>
      <c r="H40" s="9"/>
      <c r="I40" s="9"/>
      <c r="J40" s="9"/>
      <c r="K40" s="10"/>
    </row>
    <row r="41" spans="1:11">
      <c r="A41" s="3"/>
      <c r="B41" s="4"/>
      <c r="C41" s="4"/>
      <c r="E41" s="4"/>
      <c r="F41" s="5"/>
      <c r="G41" s="9"/>
      <c r="H41" s="9"/>
      <c r="I41" s="9"/>
      <c r="J41" s="9"/>
      <c r="K41" s="10"/>
    </row>
    <row r="42" spans="1:11">
      <c r="A42" s="3"/>
      <c r="B42" s="4"/>
      <c r="C42" s="4"/>
      <c r="E42" s="4"/>
      <c r="F42" s="5"/>
      <c r="G42" s="9"/>
      <c r="H42" s="9"/>
      <c r="I42" s="9"/>
      <c r="J42" s="9"/>
      <c r="K42" s="10"/>
    </row>
    <row r="43" spans="1:11">
      <c r="A43" s="3"/>
      <c r="B43" s="4"/>
      <c r="C43" s="4"/>
      <c r="E43" s="4"/>
      <c r="F43" s="5"/>
      <c r="G43" s="9"/>
      <c r="H43" s="9"/>
      <c r="I43" s="9"/>
      <c r="J43" s="9"/>
      <c r="K43" s="10"/>
    </row>
    <row r="44" spans="1:11">
      <c r="A44" s="3"/>
      <c r="B44" s="4"/>
      <c r="C44" s="4"/>
      <c r="E44" s="4"/>
      <c r="F44" s="5"/>
      <c r="G44" s="9"/>
      <c r="H44" s="9"/>
      <c r="I44" s="9"/>
      <c r="J44" s="9"/>
      <c r="K44" s="10"/>
    </row>
    <row r="45" spans="1:11">
      <c r="A45" s="3"/>
      <c r="B45" s="4"/>
      <c r="C45" s="4"/>
      <c r="E45" s="4"/>
      <c r="F45" s="5"/>
      <c r="G45" s="9"/>
      <c r="H45" s="9"/>
      <c r="I45" s="9"/>
      <c r="J45" s="9"/>
      <c r="K45" s="10"/>
    </row>
    <row r="46" spans="1:11">
      <c r="A46" s="3"/>
      <c r="B46" s="4"/>
      <c r="C46" s="4"/>
      <c r="E46" s="4"/>
      <c r="F46" s="5"/>
      <c r="G46" s="9"/>
      <c r="H46" s="9"/>
      <c r="I46" s="9"/>
      <c r="J46" s="9"/>
      <c r="K46" s="10"/>
    </row>
    <row r="47" spans="1:11">
      <c r="A47" s="3"/>
      <c r="B47" s="4"/>
      <c r="C47" s="4"/>
      <c r="E47" s="4"/>
      <c r="F47" s="5"/>
      <c r="G47" s="9"/>
      <c r="H47" s="9"/>
      <c r="I47" s="9"/>
      <c r="J47" s="9"/>
      <c r="K47" s="10"/>
    </row>
    <row r="48" spans="1:11">
      <c r="A48" s="3"/>
      <c r="B48" s="4"/>
      <c r="C48" s="4"/>
      <c r="E48" s="4"/>
      <c r="F48" s="5"/>
      <c r="G48" s="9"/>
      <c r="H48" s="9"/>
      <c r="I48" s="9"/>
      <c r="J48" s="9"/>
      <c r="K48" s="10"/>
    </row>
    <row r="49" spans="1:11">
      <c r="A49" s="3"/>
      <c r="B49" s="4"/>
      <c r="C49" s="4"/>
      <c r="E49" s="4"/>
      <c r="F49" s="5"/>
      <c r="G49" s="9"/>
      <c r="H49" s="9"/>
      <c r="I49" s="9"/>
      <c r="J49" s="9"/>
      <c r="K49" s="10"/>
    </row>
    <row r="50" spans="1:11">
      <c r="A50" s="3"/>
      <c r="B50" s="4"/>
      <c r="C50" s="4"/>
      <c r="E50" s="4"/>
      <c r="F50" s="5"/>
      <c r="G50" s="9"/>
      <c r="H50" s="9"/>
      <c r="I50" s="9"/>
      <c r="J50" s="9"/>
      <c r="K50" s="10"/>
    </row>
    <row r="51" spans="1:11">
      <c r="A51" s="3"/>
      <c r="B51" s="4"/>
      <c r="C51" s="4"/>
      <c r="E51" s="4"/>
      <c r="F51" s="5"/>
      <c r="G51" s="9"/>
      <c r="H51" s="9"/>
      <c r="I51" s="9"/>
      <c r="J51" s="9"/>
      <c r="K51" s="10"/>
    </row>
    <row r="52" spans="1:11">
      <c r="A52" s="3"/>
      <c r="B52" s="4"/>
      <c r="C52" s="4"/>
      <c r="E52" s="4"/>
      <c r="F52" s="5"/>
      <c r="G52" s="9"/>
      <c r="H52" s="9"/>
      <c r="I52" s="9"/>
      <c r="J52" s="9"/>
      <c r="K52" s="10"/>
    </row>
    <row r="53" spans="1:11">
      <c r="A53" s="3"/>
      <c r="B53" s="4"/>
      <c r="C53" s="4"/>
      <c r="E53" s="4"/>
      <c r="F53" s="5"/>
      <c r="G53" s="9"/>
      <c r="H53" s="9"/>
      <c r="I53" s="9"/>
      <c r="J53" s="9"/>
      <c r="K53" s="10"/>
    </row>
    <row r="54" spans="1:11">
      <c r="A54" s="3"/>
      <c r="B54" s="4"/>
      <c r="C54" s="4"/>
      <c r="E54" s="4"/>
      <c r="F54" s="5"/>
      <c r="G54" s="9"/>
      <c r="H54" s="9"/>
      <c r="I54" s="9"/>
      <c r="J54" s="9"/>
      <c r="K54" s="10"/>
    </row>
    <row r="55" spans="1:11">
      <c r="A55" s="3"/>
      <c r="B55" s="4"/>
      <c r="C55" s="4"/>
      <c r="E55" s="4"/>
      <c r="F55" s="5"/>
      <c r="G55" s="9"/>
      <c r="H55" s="9"/>
      <c r="I55" s="9"/>
      <c r="J55" s="9"/>
      <c r="K55" s="10"/>
    </row>
    <row r="56" spans="1:11">
      <c r="A56" s="3"/>
      <c r="B56" s="4"/>
      <c r="C56" s="4"/>
      <c r="E56" s="4"/>
      <c r="F56" s="5"/>
      <c r="G56" s="9"/>
      <c r="H56" s="9"/>
      <c r="I56" s="9"/>
      <c r="J56" s="9"/>
      <c r="K56" s="10"/>
    </row>
    <row r="57" spans="1:11">
      <c r="A57" s="3"/>
      <c r="B57" s="4"/>
      <c r="C57" s="4"/>
      <c r="E57" s="4"/>
      <c r="F57" s="5"/>
      <c r="G57" s="9"/>
      <c r="H57" s="9"/>
      <c r="I57" s="9"/>
      <c r="J57" s="9"/>
      <c r="K57" s="10"/>
    </row>
    <row r="58" spans="1:11">
      <c r="A58" s="3"/>
      <c r="B58" s="4"/>
      <c r="C58" s="4"/>
      <c r="E58" s="4"/>
      <c r="F58" s="5"/>
      <c r="G58" s="6"/>
      <c r="H58" s="6"/>
      <c r="I58" s="6"/>
      <c r="J58" s="6"/>
    </row>
    <row r="59" spans="1:11">
      <c r="A59" s="3"/>
      <c r="B59" s="4"/>
      <c r="C59" s="4"/>
      <c r="E59" s="4"/>
      <c r="F59" s="5"/>
      <c r="G59" s="6"/>
      <c r="H59" s="6"/>
      <c r="I59" s="6"/>
      <c r="J59" s="6"/>
    </row>
    <row r="60" spans="1:11">
      <c r="A60" s="3"/>
      <c r="B60" s="4"/>
      <c r="C60" s="4"/>
      <c r="E60" s="4"/>
      <c r="F60" s="5"/>
      <c r="G60" s="6"/>
      <c r="H60" s="6"/>
      <c r="I60" s="6"/>
      <c r="J60" s="6"/>
    </row>
    <row r="61" spans="1:11">
      <c r="A61" s="3"/>
      <c r="B61" s="4"/>
      <c r="C61" s="4"/>
      <c r="E61" s="4"/>
      <c r="F61" s="5"/>
      <c r="G61" s="6"/>
      <c r="H61" s="6"/>
      <c r="I61" s="6"/>
      <c r="J61" s="6"/>
    </row>
    <row r="62" spans="1:11">
      <c r="A62" s="3"/>
      <c r="B62" s="4"/>
      <c r="C62" s="4"/>
      <c r="E62" s="4"/>
      <c r="F62" s="5"/>
      <c r="G62" s="6"/>
      <c r="H62" s="6"/>
      <c r="I62" s="6"/>
      <c r="J62" s="6"/>
    </row>
    <row r="63" spans="1:11">
      <c r="A63" s="3"/>
      <c r="B63" s="4"/>
      <c r="C63" s="4"/>
      <c r="E63" s="4"/>
      <c r="F63" s="5"/>
      <c r="G63" s="6"/>
      <c r="H63" s="6"/>
      <c r="I63" s="6"/>
      <c r="J63" s="6"/>
    </row>
    <row r="64" spans="1:11">
      <c r="A64" s="3"/>
      <c r="B64" s="4"/>
      <c r="C64" s="4"/>
      <c r="E64" s="4"/>
      <c r="F64" s="5"/>
      <c r="G64" s="6"/>
      <c r="H64" s="6"/>
      <c r="I64" s="6"/>
      <c r="J64" s="6"/>
    </row>
    <row r="65" spans="1:10">
      <c r="A65" s="3"/>
      <c r="B65" s="4"/>
      <c r="C65" s="4"/>
      <c r="E65" s="4"/>
      <c r="F65" s="5"/>
      <c r="G65" s="6"/>
      <c r="H65" s="6"/>
      <c r="I65" s="6"/>
      <c r="J65" s="6"/>
    </row>
    <row r="66" spans="1:10">
      <c r="A66" s="3"/>
      <c r="B66" s="4"/>
      <c r="C66" s="4"/>
      <c r="E66" s="4"/>
      <c r="F66" s="5"/>
      <c r="G66" s="6"/>
      <c r="H66" s="6"/>
      <c r="I66" s="6"/>
      <c r="J66" s="6"/>
    </row>
    <row r="67" spans="1:10">
      <c r="A67" s="3"/>
      <c r="B67" s="4"/>
      <c r="C67" s="4"/>
      <c r="E67" s="4"/>
      <c r="F67" s="5"/>
      <c r="G67" s="6"/>
      <c r="H67" s="6"/>
      <c r="I67" s="6"/>
      <c r="J67" s="6"/>
    </row>
    <row r="68" spans="1:10">
      <c r="A68" s="3"/>
      <c r="B68" s="4"/>
      <c r="C68" s="4"/>
      <c r="E68" s="4"/>
      <c r="F68" s="5"/>
      <c r="G68" s="6"/>
      <c r="H68" s="6"/>
      <c r="I68" s="6"/>
      <c r="J68" s="6"/>
    </row>
    <row r="69" spans="1:10">
      <c r="A69" s="3"/>
      <c r="B69" s="4"/>
      <c r="C69" s="4"/>
      <c r="E69" s="4"/>
      <c r="F69" s="5"/>
      <c r="G69" s="6"/>
      <c r="H69" s="6"/>
      <c r="I69" s="6"/>
      <c r="J69" s="6"/>
    </row>
    <row r="70" spans="1:10">
      <c r="A70" s="3"/>
      <c r="B70" s="4"/>
      <c r="C70" s="4"/>
      <c r="E70" s="4"/>
      <c r="F70" s="5"/>
      <c r="G70" s="6"/>
      <c r="H70" s="6"/>
      <c r="I70" s="6"/>
      <c r="J70" s="6"/>
    </row>
    <row r="71" spans="1:10">
      <c r="A71" s="3"/>
      <c r="B71" s="4"/>
      <c r="C71" s="4"/>
      <c r="E71" s="4"/>
      <c r="F71" s="5"/>
      <c r="G71" s="6"/>
      <c r="H71" s="6"/>
      <c r="I71" s="6"/>
      <c r="J71" s="6"/>
    </row>
    <row r="72" spans="1:10">
      <c r="A72" s="3"/>
      <c r="B72" s="4"/>
      <c r="C72" s="4"/>
      <c r="E72" s="4"/>
      <c r="F72" s="5"/>
      <c r="G72" s="6"/>
      <c r="H72" s="6"/>
      <c r="I72" s="6"/>
      <c r="J72" s="6"/>
    </row>
    <row r="73" spans="1:10">
      <c r="A73" s="3"/>
      <c r="B73" s="4"/>
      <c r="C73" s="4"/>
      <c r="E73" s="4"/>
      <c r="F73" s="5"/>
      <c r="G73" s="6"/>
      <c r="H73" s="6"/>
      <c r="I73" s="6"/>
      <c r="J73" s="6"/>
    </row>
    <row r="74" spans="1:10">
      <c r="A74" s="3"/>
      <c r="B74" s="4"/>
      <c r="C74" s="4"/>
      <c r="E74" s="4"/>
      <c r="F74" s="5"/>
      <c r="G74" s="6"/>
      <c r="H74" s="6"/>
      <c r="I74" s="6"/>
      <c r="J74" s="6"/>
    </row>
    <row r="75" spans="1:10">
      <c r="A75" s="3"/>
      <c r="B75" s="4"/>
      <c r="C75" s="4"/>
      <c r="E75" s="4"/>
      <c r="F75" s="5"/>
      <c r="G75" s="6"/>
      <c r="H75" s="6"/>
      <c r="I75" s="6"/>
      <c r="J75" s="6"/>
    </row>
    <row r="76" spans="1:10">
      <c r="A76" s="3"/>
      <c r="B76" s="4"/>
      <c r="C76" s="4"/>
      <c r="E76" s="4"/>
      <c r="F76" s="5"/>
      <c r="G76" s="6"/>
      <c r="H76" s="6"/>
      <c r="I76" s="6"/>
      <c r="J76" s="6"/>
    </row>
    <row r="77" spans="1:10">
      <c r="A77" s="3"/>
      <c r="B77" s="4"/>
      <c r="C77" s="4"/>
      <c r="E77" s="4"/>
      <c r="F77" s="5"/>
      <c r="G77" s="6"/>
      <c r="H77" s="6"/>
      <c r="I77" s="6"/>
      <c r="J77" s="6"/>
    </row>
    <row r="78" spans="1:10">
      <c r="A78" s="3"/>
      <c r="B78" s="4"/>
      <c r="C78" s="4"/>
      <c r="E78" s="4"/>
      <c r="F78" s="5"/>
      <c r="G78" s="6"/>
      <c r="H78" s="6"/>
      <c r="I78" s="6"/>
      <c r="J78" s="6"/>
    </row>
    <row r="79" spans="1:10">
      <c r="A79" s="3"/>
      <c r="B79" s="4"/>
      <c r="C79" s="4"/>
      <c r="E79" s="4"/>
      <c r="F79" s="5"/>
      <c r="G79" s="6"/>
      <c r="H79" s="6"/>
      <c r="I79" s="6"/>
      <c r="J79" s="6"/>
    </row>
    <row r="80" spans="1:10">
      <c r="A80" s="3"/>
      <c r="B80" s="4"/>
      <c r="C80" s="4"/>
      <c r="E80" s="4"/>
      <c r="F80" s="5"/>
      <c r="G80" s="6"/>
      <c r="H80" s="6"/>
      <c r="I80" s="6"/>
      <c r="J80" s="6"/>
    </row>
    <row r="81" spans="1:10">
      <c r="A81" s="3"/>
      <c r="B81" s="4"/>
      <c r="C81" s="4"/>
      <c r="E81" s="4"/>
      <c r="F81" s="5"/>
      <c r="G81" s="6"/>
      <c r="H81" s="6"/>
      <c r="I81" s="6"/>
      <c r="J81" s="6"/>
    </row>
    <row r="82" spans="1:10">
      <c r="A82" s="3"/>
      <c r="B82" s="4"/>
      <c r="C82" s="4"/>
      <c r="E82" s="4"/>
      <c r="F82" s="5"/>
      <c r="G82" s="6"/>
      <c r="H82" s="6"/>
      <c r="I82" s="6"/>
      <c r="J82" s="6"/>
    </row>
    <row r="83" spans="1:10">
      <c r="A83" s="3"/>
      <c r="B83" s="4"/>
      <c r="C83" s="4"/>
      <c r="E83" s="4"/>
      <c r="F83" s="5"/>
      <c r="G83" s="6"/>
      <c r="H83" s="6"/>
      <c r="I83" s="6"/>
      <c r="J83" s="6"/>
    </row>
    <row r="84" spans="1:10">
      <c r="A84" s="3"/>
      <c r="B84" s="4"/>
      <c r="C84" s="4"/>
      <c r="E84" s="4"/>
      <c r="F84" s="5"/>
      <c r="G84" s="6"/>
      <c r="H84" s="6"/>
      <c r="I84" s="6"/>
      <c r="J84" s="6"/>
    </row>
    <row r="85" spans="1:10">
      <c r="A85" s="3"/>
      <c r="B85" s="4"/>
      <c r="C85" s="4"/>
      <c r="E85" s="4"/>
      <c r="F85" s="5"/>
      <c r="G85" s="6"/>
      <c r="H85" s="6"/>
      <c r="I85" s="6"/>
      <c r="J85" s="6"/>
    </row>
    <row r="86" spans="1:10">
      <c r="A86" s="3"/>
      <c r="B86" s="4"/>
      <c r="C86" s="4"/>
      <c r="E86" s="4"/>
      <c r="F86" s="5"/>
      <c r="G86" s="6"/>
      <c r="H86" s="6"/>
      <c r="I86" s="6"/>
      <c r="J86" s="6"/>
    </row>
    <row r="87" spans="1:10">
      <c r="A87" s="3"/>
      <c r="B87" s="4"/>
      <c r="C87" s="4"/>
      <c r="E87" s="4"/>
      <c r="F87" s="5"/>
      <c r="G87" s="6"/>
      <c r="H87" s="6"/>
      <c r="I87" s="6"/>
      <c r="J87" s="6"/>
    </row>
    <row r="88" spans="1:10">
      <c r="A88" s="3"/>
      <c r="B88" s="4"/>
      <c r="C88" s="4"/>
      <c r="E88" s="4"/>
      <c r="F88" s="5"/>
      <c r="G88" s="6"/>
      <c r="H88" s="6"/>
      <c r="I88" s="6"/>
      <c r="J88" s="6"/>
    </row>
    <row r="89" spans="1:10">
      <c r="A89" s="3"/>
      <c r="B89" s="4"/>
      <c r="C89" s="4"/>
      <c r="E89" s="4"/>
      <c r="F89" s="5"/>
      <c r="G89" s="6"/>
      <c r="H89" s="6"/>
      <c r="I89" s="6"/>
      <c r="J89" s="6"/>
    </row>
    <row r="90" spans="1:10">
      <c r="A90" s="3"/>
      <c r="B90" s="4"/>
      <c r="C90" s="4"/>
      <c r="E90" s="4"/>
      <c r="F90" s="5"/>
      <c r="G90" s="6"/>
      <c r="H90" s="6"/>
      <c r="I90" s="6"/>
      <c r="J90" s="6"/>
    </row>
    <row r="91" spans="1:10">
      <c r="A91" s="3"/>
      <c r="B91" s="4"/>
      <c r="C91" s="4"/>
      <c r="E91" s="4"/>
      <c r="F91" s="5"/>
      <c r="G91" s="6"/>
      <c r="H91" s="6"/>
      <c r="I91" s="6"/>
      <c r="J91" s="6"/>
    </row>
    <row r="92" spans="1:10">
      <c r="A92" s="3"/>
      <c r="B92" s="4"/>
      <c r="C92" s="4"/>
      <c r="E92" s="4"/>
      <c r="F92" s="5"/>
      <c r="G92" s="6"/>
      <c r="H92" s="6"/>
      <c r="I92" s="6"/>
      <c r="J92" s="6"/>
    </row>
    <row r="93" spans="1:10">
      <c r="A93" s="3"/>
      <c r="B93" s="4"/>
      <c r="C93" s="4"/>
      <c r="E93" s="4"/>
      <c r="F93" s="5"/>
      <c r="G93" s="6"/>
      <c r="H93" s="6"/>
      <c r="I93" s="6"/>
      <c r="J93" s="6"/>
    </row>
    <row r="94" spans="1:10">
      <c r="A94" s="3"/>
      <c r="B94" s="4"/>
      <c r="C94" s="4"/>
      <c r="E94" s="4"/>
      <c r="F94" s="5"/>
      <c r="G94" s="6"/>
      <c r="H94" s="6"/>
      <c r="I94" s="6"/>
      <c r="J94" s="6"/>
    </row>
    <row r="95" spans="1:10">
      <c r="A95" s="3"/>
      <c r="B95" s="4"/>
      <c r="C95" s="4"/>
      <c r="E95" s="4"/>
      <c r="F95" s="5"/>
      <c r="G95" s="6"/>
      <c r="H95" s="6"/>
      <c r="I95" s="6"/>
      <c r="J95" s="6"/>
    </row>
    <row r="96" spans="1:10">
      <c r="A96" s="3"/>
      <c r="B96" s="4"/>
      <c r="C96" s="4"/>
      <c r="E96" s="4"/>
      <c r="F96" s="5"/>
      <c r="G96" s="6"/>
      <c r="H96" s="6"/>
      <c r="I96" s="6"/>
      <c r="J96" s="6"/>
    </row>
    <row r="97" spans="1:10">
      <c r="A97" s="3"/>
      <c r="B97" s="4"/>
      <c r="C97" s="4"/>
      <c r="E97" s="4"/>
      <c r="F97" s="5"/>
      <c r="G97" s="6"/>
      <c r="H97" s="6"/>
      <c r="I97" s="6"/>
      <c r="J97" s="6"/>
    </row>
    <row r="98" spans="1:10">
      <c r="A98" s="3"/>
      <c r="B98" s="4"/>
      <c r="C98" s="4"/>
      <c r="E98" s="4"/>
      <c r="F98" s="5"/>
      <c r="G98" s="6"/>
      <c r="H98" s="6"/>
      <c r="I98" s="6"/>
      <c r="J98" s="6"/>
    </row>
    <row r="99" spans="1:10">
      <c r="A99" s="3"/>
      <c r="B99" s="4"/>
      <c r="C99" s="4"/>
      <c r="E99" s="4"/>
      <c r="F99" s="5"/>
      <c r="G99" s="6"/>
      <c r="H99" s="6"/>
      <c r="I99" s="6"/>
      <c r="J99" s="6"/>
    </row>
    <row r="100" spans="1:10">
      <c r="A100" s="3"/>
      <c r="B100" s="4"/>
      <c r="C100" s="4"/>
      <c r="E100" s="4"/>
      <c r="F100" s="5"/>
      <c r="G100" s="6"/>
      <c r="H100" s="6"/>
      <c r="I100" s="6"/>
      <c r="J100" s="6"/>
    </row>
    <row r="101" spans="1:10">
      <c r="A101" s="3"/>
      <c r="B101" s="4"/>
      <c r="C101" s="4"/>
      <c r="E101" s="4"/>
      <c r="F101" s="5"/>
      <c r="G101" s="6"/>
      <c r="H101" s="6"/>
      <c r="I101" s="6"/>
      <c r="J101" s="6"/>
    </row>
    <row r="102" spans="1:10">
      <c r="A102" s="3"/>
      <c r="B102" s="4"/>
      <c r="C102" s="4"/>
      <c r="E102" s="4"/>
      <c r="F102" s="5"/>
      <c r="G102" s="6"/>
      <c r="H102" s="6"/>
      <c r="I102" s="6"/>
      <c r="J102" s="6"/>
    </row>
    <row r="103" spans="1:10">
      <c r="A103" s="3"/>
      <c r="B103" s="4"/>
      <c r="C103" s="4"/>
      <c r="E103" s="4"/>
      <c r="F103" s="5"/>
      <c r="G103" s="6"/>
      <c r="H103" s="6"/>
      <c r="I103" s="6"/>
      <c r="J103" s="6"/>
    </row>
    <row r="104" spans="1:10">
      <c r="A104" s="3"/>
      <c r="B104" s="4"/>
      <c r="C104" s="4"/>
      <c r="E104" s="4"/>
      <c r="F104" s="5"/>
      <c r="G104" s="6"/>
      <c r="H104" s="6"/>
      <c r="I104" s="6"/>
      <c r="J104" s="6"/>
    </row>
    <row r="105" spans="1:10">
      <c r="A105" s="3"/>
      <c r="B105" s="4"/>
      <c r="C105" s="4"/>
      <c r="E105" s="4"/>
      <c r="F105" s="5"/>
      <c r="G105" s="6"/>
      <c r="H105" s="6"/>
      <c r="I105" s="6"/>
      <c r="J105" s="6"/>
    </row>
    <row r="106" spans="1:10">
      <c r="A106" s="3"/>
      <c r="B106" s="4"/>
      <c r="C106" s="4"/>
      <c r="E106" s="4"/>
      <c r="F106" s="5"/>
      <c r="G106" s="6"/>
      <c r="H106" s="6"/>
      <c r="I106" s="6"/>
      <c r="J106" s="6"/>
    </row>
    <row r="107" spans="1:10">
      <c r="A107" s="3"/>
      <c r="B107" s="4"/>
      <c r="C107" s="4"/>
      <c r="E107" s="4"/>
      <c r="F107" s="5"/>
      <c r="G107" s="6"/>
      <c r="H107" s="6"/>
      <c r="I107" s="6"/>
      <c r="J107" s="6"/>
    </row>
    <row r="108" spans="1:10">
      <c r="A108" s="3"/>
      <c r="B108" s="4"/>
      <c r="C108" s="4"/>
      <c r="E108" s="4"/>
      <c r="F108" s="5"/>
      <c r="G108" s="6"/>
      <c r="H108" s="6"/>
      <c r="I108" s="6"/>
      <c r="J108" s="6"/>
    </row>
    <row r="109" spans="1:10">
      <c r="A109" s="3"/>
      <c r="B109" s="4"/>
      <c r="C109" s="4"/>
      <c r="E109" s="4"/>
      <c r="F109" s="5"/>
      <c r="G109" s="6"/>
      <c r="H109" s="6"/>
      <c r="I109" s="6"/>
      <c r="J109" s="6"/>
    </row>
    <row r="110" spans="1:10">
      <c r="A110" s="3"/>
      <c r="B110" s="4"/>
      <c r="C110" s="4"/>
      <c r="E110" s="4"/>
      <c r="F110" s="5"/>
      <c r="G110" s="6"/>
      <c r="H110" s="6"/>
      <c r="I110" s="6"/>
      <c r="J110" s="6"/>
    </row>
    <row r="111" spans="1:10">
      <c r="A111" s="3"/>
      <c r="B111" s="4"/>
      <c r="C111" s="4"/>
      <c r="E111" s="4"/>
      <c r="F111" s="5"/>
      <c r="G111" s="6"/>
      <c r="H111" s="6"/>
      <c r="I111" s="6"/>
      <c r="J111" s="6"/>
    </row>
    <row r="112" spans="1:10">
      <c r="A112" s="3"/>
      <c r="B112" s="4"/>
      <c r="C112" s="4"/>
      <c r="E112" s="4"/>
      <c r="F112" s="5"/>
      <c r="G112" s="6"/>
      <c r="H112" s="6"/>
      <c r="I112" s="6"/>
      <c r="J112" s="6"/>
    </row>
    <row r="113" spans="1:10">
      <c r="A113" s="3"/>
      <c r="B113" s="4"/>
      <c r="C113" s="4"/>
      <c r="E113" s="4"/>
      <c r="F113" s="5"/>
      <c r="G113" s="6"/>
      <c r="H113" s="6"/>
      <c r="I113" s="6"/>
      <c r="J113" s="6"/>
    </row>
    <row r="114" spans="1:10">
      <c r="A114" s="3"/>
      <c r="B114" s="4"/>
      <c r="C114" s="4"/>
      <c r="E114" s="4"/>
      <c r="F114" s="5"/>
      <c r="G114" s="6"/>
      <c r="H114" s="6"/>
      <c r="I114" s="6"/>
      <c r="J114" s="6"/>
    </row>
    <row r="115" spans="1:10">
      <c r="A115" s="3"/>
      <c r="B115" s="4"/>
      <c r="C115" s="4"/>
      <c r="E115" s="4"/>
      <c r="F115" s="5"/>
      <c r="G115" s="6"/>
      <c r="H115" s="6"/>
      <c r="I115" s="6"/>
      <c r="J115" s="6"/>
    </row>
    <row r="116" spans="1:10">
      <c r="A116" s="3"/>
      <c r="B116" s="4"/>
      <c r="C116" s="4"/>
      <c r="E116" s="4"/>
      <c r="F116" s="5"/>
      <c r="G116" s="6"/>
      <c r="H116" s="6"/>
      <c r="I116" s="6"/>
      <c r="J116" s="6"/>
    </row>
    <row r="117" spans="1:10">
      <c r="A117" s="3"/>
      <c r="B117" s="4"/>
      <c r="C117" s="4"/>
      <c r="E117" s="4"/>
      <c r="F117" s="5"/>
      <c r="G117" s="6"/>
      <c r="H117" s="6"/>
      <c r="I117" s="6"/>
      <c r="J117" s="6"/>
    </row>
    <row r="118" spans="1:10">
      <c r="A118" s="3"/>
      <c r="B118" s="4"/>
      <c r="C118" s="4"/>
      <c r="E118" s="4"/>
      <c r="F118" s="5"/>
      <c r="G118" s="6"/>
      <c r="H118" s="6"/>
      <c r="I118" s="6"/>
      <c r="J118" s="6"/>
    </row>
    <row r="119" spans="1:10">
      <c r="A119" s="3"/>
      <c r="B119" s="4"/>
      <c r="C119" s="4"/>
      <c r="E119" s="4"/>
      <c r="F119" s="5"/>
      <c r="G119" s="6"/>
      <c r="H119" s="6"/>
      <c r="I119" s="6"/>
      <c r="J119" s="6"/>
    </row>
    <row r="120" spans="1:10">
      <c r="A120" s="3"/>
      <c r="B120" s="4"/>
      <c r="C120" s="4"/>
      <c r="E120" s="4"/>
      <c r="F120" s="5"/>
      <c r="G120" s="6"/>
      <c r="H120" s="6"/>
      <c r="I120" s="6"/>
      <c r="J120" s="6"/>
    </row>
    <row r="121" spans="1:10">
      <c r="A121" s="3"/>
      <c r="B121" s="4"/>
      <c r="C121" s="4"/>
      <c r="E121" s="4"/>
      <c r="F121" s="5"/>
      <c r="G121" s="6"/>
      <c r="H121" s="6"/>
      <c r="I121" s="6"/>
      <c r="J121" s="6"/>
    </row>
    <row r="122" spans="1:10">
      <c r="A122" s="3"/>
      <c r="B122" s="4"/>
      <c r="C122" s="4"/>
      <c r="E122" s="4"/>
      <c r="F122" s="5"/>
      <c r="G122" s="6"/>
      <c r="H122" s="6"/>
      <c r="I122" s="6"/>
      <c r="J122" s="6"/>
    </row>
    <row r="123" spans="1:10">
      <c r="A123" s="3"/>
      <c r="B123" s="4"/>
      <c r="C123" s="4"/>
      <c r="E123" s="4"/>
      <c r="F123" s="5"/>
      <c r="G123" s="6"/>
      <c r="H123" s="6"/>
      <c r="I123" s="6"/>
      <c r="J123" s="6"/>
    </row>
    <row r="124" spans="1:10">
      <c r="A124" s="3"/>
      <c r="B124" s="4"/>
      <c r="C124" s="4"/>
      <c r="E124" s="4"/>
      <c r="F124" s="5"/>
      <c r="G124" s="6"/>
      <c r="H124" s="6"/>
      <c r="I124" s="6"/>
      <c r="J124" s="6"/>
    </row>
    <row r="125" spans="1:10">
      <c r="A125" s="3"/>
      <c r="B125" s="4"/>
      <c r="C125" s="4"/>
      <c r="E125" s="4"/>
      <c r="F125" s="5"/>
      <c r="G125" s="6"/>
      <c r="H125" s="6"/>
      <c r="I125" s="6"/>
      <c r="J125" s="6"/>
    </row>
    <row r="126" spans="1:10">
      <c r="A126" s="3"/>
      <c r="B126" s="4"/>
      <c r="C126" s="4"/>
      <c r="E126" s="4"/>
      <c r="F126" s="5"/>
      <c r="G126" s="6"/>
      <c r="H126" s="6"/>
      <c r="I126" s="6"/>
      <c r="J126" s="6"/>
    </row>
    <row r="127" spans="1:10">
      <c r="A127" s="3"/>
      <c r="B127" s="4"/>
      <c r="C127" s="4"/>
      <c r="E127" s="4"/>
      <c r="F127" s="5"/>
      <c r="G127" s="6"/>
      <c r="H127" s="6"/>
      <c r="I127" s="6"/>
      <c r="J127" s="6"/>
    </row>
    <row r="128" spans="1:10">
      <c r="A128" s="3"/>
      <c r="B128" s="4"/>
      <c r="C128" s="4"/>
      <c r="E128" s="4"/>
      <c r="F128" s="5"/>
      <c r="G128" s="6"/>
      <c r="H128" s="6"/>
      <c r="I128" s="6"/>
      <c r="J128" s="6"/>
    </row>
    <row r="129" spans="1:10">
      <c r="A129" s="3"/>
      <c r="B129" s="4"/>
      <c r="C129" s="4"/>
      <c r="E129" s="4"/>
      <c r="F129" s="5"/>
      <c r="G129" s="6"/>
      <c r="H129" s="6"/>
      <c r="I129" s="6"/>
      <c r="J129" s="6"/>
    </row>
    <row r="130" spans="1:10">
      <c r="A130" s="3"/>
      <c r="B130" s="4"/>
      <c r="C130" s="4"/>
      <c r="E130" s="4"/>
      <c r="F130" s="5"/>
      <c r="G130" s="6"/>
      <c r="H130" s="6"/>
      <c r="I130" s="6"/>
      <c r="J130" s="6"/>
    </row>
    <row r="131" spans="1:10">
      <c r="A131" s="3"/>
      <c r="B131" s="4"/>
      <c r="C131" s="4"/>
      <c r="E131" s="4"/>
      <c r="F131" s="5"/>
      <c r="G131" s="6"/>
      <c r="H131" s="6"/>
      <c r="I131" s="6"/>
      <c r="J131" s="6"/>
    </row>
    <row r="132" spans="1:10">
      <c r="A132" s="3"/>
      <c r="B132" s="4"/>
      <c r="C132" s="4"/>
      <c r="E132" s="4"/>
      <c r="F132" s="5"/>
      <c r="G132" s="6"/>
      <c r="H132" s="6"/>
      <c r="I132" s="6"/>
      <c r="J132" s="6"/>
    </row>
    <row r="133" spans="1:10">
      <c r="A133" s="3"/>
      <c r="B133" s="4"/>
      <c r="C133" s="4"/>
      <c r="E133" s="4"/>
      <c r="F133" s="5"/>
      <c r="G133" s="6"/>
      <c r="H133" s="6"/>
      <c r="I133" s="6"/>
      <c r="J133" s="6"/>
    </row>
    <row r="134" spans="1:10">
      <c r="A134" s="3"/>
      <c r="B134" s="4"/>
      <c r="C134" s="4"/>
      <c r="E134" s="4"/>
      <c r="F134" s="5"/>
      <c r="G134" s="6"/>
      <c r="H134" s="6"/>
      <c r="I134" s="6"/>
      <c r="J134" s="6"/>
    </row>
    <row r="135" spans="1:10">
      <c r="A135" s="3"/>
      <c r="B135" s="4"/>
      <c r="C135" s="4"/>
      <c r="E135" s="4"/>
      <c r="F135" s="5"/>
      <c r="G135" s="6"/>
      <c r="H135" s="6"/>
      <c r="I135" s="6"/>
      <c r="J135" s="6"/>
    </row>
    <row r="136" spans="1:10">
      <c r="A136" s="3"/>
      <c r="B136" s="4"/>
      <c r="C136" s="4"/>
      <c r="E136" s="4"/>
      <c r="F136" s="5"/>
      <c r="G136" s="6"/>
      <c r="H136" s="6"/>
      <c r="I136" s="6"/>
      <c r="J136" s="6"/>
    </row>
    <row r="137" spans="1:10">
      <c r="A137" s="3"/>
      <c r="B137" s="4"/>
      <c r="C137" s="4"/>
      <c r="E137" s="4"/>
      <c r="F137" s="5"/>
      <c r="G137" s="6"/>
      <c r="H137" s="6"/>
      <c r="I137" s="6"/>
      <c r="J137" s="6"/>
    </row>
    <row r="138" spans="1:10">
      <c r="A138" s="3"/>
      <c r="B138" s="4"/>
      <c r="C138" s="4"/>
      <c r="E138" s="4"/>
      <c r="F138" s="5"/>
      <c r="G138" s="6"/>
      <c r="H138" s="6"/>
      <c r="I138" s="6"/>
      <c r="J138" s="6"/>
    </row>
    <row r="139" spans="1:10">
      <c r="A139" s="3"/>
      <c r="B139" s="4"/>
      <c r="C139" s="4"/>
      <c r="E139" s="4"/>
      <c r="F139" s="5"/>
      <c r="G139" s="6"/>
      <c r="H139" s="6"/>
      <c r="I139" s="6"/>
      <c r="J139" s="6"/>
    </row>
    <row r="140" spans="1:10">
      <c r="A140" s="3"/>
      <c r="B140" s="4"/>
      <c r="C140" s="4"/>
      <c r="E140" s="4"/>
      <c r="F140" s="5"/>
      <c r="G140" s="6"/>
      <c r="H140" s="6"/>
      <c r="I140" s="6"/>
      <c r="J140" s="6"/>
    </row>
    <row r="141" spans="1:10">
      <c r="A141" s="3"/>
      <c r="B141" s="4"/>
      <c r="C141" s="4"/>
      <c r="E141" s="4"/>
      <c r="F141" s="5"/>
      <c r="G141" s="6"/>
      <c r="H141" s="6"/>
      <c r="I141" s="6"/>
      <c r="J141" s="6"/>
    </row>
    <row r="142" spans="1:10">
      <c r="A142" s="3"/>
      <c r="B142" s="4"/>
      <c r="C142" s="4"/>
      <c r="E142" s="4"/>
      <c r="F142" s="5"/>
      <c r="G142" s="6"/>
      <c r="H142" s="6"/>
      <c r="I142" s="6"/>
      <c r="J142" s="6"/>
    </row>
    <row r="143" spans="1:10">
      <c r="A143" s="3"/>
      <c r="B143" s="4"/>
      <c r="C143" s="4"/>
      <c r="E143" s="4"/>
      <c r="F143" s="5"/>
      <c r="G143" s="6"/>
      <c r="H143" s="6"/>
      <c r="I143" s="6"/>
      <c r="J143" s="6"/>
    </row>
    <row r="144" spans="1:10">
      <c r="A144" s="3"/>
      <c r="B144" s="4"/>
      <c r="C144" s="4"/>
      <c r="E144" s="4"/>
      <c r="F144" s="5"/>
      <c r="G144" s="6"/>
      <c r="H144" s="6"/>
      <c r="I144" s="6"/>
      <c r="J144" s="6"/>
    </row>
    <row r="145" spans="1:10">
      <c r="A145" s="3"/>
      <c r="B145" s="4"/>
      <c r="C145" s="4"/>
      <c r="E145" s="4"/>
      <c r="F145" s="5"/>
      <c r="G145" s="6"/>
      <c r="H145" s="6"/>
      <c r="I145" s="6"/>
      <c r="J145" s="6"/>
    </row>
    <row r="146" spans="1:10">
      <c r="A146" s="3"/>
      <c r="B146" s="4"/>
      <c r="C146" s="4"/>
      <c r="E146" s="4"/>
      <c r="F146" s="5"/>
      <c r="G146" s="6"/>
      <c r="H146" s="6"/>
      <c r="I146" s="6"/>
      <c r="J146" s="6"/>
    </row>
    <row r="147" spans="1:10">
      <c r="A147" s="3"/>
      <c r="B147" s="4"/>
      <c r="C147" s="4"/>
      <c r="E147" s="4"/>
      <c r="F147" s="5"/>
      <c r="G147" s="6"/>
      <c r="H147" s="6"/>
      <c r="I147" s="6"/>
      <c r="J147" s="6"/>
    </row>
    <row r="148" spans="1:10">
      <c r="A148" s="3"/>
      <c r="B148" s="4"/>
      <c r="C148" s="4"/>
      <c r="E148" s="4"/>
      <c r="F148" s="5"/>
      <c r="G148" s="6"/>
      <c r="H148" s="6"/>
      <c r="I148" s="6"/>
      <c r="J148" s="6"/>
    </row>
    <row r="149" spans="1:10">
      <c r="A149" s="3"/>
      <c r="B149" s="4"/>
      <c r="C149" s="4"/>
      <c r="E149" s="4"/>
      <c r="F149" s="5"/>
      <c r="G149" s="6"/>
      <c r="H149" s="6"/>
      <c r="I149" s="6"/>
      <c r="J149" s="6"/>
    </row>
    <row r="150" spans="1:10">
      <c r="A150" s="3"/>
      <c r="B150" s="4"/>
      <c r="C150" s="4"/>
      <c r="E150" s="4"/>
      <c r="F150" s="5"/>
      <c r="G150" s="6"/>
      <c r="H150" s="6"/>
      <c r="I150" s="6"/>
      <c r="J150" s="6"/>
    </row>
    <row r="151" spans="1:10">
      <c r="A151" s="3"/>
      <c r="B151" s="4"/>
      <c r="C151" s="4"/>
      <c r="E151" s="4"/>
      <c r="F151" s="5"/>
      <c r="G151" s="6"/>
      <c r="H151" s="6"/>
      <c r="I151" s="6"/>
      <c r="J151" s="6"/>
    </row>
    <row r="152" spans="1:10">
      <c r="A152" s="3"/>
      <c r="B152" s="4"/>
      <c r="C152" s="4"/>
      <c r="E152" s="4"/>
      <c r="F152" s="5"/>
      <c r="G152" s="6"/>
      <c r="H152" s="6"/>
      <c r="I152" s="6"/>
      <c r="J152" s="6"/>
    </row>
    <row r="153" spans="1:10">
      <c r="A153" s="3"/>
      <c r="B153" s="4"/>
      <c r="C153" s="4"/>
      <c r="E153" s="4"/>
      <c r="F153" s="5"/>
      <c r="G153" s="6"/>
      <c r="H153" s="6"/>
      <c r="I153" s="6"/>
      <c r="J153" s="6"/>
    </row>
    <row r="154" spans="1:10">
      <c r="A154" s="3"/>
      <c r="B154" s="4"/>
      <c r="C154" s="4"/>
      <c r="E154" s="4"/>
      <c r="F154" s="5"/>
      <c r="G154" s="6"/>
      <c r="H154" s="6"/>
      <c r="I154" s="6"/>
      <c r="J154" s="6"/>
    </row>
    <row r="155" spans="1:10">
      <c r="A155" s="3"/>
      <c r="B155" s="4"/>
      <c r="C155" s="4"/>
      <c r="E155" s="4"/>
      <c r="F155" s="5"/>
      <c r="G155" s="6"/>
      <c r="H155" s="6"/>
      <c r="I155" s="6"/>
      <c r="J155" s="6"/>
    </row>
    <row r="156" spans="1:10">
      <c r="A156" s="3"/>
      <c r="B156" s="4"/>
      <c r="C156" s="4"/>
      <c r="E156" s="4"/>
      <c r="F156" s="5"/>
      <c r="G156" s="6"/>
      <c r="H156" s="6"/>
      <c r="I156" s="6"/>
      <c r="J156" s="6"/>
    </row>
    <row r="157" spans="1:10">
      <c r="A157" s="3"/>
      <c r="B157" s="4"/>
      <c r="C157" s="4"/>
      <c r="E157" s="4"/>
      <c r="F157" s="5"/>
      <c r="G157" s="6"/>
      <c r="H157" s="6"/>
      <c r="I157" s="6"/>
      <c r="J157" s="6"/>
    </row>
    <row r="158" spans="1:10">
      <c r="A158" s="3"/>
      <c r="B158" s="4"/>
      <c r="C158" s="4"/>
      <c r="E158" s="4"/>
      <c r="F158" s="5"/>
      <c r="G158" s="6"/>
      <c r="H158" s="6"/>
      <c r="I158" s="6"/>
      <c r="J158" s="6"/>
    </row>
    <row r="159" spans="1:10">
      <c r="A159" s="3"/>
      <c r="B159" s="4"/>
      <c r="C159" s="4"/>
      <c r="E159" s="4"/>
      <c r="F159" s="5"/>
      <c r="G159" s="6"/>
      <c r="H159" s="6"/>
      <c r="I159" s="6"/>
      <c r="J159" s="6"/>
    </row>
    <row r="160" spans="1:10">
      <c r="A160" s="3"/>
      <c r="B160" s="4"/>
      <c r="C160" s="4"/>
      <c r="E160" s="4"/>
      <c r="F160" s="5"/>
      <c r="G160" s="6"/>
      <c r="H160" s="6"/>
      <c r="I160" s="6"/>
      <c r="J160" s="6"/>
    </row>
    <row r="161" spans="1:10">
      <c r="A161" s="3"/>
      <c r="B161" s="4"/>
      <c r="C161" s="4"/>
      <c r="E161" s="4"/>
      <c r="F161" s="5"/>
      <c r="G161" s="6"/>
      <c r="H161" s="6"/>
      <c r="I161" s="6"/>
      <c r="J161" s="6"/>
    </row>
    <row r="162" spans="1:10">
      <c r="A162" s="3"/>
      <c r="B162" s="4"/>
      <c r="C162" s="4"/>
      <c r="E162" s="4"/>
      <c r="F162" s="5"/>
      <c r="G162" s="6"/>
      <c r="H162" s="6"/>
      <c r="I162" s="6"/>
      <c r="J162" s="6"/>
    </row>
    <row r="163" spans="1:10">
      <c r="A163" s="3"/>
      <c r="B163" s="4"/>
      <c r="C163" s="4"/>
      <c r="E163" s="4"/>
      <c r="F163" s="5"/>
      <c r="G163" s="6"/>
      <c r="H163" s="6"/>
      <c r="I163" s="6"/>
      <c r="J163" s="6"/>
    </row>
    <row r="164" spans="1:10">
      <c r="A164" s="3"/>
      <c r="B164" s="4"/>
      <c r="C164" s="4"/>
      <c r="E164" s="4"/>
      <c r="F164" s="5"/>
      <c r="G164" s="6"/>
      <c r="H164" s="6"/>
      <c r="I164" s="6"/>
      <c r="J164" s="6"/>
    </row>
    <row r="165" spans="1:10">
      <c r="A165" s="3"/>
      <c r="B165" s="4"/>
      <c r="C165" s="4"/>
      <c r="E165" s="4"/>
      <c r="F165" s="5"/>
      <c r="G165" s="6"/>
      <c r="H165" s="6"/>
      <c r="I165" s="6"/>
      <c r="J165" s="6"/>
    </row>
    <row r="166" spans="1:10">
      <c r="A166" s="3"/>
      <c r="B166" s="4"/>
      <c r="C166" s="4"/>
      <c r="E166" s="4"/>
      <c r="F166" s="5"/>
      <c r="G166" s="6"/>
      <c r="H166" s="6"/>
      <c r="I166" s="6"/>
      <c r="J166" s="6"/>
    </row>
    <row r="167" spans="1:10">
      <c r="A167" s="3"/>
      <c r="B167" s="4"/>
      <c r="C167" s="4"/>
      <c r="E167" s="4"/>
      <c r="F167" s="5"/>
      <c r="G167" s="6"/>
      <c r="H167" s="6"/>
      <c r="I167" s="6"/>
      <c r="J167" s="6"/>
    </row>
    <row r="168" spans="1:10">
      <c r="A168" s="3"/>
      <c r="B168" s="4"/>
      <c r="C168" s="4"/>
      <c r="E168" s="4"/>
      <c r="F168" s="5"/>
      <c r="G168" s="6"/>
      <c r="H168" s="6"/>
      <c r="I168" s="6"/>
      <c r="J168" s="6"/>
    </row>
    <row r="169" spans="1:10">
      <c r="A169" s="3"/>
      <c r="B169" s="4"/>
      <c r="C169" s="4"/>
      <c r="E169" s="4"/>
      <c r="F169" s="5"/>
      <c r="G169" s="6"/>
      <c r="H169" s="6"/>
      <c r="I169" s="6"/>
      <c r="J169" s="6"/>
    </row>
    <row r="170" spans="1:10">
      <c r="A170" s="3"/>
      <c r="B170" s="4"/>
      <c r="C170" s="4"/>
      <c r="E170" s="4"/>
      <c r="F170" s="5"/>
      <c r="G170" s="6"/>
      <c r="H170" s="6"/>
      <c r="I170" s="6"/>
      <c r="J170" s="6"/>
    </row>
    <row r="171" spans="1:10">
      <c r="A171" s="3"/>
      <c r="B171" s="4"/>
      <c r="C171" s="4"/>
      <c r="E171" s="4"/>
      <c r="F171" s="5"/>
      <c r="G171" s="6"/>
      <c r="H171" s="6"/>
      <c r="I171" s="6"/>
      <c r="J171" s="6"/>
    </row>
    <row r="172" spans="1:10">
      <c r="A172" s="3"/>
      <c r="B172" s="4"/>
      <c r="C172" s="4"/>
      <c r="E172" s="4"/>
      <c r="F172" s="5"/>
      <c r="G172" s="6"/>
      <c r="H172" s="6"/>
      <c r="I172" s="6"/>
      <c r="J172" s="6"/>
    </row>
    <row r="173" spans="1:10">
      <c r="A173" s="3"/>
      <c r="B173" s="4"/>
      <c r="C173" s="4"/>
      <c r="E173" s="4"/>
      <c r="F173" s="5"/>
      <c r="G173" s="6"/>
      <c r="H173" s="6"/>
      <c r="I173" s="6"/>
      <c r="J173" s="6"/>
    </row>
    <row r="174" spans="1:10">
      <c r="A174" s="3"/>
      <c r="B174" s="4"/>
      <c r="C174" s="4"/>
      <c r="E174" s="4"/>
      <c r="F174" s="5"/>
      <c r="G174" s="6"/>
      <c r="H174" s="6"/>
      <c r="I174" s="6"/>
      <c r="J174" s="6"/>
    </row>
    <row r="175" spans="1:10">
      <c r="A175" s="3"/>
      <c r="B175" s="4"/>
      <c r="C175" s="4"/>
      <c r="E175" s="4"/>
      <c r="F175" s="5"/>
      <c r="G175" s="6"/>
      <c r="H175" s="6"/>
      <c r="I175" s="6"/>
      <c r="J175" s="6"/>
    </row>
    <row r="176" spans="1:10">
      <c r="A176" s="3"/>
      <c r="B176" s="4"/>
      <c r="C176" s="4"/>
      <c r="E176" s="4"/>
      <c r="F176" s="5"/>
      <c r="G176" s="6"/>
      <c r="H176" s="6"/>
      <c r="I176" s="6"/>
      <c r="J176" s="6"/>
    </row>
    <row r="177" spans="1:10">
      <c r="A177" s="3"/>
      <c r="B177" s="4"/>
      <c r="C177" s="4"/>
      <c r="E177" s="4"/>
      <c r="F177" s="5"/>
      <c r="G177" s="6"/>
      <c r="H177" s="6"/>
      <c r="I177" s="6"/>
      <c r="J177" s="6"/>
    </row>
    <row r="178" spans="1:10">
      <c r="A178" s="3"/>
      <c r="B178" s="4"/>
      <c r="C178" s="4"/>
      <c r="E178" s="4"/>
      <c r="F178" s="5"/>
      <c r="G178" s="6"/>
      <c r="H178" s="6"/>
      <c r="I178" s="6"/>
      <c r="J178" s="6"/>
    </row>
    <row r="179" spans="1:10">
      <c r="A179" s="3"/>
      <c r="B179" s="4"/>
      <c r="C179" s="4"/>
      <c r="E179" s="4"/>
      <c r="F179" s="5"/>
      <c r="G179" s="6"/>
      <c r="H179" s="6"/>
      <c r="I179" s="6"/>
      <c r="J179" s="6"/>
    </row>
    <row r="180" spans="1:10">
      <c r="A180" s="3"/>
      <c r="B180" s="4"/>
      <c r="C180" s="4"/>
      <c r="E180" s="4"/>
      <c r="F180" s="5"/>
      <c r="G180" s="6"/>
      <c r="H180" s="6"/>
      <c r="I180" s="6"/>
      <c r="J180" s="6"/>
    </row>
    <row r="181" spans="1:10">
      <c r="A181" s="3"/>
      <c r="B181" s="4"/>
      <c r="C181" s="4"/>
      <c r="E181" s="4"/>
      <c r="F181" s="5"/>
      <c r="G181" s="6"/>
      <c r="H181" s="6"/>
      <c r="I181" s="6"/>
      <c r="J181" s="6"/>
    </row>
    <row r="182" spans="1:10">
      <c r="A182" s="3"/>
      <c r="B182" s="4"/>
      <c r="C182" s="4"/>
      <c r="E182" s="4"/>
      <c r="F182" s="5"/>
      <c r="G182" s="6"/>
      <c r="H182" s="6"/>
      <c r="I182" s="6"/>
      <c r="J182" s="6"/>
    </row>
    <row r="183" spans="1:10">
      <c r="A183" s="3"/>
      <c r="B183" s="4"/>
      <c r="C183" s="4"/>
      <c r="E183" s="4"/>
      <c r="F183" s="5"/>
      <c r="G183" s="6"/>
      <c r="H183" s="6"/>
      <c r="I183" s="6"/>
      <c r="J183" s="6"/>
    </row>
    <row r="184" spans="1:10">
      <c r="A184" s="3"/>
      <c r="B184" s="4"/>
      <c r="C184" s="4"/>
      <c r="E184" s="4"/>
      <c r="F184" s="5"/>
      <c r="G184" s="6"/>
      <c r="H184" s="6"/>
      <c r="I184" s="6"/>
      <c r="J184" s="6"/>
    </row>
    <row r="185" spans="1:10">
      <c r="A185" s="3"/>
      <c r="B185" s="4"/>
      <c r="C185" s="4"/>
      <c r="E185" s="4"/>
      <c r="F185" s="5"/>
      <c r="G185" s="6"/>
      <c r="H185" s="6"/>
      <c r="I185" s="6"/>
      <c r="J185" s="6"/>
    </row>
    <row r="186" spans="1:10">
      <c r="A186" s="3"/>
      <c r="B186" s="4"/>
      <c r="C186" s="4"/>
      <c r="E186" s="4"/>
      <c r="F186" s="5"/>
      <c r="G186" s="6"/>
      <c r="H186" s="6"/>
      <c r="I186" s="6"/>
      <c r="J186" s="6"/>
    </row>
    <row r="187" spans="1:10">
      <c r="A187" s="3"/>
      <c r="B187" s="4"/>
      <c r="C187" s="4"/>
      <c r="E187" s="4"/>
      <c r="F187" s="5"/>
      <c r="G187" s="6"/>
      <c r="H187" s="6"/>
      <c r="I187" s="6"/>
      <c r="J187" s="6"/>
    </row>
    <row r="188" spans="1:10">
      <c r="A188" s="3"/>
      <c r="B188" s="4"/>
      <c r="C188" s="4"/>
      <c r="E188" s="4"/>
      <c r="F188" s="5"/>
      <c r="G188" s="6"/>
      <c r="H188" s="6"/>
      <c r="I188" s="6"/>
      <c r="J188" s="6"/>
    </row>
    <row r="189" spans="1:10">
      <c r="A189" s="3"/>
      <c r="B189" s="4"/>
      <c r="C189" s="4"/>
      <c r="E189" s="4"/>
      <c r="F189" s="5"/>
      <c r="G189" s="6"/>
      <c r="H189" s="6"/>
      <c r="I189" s="6"/>
      <c r="J189" s="6"/>
    </row>
    <row r="190" spans="1:10">
      <c r="A190" s="3"/>
      <c r="B190" s="4"/>
      <c r="C190" s="4"/>
      <c r="E190" s="4"/>
      <c r="F190" s="5"/>
      <c r="G190" s="6"/>
      <c r="H190" s="6"/>
      <c r="I190" s="6"/>
      <c r="J190" s="6"/>
    </row>
    <row r="191" spans="1:10">
      <c r="A191" s="3"/>
      <c r="B191" s="4"/>
      <c r="C191" s="4"/>
      <c r="E191" s="4"/>
      <c r="F191" s="5"/>
      <c r="G191" s="6"/>
      <c r="H191" s="6"/>
      <c r="I191" s="6"/>
      <c r="J191" s="6"/>
    </row>
    <row r="192" spans="1:10">
      <c r="A192" s="3"/>
      <c r="B192" s="4"/>
      <c r="C192" s="4"/>
      <c r="E192" s="4"/>
      <c r="F192" s="5"/>
      <c r="G192" s="6"/>
      <c r="H192" s="6"/>
      <c r="I192" s="6"/>
      <c r="J192" s="6"/>
    </row>
    <row r="193" spans="1:10">
      <c r="A193" s="3"/>
      <c r="B193" s="4"/>
      <c r="C193" s="4"/>
      <c r="E193" s="4"/>
      <c r="F193" s="5"/>
      <c r="G193" s="6"/>
      <c r="H193" s="6"/>
      <c r="I193" s="6"/>
      <c r="J193" s="6"/>
    </row>
    <row r="194" spans="1:10">
      <c r="A194" s="3"/>
      <c r="B194" s="4"/>
      <c r="C194" s="4"/>
      <c r="E194" s="4"/>
      <c r="F194" s="5"/>
      <c r="G194" s="6"/>
      <c r="H194" s="6"/>
      <c r="I194" s="6"/>
      <c r="J194" s="6"/>
    </row>
    <row r="195" spans="1:10">
      <c r="A195" s="3"/>
      <c r="B195" s="4"/>
      <c r="C195" s="4"/>
      <c r="E195" s="4"/>
      <c r="F195" s="5"/>
      <c r="G195" s="6"/>
      <c r="H195" s="6"/>
      <c r="I195" s="6"/>
      <c r="J195" s="6"/>
    </row>
    <row r="196" spans="1:10">
      <c r="A196" s="3"/>
      <c r="B196" s="4"/>
      <c r="C196" s="4"/>
      <c r="E196" s="4"/>
      <c r="F196" s="5"/>
      <c r="G196" s="6"/>
      <c r="H196" s="6"/>
      <c r="I196" s="6"/>
      <c r="J196" s="6"/>
    </row>
    <row r="197" spans="1:10">
      <c r="A197" s="3"/>
      <c r="B197" s="4"/>
      <c r="C197" s="4"/>
      <c r="E197" s="4"/>
      <c r="F197" s="5"/>
      <c r="G197" s="6"/>
      <c r="H197" s="6"/>
      <c r="I197" s="6"/>
      <c r="J197" s="6"/>
    </row>
    <row r="198" spans="1:10">
      <c r="A198" s="3"/>
      <c r="B198" s="4"/>
      <c r="C198" s="4"/>
      <c r="E198" s="4"/>
      <c r="F198" s="5"/>
      <c r="G198" s="6"/>
      <c r="H198" s="6"/>
      <c r="I198" s="6"/>
      <c r="J198" s="6"/>
    </row>
    <row r="199" spans="1:10">
      <c r="A199" s="3"/>
      <c r="B199" s="4"/>
      <c r="C199" s="4"/>
      <c r="E199" s="4"/>
      <c r="F199" s="5"/>
      <c r="G199" s="6"/>
      <c r="H199" s="6"/>
      <c r="I199" s="6"/>
      <c r="J199" s="6"/>
    </row>
    <row r="200" spans="1:10">
      <c r="A200" s="3"/>
      <c r="B200" s="4"/>
      <c r="C200" s="4"/>
      <c r="E200" s="4"/>
      <c r="F200" s="5"/>
      <c r="G200" s="6"/>
      <c r="H200" s="6"/>
      <c r="I200" s="6"/>
      <c r="J200" s="6"/>
    </row>
    <row r="201" spans="1:10">
      <c r="A201" s="3"/>
      <c r="B201" s="4"/>
      <c r="C201" s="4"/>
      <c r="E201" s="4"/>
      <c r="F201" s="5"/>
      <c r="G201" s="6"/>
      <c r="H201" s="6"/>
      <c r="I201" s="6"/>
      <c r="J201" s="6"/>
    </row>
    <row r="202" spans="1:10">
      <c r="A202" s="3"/>
      <c r="B202" s="4"/>
      <c r="C202" s="4"/>
      <c r="E202" s="4"/>
      <c r="F202" s="5"/>
      <c r="G202" s="6"/>
      <c r="H202" s="6"/>
      <c r="I202" s="6"/>
      <c r="J202" s="6"/>
    </row>
    <row r="203" spans="1:10">
      <c r="A203" s="3"/>
      <c r="B203" s="4"/>
      <c r="C203" s="4"/>
      <c r="E203" s="4"/>
      <c r="F203" s="5"/>
      <c r="G203" s="6"/>
      <c r="H203" s="6"/>
      <c r="I203" s="6"/>
      <c r="J203" s="6"/>
    </row>
    <row r="204" spans="1:10">
      <c r="A204" s="3"/>
      <c r="B204" s="4"/>
      <c r="C204" s="4"/>
      <c r="E204" s="4"/>
      <c r="F204" s="5"/>
      <c r="G204" s="6"/>
      <c r="H204" s="6"/>
      <c r="I204" s="6"/>
      <c r="J204" s="6"/>
    </row>
    <row r="205" spans="1:10">
      <c r="A205" s="3"/>
      <c r="B205" s="4"/>
      <c r="C205" s="4"/>
      <c r="E205" s="4"/>
      <c r="F205" s="5"/>
      <c r="G205" s="6"/>
      <c r="H205" s="6"/>
      <c r="I205" s="6"/>
      <c r="J205" s="6"/>
    </row>
    <row r="206" spans="1:10">
      <c r="A206" s="3"/>
      <c r="B206" s="4"/>
      <c r="C206" s="4"/>
      <c r="E206" s="4"/>
      <c r="F206" s="5"/>
      <c r="G206" s="6"/>
      <c r="H206" s="6"/>
      <c r="I206" s="6"/>
      <c r="J206" s="6"/>
    </row>
    <row r="207" spans="1:10">
      <c r="A207" s="3"/>
      <c r="B207" s="4"/>
      <c r="C207" s="4"/>
      <c r="E207" s="4"/>
      <c r="F207" s="5"/>
      <c r="G207" s="6"/>
      <c r="H207" s="6"/>
      <c r="I207" s="6"/>
      <c r="J207" s="6"/>
    </row>
    <row r="208" spans="1:10">
      <c r="A208" s="3"/>
      <c r="B208" s="4"/>
      <c r="C208" s="4"/>
      <c r="E208" s="4"/>
      <c r="F208" s="5"/>
      <c r="G208" s="6"/>
      <c r="H208" s="6"/>
      <c r="I208" s="6"/>
      <c r="J208" s="6"/>
    </row>
    <row r="209" spans="1:10">
      <c r="A209" s="3"/>
      <c r="B209" s="4"/>
      <c r="C209" s="4"/>
      <c r="E209" s="4"/>
      <c r="F209" s="5"/>
      <c r="G209" s="6"/>
      <c r="H209" s="6"/>
      <c r="I209" s="6"/>
      <c r="J209" s="6"/>
    </row>
    <row r="210" spans="1:10">
      <c r="A210" s="3"/>
      <c r="B210" s="4"/>
      <c r="C210" s="4"/>
      <c r="E210" s="4"/>
      <c r="F210" s="5"/>
      <c r="G210" s="6"/>
      <c r="H210" s="6"/>
      <c r="I210" s="6"/>
      <c r="J210" s="6"/>
    </row>
    <row r="211" spans="1:10">
      <c r="A211" s="3"/>
      <c r="B211" s="4"/>
      <c r="C211" s="4"/>
      <c r="E211" s="4"/>
      <c r="F211" s="5"/>
      <c r="G211" s="6"/>
      <c r="H211" s="6"/>
      <c r="I211" s="6"/>
      <c r="J211" s="6"/>
    </row>
    <row r="212" spans="1:10">
      <c r="A212" s="3"/>
      <c r="B212" s="4"/>
      <c r="C212" s="4"/>
      <c r="E212" s="4"/>
      <c r="F212" s="5"/>
      <c r="G212" s="6"/>
      <c r="H212" s="6"/>
      <c r="I212" s="6"/>
      <c r="J212" s="6"/>
    </row>
    <row r="213" spans="1:10">
      <c r="A213" s="3"/>
      <c r="B213" s="4"/>
      <c r="C213" s="4"/>
      <c r="E213" s="4"/>
      <c r="F213" s="5"/>
      <c r="G213" s="6"/>
      <c r="H213" s="6"/>
      <c r="I213" s="6"/>
      <c r="J213" s="6"/>
    </row>
    <row r="214" spans="1:10">
      <c r="A214" s="3"/>
      <c r="B214" s="4"/>
      <c r="C214" s="4"/>
      <c r="E214" s="4"/>
      <c r="F214" s="5"/>
      <c r="G214" s="6"/>
      <c r="H214" s="6"/>
      <c r="I214" s="6"/>
      <c r="J214" s="6"/>
    </row>
    <row r="215" spans="1:10">
      <c r="A215" s="3"/>
      <c r="B215" s="4"/>
      <c r="C215" s="4"/>
      <c r="E215" s="4"/>
      <c r="F215" s="5"/>
      <c r="G215" s="6"/>
      <c r="H215" s="6"/>
      <c r="I215" s="6"/>
      <c r="J215" s="6"/>
    </row>
    <row r="216" spans="1:10">
      <c r="A216" s="3"/>
      <c r="B216" s="4"/>
      <c r="C216" s="4"/>
      <c r="E216" s="4"/>
      <c r="F216" s="5"/>
      <c r="G216" s="6"/>
      <c r="H216" s="6"/>
      <c r="I216" s="6"/>
      <c r="J216" s="6"/>
    </row>
    <row r="217" spans="1:10">
      <c r="A217" s="3"/>
      <c r="B217" s="4"/>
      <c r="C217" s="4"/>
      <c r="E217" s="4"/>
      <c r="F217" s="5"/>
      <c r="G217" s="6"/>
      <c r="H217" s="6"/>
      <c r="I217" s="6"/>
      <c r="J217" s="6"/>
    </row>
    <row r="218" spans="1:10">
      <c r="A218" s="3"/>
      <c r="B218" s="4"/>
      <c r="C218" s="4"/>
      <c r="E218" s="4"/>
      <c r="F218" s="5"/>
      <c r="G218" s="6"/>
      <c r="H218" s="6"/>
      <c r="I218" s="6"/>
      <c r="J218" s="6"/>
    </row>
    <row r="219" spans="1:10">
      <c r="A219" s="3"/>
      <c r="B219" s="4"/>
      <c r="C219" s="4"/>
      <c r="E219" s="4"/>
      <c r="F219" s="5"/>
      <c r="G219" s="6"/>
      <c r="H219" s="6"/>
      <c r="I219" s="6"/>
      <c r="J219" s="6"/>
    </row>
    <row r="220" spans="1:10">
      <c r="A220" s="3"/>
      <c r="B220" s="4"/>
      <c r="C220" s="4"/>
      <c r="E220" s="4"/>
      <c r="F220" s="5"/>
      <c r="G220" s="6"/>
      <c r="H220" s="6"/>
      <c r="I220" s="6"/>
      <c r="J220" s="6"/>
    </row>
    <row r="221" spans="1:10">
      <c r="A221" s="3"/>
      <c r="B221" s="4"/>
      <c r="C221" s="4"/>
      <c r="E221" s="4"/>
      <c r="F221" s="5"/>
      <c r="G221" s="6"/>
      <c r="H221" s="6"/>
      <c r="I221" s="6"/>
      <c r="J221" s="6"/>
    </row>
    <row r="222" spans="1:10">
      <c r="A222" s="3"/>
      <c r="B222" s="4"/>
      <c r="C222" s="4"/>
      <c r="E222" s="4"/>
      <c r="F222" s="5"/>
      <c r="G222" s="6"/>
      <c r="H222" s="6"/>
      <c r="I222" s="6"/>
      <c r="J222" s="6"/>
    </row>
    <row r="223" spans="1:10">
      <c r="A223" s="3"/>
      <c r="B223" s="4"/>
      <c r="C223" s="4"/>
      <c r="E223" s="4"/>
      <c r="F223" s="5"/>
      <c r="G223" s="6"/>
      <c r="H223" s="6"/>
      <c r="I223" s="6"/>
      <c r="J223" s="6"/>
    </row>
    <row r="224" spans="1:10">
      <c r="A224" s="3"/>
      <c r="B224" s="4"/>
      <c r="C224" s="4"/>
      <c r="E224" s="4"/>
      <c r="F224" s="5"/>
      <c r="G224" s="6"/>
      <c r="H224" s="6"/>
      <c r="I224" s="6"/>
      <c r="J224" s="6"/>
    </row>
    <row r="225" spans="1:10">
      <c r="A225" s="3"/>
      <c r="B225" s="4"/>
      <c r="C225" s="4"/>
      <c r="E225" s="4"/>
      <c r="F225" s="5"/>
      <c r="G225" s="6"/>
      <c r="H225" s="6"/>
      <c r="I225" s="6"/>
      <c r="J225" s="6"/>
    </row>
    <row r="226" spans="1:10">
      <c r="A226" s="3"/>
      <c r="B226" s="4"/>
      <c r="C226" s="4"/>
      <c r="E226" s="4"/>
      <c r="F226" s="5"/>
      <c r="G226" s="6"/>
      <c r="H226" s="6"/>
      <c r="I226" s="6"/>
      <c r="J226" s="6"/>
    </row>
    <row r="227" spans="1:10">
      <c r="A227" s="3"/>
      <c r="B227" s="4"/>
      <c r="C227" s="4"/>
      <c r="E227" s="4"/>
      <c r="F227" s="5"/>
      <c r="G227" s="6"/>
      <c r="H227" s="6"/>
      <c r="I227" s="6"/>
      <c r="J227" s="6"/>
    </row>
    <row r="228" spans="1:10">
      <c r="A228" s="3"/>
      <c r="B228" s="4"/>
      <c r="C228" s="4"/>
      <c r="E228" s="4"/>
      <c r="F228" s="5"/>
      <c r="G228" s="6"/>
      <c r="H228" s="6"/>
      <c r="I228" s="6"/>
      <c r="J228" s="6"/>
    </row>
    <row r="229" spans="1:10">
      <c r="A229" s="3"/>
      <c r="B229" s="4"/>
      <c r="C229" s="4"/>
      <c r="E229" s="4"/>
      <c r="F229" s="5"/>
      <c r="G229" s="6"/>
      <c r="H229" s="6"/>
      <c r="I229" s="6"/>
      <c r="J229" s="6"/>
    </row>
    <row r="230" spans="1:10">
      <c r="A230" s="3"/>
      <c r="B230" s="4"/>
      <c r="C230" s="4"/>
      <c r="E230" s="4"/>
      <c r="F230" s="5"/>
      <c r="G230" s="6"/>
      <c r="H230" s="6"/>
      <c r="I230" s="6"/>
      <c r="J230" s="6"/>
    </row>
    <row r="231" spans="1:10">
      <c r="A231" s="3"/>
      <c r="B231" s="4"/>
      <c r="C231" s="4"/>
      <c r="E231" s="4"/>
      <c r="F231" s="5"/>
      <c r="G231" s="6"/>
      <c r="H231" s="6"/>
      <c r="I231" s="6"/>
      <c r="J231" s="6"/>
    </row>
    <row r="232" spans="1:10">
      <c r="A232" s="3"/>
      <c r="B232" s="4"/>
      <c r="C232" s="4"/>
      <c r="E232" s="4"/>
      <c r="F232" s="5"/>
      <c r="G232" s="6"/>
      <c r="H232" s="6"/>
      <c r="I232" s="6"/>
      <c r="J232" s="6"/>
    </row>
    <row r="233" spans="1:10">
      <c r="A233" s="3"/>
      <c r="B233" s="4"/>
      <c r="C233" s="4"/>
      <c r="E233" s="4"/>
      <c r="F233" s="5"/>
      <c r="G233" s="6"/>
      <c r="H233" s="6"/>
      <c r="I233" s="6"/>
      <c r="J233" s="6"/>
    </row>
    <row r="234" spans="1:10">
      <c r="A234" s="3"/>
      <c r="B234" s="4"/>
      <c r="C234" s="4"/>
      <c r="E234" s="4"/>
      <c r="F234" s="5"/>
      <c r="G234" s="6"/>
      <c r="H234" s="6"/>
      <c r="I234" s="6"/>
      <c r="J234" s="6"/>
    </row>
    <row r="235" spans="1:10">
      <c r="A235" s="3"/>
      <c r="B235" s="4"/>
      <c r="C235" s="4"/>
      <c r="E235" s="4"/>
      <c r="F235" s="5"/>
      <c r="G235" s="6"/>
      <c r="H235" s="6"/>
      <c r="I235" s="6"/>
      <c r="J235" s="6"/>
    </row>
    <row r="236" spans="1:10">
      <c r="A236" s="3"/>
      <c r="B236" s="4"/>
      <c r="C236" s="4"/>
      <c r="E236" s="4"/>
      <c r="F236" s="5"/>
      <c r="G236" s="6"/>
      <c r="H236" s="6"/>
      <c r="I236" s="6"/>
      <c r="J236" s="6"/>
    </row>
    <row r="237" spans="1:10">
      <c r="A237" s="3"/>
      <c r="B237" s="4"/>
      <c r="C237" s="4"/>
      <c r="E237" s="4"/>
      <c r="F237" s="5"/>
      <c r="G237" s="6"/>
      <c r="H237" s="6"/>
      <c r="I237" s="6"/>
      <c r="J237" s="6"/>
    </row>
    <row r="238" spans="1:10">
      <c r="A238" s="3"/>
      <c r="B238" s="4"/>
      <c r="C238" s="4"/>
      <c r="E238" s="4"/>
      <c r="F238" s="5"/>
      <c r="G238" s="6"/>
      <c r="H238" s="6"/>
      <c r="I238" s="6"/>
      <c r="J238" s="6"/>
    </row>
    <row r="239" spans="1:10">
      <c r="A239" s="3"/>
      <c r="B239" s="4"/>
      <c r="C239" s="4"/>
      <c r="E239" s="4"/>
      <c r="F239" s="5"/>
      <c r="G239" s="6"/>
      <c r="H239" s="6"/>
      <c r="I239" s="6"/>
      <c r="J239" s="6"/>
    </row>
    <row r="240" spans="1:10">
      <c r="A240" s="3"/>
      <c r="B240" s="4"/>
      <c r="C240" s="4"/>
      <c r="E240" s="4"/>
      <c r="F240" s="5"/>
      <c r="G240" s="6"/>
      <c r="H240" s="6"/>
      <c r="I240" s="6"/>
      <c r="J240" s="6"/>
    </row>
    <row r="241" spans="1:10">
      <c r="A241" s="3"/>
      <c r="B241" s="4"/>
      <c r="C241" s="4"/>
      <c r="E241" s="4"/>
      <c r="F241" s="5"/>
      <c r="G241" s="6"/>
      <c r="H241" s="6"/>
      <c r="I241" s="6"/>
      <c r="J241" s="6"/>
    </row>
    <row r="242" spans="1:10">
      <c r="A242" s="3"/>
      <c r="B242" s="4"/>
      <c r="C242" s="4"/>
      <c r="E242" s="4"/>
      <c r="F242" s="5"/>
      <c r="G242" s="6"/>
      <c r="H242" s="6"/>
      <c r="I242" s="6"/>
      <c r="J242" s="6"/>
    </row>
    <row r="243" spans="1:10">
      <c r="A243" s="3"/>
      <c r="B243" s="4"/>
      <c r="C243" s="4"/>
      <c r="E243" s="4"/>
      <c r="F243" s="5"/>
      <c r="G243" s="6"/>
      <c r="H243" s="6"/>
      <c r="I243" s="6"/>
      <c r="J243" s="6"/>
    </row>
    <row r="244" spans="1:10">
      <c r="A244" s="3"/>
      <c r="B244" s="4"/>
      <c r="C244" s="4"/>
      <c r="E244" s="4"/>
      <c r="F244" s="5"/>
      <c r="G244" s="6"/>
      <c r="H244" s="6"/>
      <c r="I244" s="6"/>
      <c r="J244" s="6"/>
    </row>
    <row r="245" spans="1:10">
      <c r="A245" s="3"/>
      <c r="B245" s="4"/>
      <c r="C245" s="4"/>
      <c r="E245" s="4"/>
      <c r="F245" s="5"/>
      <c r="G245" s="6"/>
      <c r="H245" s="6"/>
      <c r="I245" s="6"/>
      <c r="J245" s="6"/>
    </row>
    <row r="246" spans="1:10">
      <c r="A246" s="3"/>
      <c r="B246" s="4"/>
      <c r="C246" s="4"/>
      <c r="E246" s="4"/>
      <c r="F246" s="5"/>
      <c r="G246" s="6"/>
      <c r="H246" s="6"/>
      <c r="I246" s="6"/>
      <c r="J246" s="6"/>
    </row>
    <row r="247" spans="1:10">
      <c r="A247" s="3"/>
      <c r="B247" s="4"/>
      <c r="C247" s="4"/>
      <c r="E247" s="4"/>
      <c r="F247" s="5"/>
      <c r="G247" s="6"/>
      <c r="H247" s="6"/>
      <c r="I247" s="6"/>
      <c r="J247" s="6"/>
    </row>
    <row r="248" spans="1:10">
      <c r="A248" s="3"/>
      <c r="B248" s="4"/>
      <c r="C248" s="4"/>
      <c r="E248" s="4"/>
      <c r="F248" s="5"/>
      <c r="G248" s="6"/>
      <c r="H248" s="6"/>
      <c r="I248" s="6"/>
      <c r="J248" s="6"/>
    </row>
    <row r="249" spans="1:10">
      <c r="A249" s="3"/>
      <c r="B249" s="4"/>
      <c r="C249" s="4"/>
      <c r="E249" s="4"/>
      <c r="F249" s="5"/>
      <c r="G249" s="6"/>
      <c r="H249" s="6"/>
      <c r="I249" s="6"/>
      <c r="J249" s="6"/>
    </row>
    <row r="250" spans="1:10">
      <c r="A250" s="3"/>
      <c r="B250" s="4"/>
      <c r="C250" s="4"/>
      <c r="E250" s="4"/>
      <c r="F250" s="5"/>
      <c r="G250" s="6"/>
      <c r="H250" s="6"/>
      <c r="I250" s="6"/>
      <c r="J250" s="6"/>
    </row>
    <row r="251" spans="1:10">
      <c r="A251" s="3"/>
      <c r="B251" s="4"/>
      <c r="C251" s="4"/>
      <c r="E251" s="4"/>
      <c r="F251" s="5"/>
      <c r="G251" s="6"/>
      <c r="H251" s="6"/>
      <c r="I251" s="6"/>
      <c r="J251" s="6"/>
    </row>
    <row r="252" spans="1:10">
      <c r="A252" s="3"/>
      <c r="B252" s="4"/>
      <c r="C252" s="4"/>
      <c r="E252" s="4"/>
      <c r="F252" s="5"/>
      <c r="G252" s="6"/>
      <c r="H252" s="6"/>
      <c r="I252" s="6"/>
      <c r="J252" s="6"/>
    </row>
    <row r="253" spans="1:10">
      <c r="A253" s="3"/>
      <c r="B253" s="4"/>
      <c r="C253" s="4"/>
      <c r="E253" s="4"/>
      <c r="F253" s="5"/>
      <c r="G253" s="6"/>
      <c r="H253" s="6"/>
      <c r="I253" s="6"/>
      <c r="J253" s="6"/>
    </row>
    <row r="254" spans="1:10">
      <c r="A254" s="3"/>
      <c r="B254" s="4"/>
      <c r="C254" s="4"/>
      <c r="E254" s="4"/>
      <c r="F254" s="5"/>
      <c r="G254" s="6"/>
      <c r="H254" s="6"/>
      <c r="I254" s="6"/>
      <c r="J254" s="6"/>
    </row>
    <row r="255" spans="1:10">
      <c r="A255" s="3"/>
      <c r="B255" s="4"/>
      <c r="C255" s="4"/>
      <c r="E255" s="4"/>
      <c r="F255" s="5"/>
      <c r="G255" s="6"/>
      <c r="H255" s="6"/>
      <c r="I255" s="6"/>
      <c r="J255" s="6"/>
    </row>
    <row r="256" spans="1:10">
      <c r="A256" s="3"/>
      <c r="B256" s="4"/>
      <c r="C256" s="4"/>
      <c r="E256" s="4"/>
      <c r="F256" s="5"/>
      <c r="G256" s="6"/>
      <c r="H256" s="6"/>
      <c r="I256" s="6"/>
      <c r="J256" s="6"/>
    </row>
    <row r="257" spans="1:10">
      <c r="A257" s="3"/>
      <c r="B257" s="4"/>
      <c r="C257" s="4"/>
      <c r="E257" s="4"/>
      <c r="F257" s="5"/>
      <c r="G257" s="6"/>
      <c r="H257" s="6"/>
      <c r="I257" s="6"/>
      <c r="J257" s="6"/>
    </row>
    <row r="258" spans="1:10">
      <c r="A258" s="3"/>
      <c r="B258" s="4"/>
      <c r="C258" s="4"/>
      <c r="E258" s="4"/>
      <c r="F258" s="5"/>
      <c r="G258" s="6"/>
      <c r="H258" s="6"/>
      <c r="I258" s="6"/>
      <c r="J258" s="6"/>
    </row>
    <row r="259" spans="1:10">
      <c r="A259" s="3"/>
      <c r="B259" s="4"/>
      <c r="C259" s="4"/>
      <c r="E259" s="4"/>
      <c r="F259" s="5"/>
      <c r="G259" s="6"/>
      <c r="H259" s="6"/>
      <c r="I259" s="6"/>
      <c r="J259" s="6"/>
    </row>
    <row r="260" spans="1:10">
      <c r="A260" s="3"/>
      <c r="B260" s="4"/>
      <c r="C260" s="4"/>
      <c r="E260" s="4"/>
      <c r="F260" s="5"/>
      <c r="G260" s="6"/>
      <c r="H260" s="6"/>
      <c r="I260" s="6"/>
      <c r="J260" s="6"/>
    </row>
    <row r="261" spans="1:10">
      <c r="A261" s="3"/>
      <c r="B261" s="4"/>
      <c r="C261" s="4"/>
      <c r="E261" s="4"/>
      <c r="F261" s="5"/>
      <c r="G261" s="6"/>
      <c r="H261" s="6"/>
      <c r="I261" s="6"/>
      <c r="J261" s="6"/>
    </row>
    <row r="262" spans="1:10">
      <c r="A262" s="3"/>
      <c r="B262" s="4"/>
      <c r="C262" s="4"/>
      <c r="E262" s="4"/>
      <c r="F262" s="5"/>
      <c r="G262" s="6"/>
      <c r="H262" s="6"/>
      <c r="I262" s="6"/>
      <c r="J262" s="6"/>
    </row>
    <row r="263" spans="1:10">
      <c r="A263" s="3"/>
      <c r="B263" s="4"/>
      <c r="C263" s="4"/>
      <c r="E263" s="4"/>
      <c r="F263" s="5"/>
      <c r="G263" s="6"/>
      <c r="H263" s="6"/>
      <c r="I263" s="6"/>
      <c r="J263" s="6"/>
    </row>
    <row r="264" spans="1:10">
      <c r="A264" s="3"/>
      <c r="B264" s="4"/>
      <c r="C264" s="4"/>
      <c r="E264" s="4"/>
      <c r="F264" s="5"/>
      <c r="G264" s="6"/>
      <c r="H264" s="6"/>
      <c r="I264" s="6"/>
      <c r="J264" s="6"/>
    </row>
    <row r="265" spans="1:10">
      <c r="A265" s="3"/>
      <c r="B265" s="4"/>
      <c r="C265" s="4"/>
      <c r="E265" s="4"/>
      <c r="F265" s="5"/>
      <c r="G265" s="6"/>
      <c r="H265" s="6"/>
      <c r="I265" s="6"/>
      <c r="J265" s="6"/>
    </row>
    <row r="266" spans="1:10">
      <c r="A266" s="3"/>
      <c r="B266" s="4"/>
      <c r="C266" s="4"/>
      <c r="E266" s="4"/>
      <c r="F266" s="5"/>
      <c r="G266" s="6"/>
      <c r="H266" s="6"/>
      <c r="I266" s="6"/>
      <c r="J266" s="6"/>
    </row>
    <row r="267" spans="1:10">
      <c r="A267" s="3"/>
      <c r="B267" s="4"/>
      <c r="C267" s="4"/>
      <c r="E267" s="4"/>
      <c r="F267" s="5"/>
      <c r="G267" s="6"/>
      <c r="H267" s="6"/>
      <c r="I267" s="6"/>
      <c r="J267" s="6"/>
    </row>
    <row r="268" spans="1:10">
      <c r="A268" s="3"/>
      <c r="B268" s="4"/>
      <c r="C268" s="4"/>
      <c r="E268" s="4"/>
      <c r="F268" s="5"/>
      <c r="G268" s="6"/>
      <c r="H268" s="6"/>
      <c r="I268" s="6"/>
      <c r="J268" s="6"/>
    </row>
    <row r="269" spans="1:10">
      <c r="A269" s="3"/>
      <c r="B269" s="4"/>
      <c r="C269" s="4"/>
      <c r="E269" s="4"/>
      <c r="F269" s="5"/>
      <c r="G269" s="6"/>
      <c r="H269" s="6"/>
      <c r="I269" s="6"/>
      <c r="J269" s="6"/>
    </row>
    <row r="270" spans="1:10">
      <c r="A270" s="3"/>
      <c r="B270" s="4"/>
      <c r="C270" s="4"/>
      <c r="E270" s="4"/>
      <c r="F270" s="5"/>
      <c r="G270" s="6"/>
      <c r="H270" s="6"/>
      <c r="I270" s="6"/>
      <c r="J270" s="6"/>
    </row>
    <row r="271" spans="1:10">
      <c r="A271" s="3"/>
      <c r="B271" s="4"/>
      <c r="C271" s="4"/>
      <c r="E271" s="4"/>
      <c r="F271" s="5"/>
      <c r="G271" s="6"/>
      <c r="H271" s="6"/>
      <c r="I271" s="6"/>
      <c r="J271" s="6"/>
    </row>
    <row r="272" spans="1:10">
      <c r="A272" s="3"/>
      <c r="B272" s="4"/>
      <c r="C272" s="4"/>
      <c r="E272" s="4"/>
      <c r="F272" s="5"/>
      <c r="G272" s="6"/>
      <c r="H272" s="6"/>
      <c r="I272" s="6"/>
      <c r="J272" s="6"/>
    </row>
    <row r="273" spans="1:10">
      <c r="A273" s="3"/>
      <c r="B273" s="4"/>
      <c r="C273" s="4"/>
      <c r="E273" s="4"/>
      <c r="F273" s="5"/>
      <c r="G273" s="6"/>
      <c r="H273" s="6"/>
      <c r="I273" s="6"/>
      <c r="J273" s="6"/>
    </row>
    <row r="274" spans="1:10">
      <c r="A274" s="3"/>
      <c r="B274" s="4"/>
      <c r="C274" s="4"/>
      <c r="E274" s="4"/>
      <c r="F274" s="5"/>
      <c r="G274" s="6"/>
      <c r="H274" s="6"/>
      <c r="I274" s="6"/>
      <c r="J274" s="6"/>
    </row>
    <row r="275" spans="1:10">
      <c r="A275" s="3"/>
      <c r="B275" s="4"/>
      <c r="C275" s="4"/>
      <c r="E275" s="4"/>
      <c r="F275" s="5"/>
      <c r="G275" s="6"/>
      <c r="H275" s="6"/>
      <c r="I275" s="6"/>
      <c r="J275" s="6"/>
    </row>
    <row r="276" spans="1:10">
      <c r="A276" s="3"/>
      <c r="B276" s="4"/>
      <c r="C276" s="4"/>
      <c r="E276" s="4"/>
      <c r="F276" s="5"/>
      <c r="G276" s="6"/>
      <c r="H276" s="6"/>
      <c r="I276" s="6"/>
      <c r="J276" s="6"/>
    </row>
    <row r="277" spans="1:10">
      <c r="A277" s="3"/>
      <c r="B277" s="4"/>
      <c r="C277" s="4"/>
      <c r="E277" s="4"/>
      <c r="F277" s="5"/>
      <c r="G277" s="6"/>
      <c r="H277" s="6"/>
      <c r="I277" s="6"/>
      <c r="J277" s="6"/>
    </row>
    <row r="278" spans="1:10">
      <c r="A278" s="3"/>
      <c r="B278" s="4"/>
      <c r="C278" s="4"/>
      <c r="E278" s="4"/>
      <c r="F278" s="5"/>
      <c r="G278" s="6"/>
      <c r="H278" s="6"/>
      <c r="I278" s="6"/>
      <c r="J278" s="6"/>
    </row>
    <row r="279" spans="1:10">
      <c r="A279" s="3"/>
      <c r="B279" s="4"/>
      <c r="C279" s="4"/>
      <c r="E279" s="4"/>
      <c r="F279" s="5"/>
      <c r="G279" s="6"/>
      <c r="H279" s="6"/>
      <c r="I279" s="6"/>
      <c r="J279" s="6"/>
    </row>
    <row r="280" spans="1:10">
      <c r="A280" s="3"/>
      <c r="B280" s="4"/>
      <c r="C280" s="4"/>
      <c r="E280" s="4"/>
      <c r="F280" s="5"/>
      <c r="G280" s="6"/>
      <c r="H280" s="6"/>
      <c r="I280" s="6"/>
      <c r="J280" s="6"/>
    </row>
    <row r="281" spans="1:10">
      <c r="A281" s="3"/>
      <c r="B281" s="4"/>
      <c r="C281" s="4"/>
      <c r="E281" s="4"/>
      <c r="F281" s="5"/>
      <c r="G281" s="6"/>
      <c r="H281" s="6"/>
      <c r="I281" s="6"/>
      <c r="J281" s="6"/>
    </row>
    <row r="282" spans="1:10">
      <c r="A282" s="3"/>
      <c r="B282" s="4"/>
      <c r="C282" s="4"/>
      <c r="E282" s="4"/>
      <c r="F282" s="5"/>
      <c r="G282" s="6"/>
      <c r="H282" s="6"/>
      <c r="I282" s="6"/>
      <c r="J282" s="6"/>
    </row>
    <row r="283" spans="1:10">
      <c r="A283" s="3"/>
      <c r="B283" s="4"/>
      <c r="C283" s="4"/>
      <c r="E283" s="4"/>
      <c r="F283" s="5"/>
      <c r="G283" s="6"/>
      <c r="H283" s="6"/>
      <c r="I283" s="6"/>
      <c r="J283" s="6"/>
    </row>
    <row r="284" spans="1:10">
      <c r="A284" s="3"/>
      <c r="B284" s="4"/>
      <c r="C284" s="4"/>
      <c r="E284" s="4"/>
      <c r="F284" s="5"/>
      <c r="G284" s="6"/>
      <c r="H284" s="6"/>
      <c r="I284" s="6"/>
      <c r="J284" s="6"/>
    </row>
    <row r="285" spans="1:10">
      <c r="A285" s="3"/>
      <c r="B285" s="4"/>
      <c r="C285" s="4"/>
      <c r="E285" s="4"/>
      <c r="F285" s="5"/>
      <c r="G285" s="6"/>
      <c r="H285" s="6"/>
      <c r="I285" s="6"/>
      <c r="J285" s="6"/>
    </row>
    <row r="286" spans="1:10">
      <c r="A286" s="3"/>
      <c r="B286" s="4"/>
      <c r="C286" s="4"/>
      <c r="E286" s="4"/>
      <c r="F286" s="5"/>
      <c r="G286" s="6"/>
      <c r="H286" s="6"/>
      <c r="I286" s="6"/>
      <c r="J286" s="6"/>
    </row>
    <row r="287" spans="1:10">
      <c r="A287" s="3"/>
      <c r="B287" s="4"/>
      <c r="C287" s="4"/>
      <c r="E287" s="4"/>
      <c r="F287" s="5"/>
      <c r="G287" s="6"/>
      <c r="H287" s="6"/>
      <c r="I287" s="6"/>
      <c r="J287" s="6"/>
    </row>
    <row r="288" spans="1:10">
      <c r="A288" s="3"/>
      <c r="B288" s="4"/>
      <c r="C288" s="4"/>
      <c r="E288" s="4"/>
      <c r="F288" s="5"/>
      <c r="G288" s="6"/>
      <c r="H288" s="6"/>
      <c r="I288" s="6"/>
      <c r="J288" s="6"/>
    </row>
    <row r="289" spans="1:10">
      <c r="A289" s="3"/>
      <c r="B289" s="4"/>
      <c r="C289" s="4"/>
      <c r="E289" s="4"/>
      <c r="F289" s="5"/>
      <c r="G289" s="6"/>
      <c r="H289" s="6"/>
      <c r="I289" s="6"/>
      <c r="J289" s="6"/>
    </row>
    <row r="290" spans="1:10">
      <c r="A290" s="3"/>
      <c r="B290" s="4"/>
      <c r="C290" s="4"/>
      <c r="E290" s="4"/>
      <c r="F290" s="5"/>
      <c r="G290" s="6"/>
      <c r="H290" s="6"/>
      <c r="I290" s="6"/>
      <c r="J290" s="6"/>
    </row>
    <row r="291" spans="1:10">
      <c r="A291" s="3"/>
      <c r="B291" s="4"/>
      <c r="C291" s="4"/>
      <c r="E291" s="4"/>
      <c r="F291" s="5"/>
      <c r="G291" s="6"/>
      <c r="H291" s="6"/>
      <c r="I291" s="6"/>
      <c r="J291" s="6"/>
    </row>
    <row r="292" spans="1:10">
      <c r="A292" s="3"/>
      <c r="B292" s="4"/>
      <c r="C292" s="4"/>
      <c r="E292" s="4"/>
      <c r="F292" s="5"/>
      <c r="G292" s="6"/>
      <c r="H292" s="6"/>
      <c r="I292" s="6"/>
      <c r="J292" s="6"/>
    </row>
    <row r="293" spans="1:10">
      <c r="A293" s="3"/>
      <c r="B293" s="4"/>
      <c r="C293" s="4"/>
      <c r="E293" s="4"/>
      <c r="F293" s="5"/>
      <c r="G293" s="6"/>
      <c r="H293" s="6"/>
      <c r="I293" s="6"/>
      <c r="J293" s="6"/>
    </row>
    <row r="294" spans="1:10">
      <c r="A294" s="3"/>
      <c r="B294" s="4"/>
      <c r="C294" s="4"/>
      <c r="E294" s="4"/>
      <c r="F294" s="5"/>
      <c r="G294" s="6"/>
      <c r="H294" s="6"/>
      <c r="I294" s="6"/>
      <c r="J294" s="6"/>
    </row>
    <row r="295" spans="1:10">
      <c r="A295" s="3"/>
      <c r="B295" s="4"/>
      <c r="C295" s="4"/>
      <c r="E295" s="4"/>
      <c r="F295" s="5"/>
      <c r="G295" s="6"/>
      <c r="H295" s="6"/>
      <c r="I295" s="6"/>
      <c r="J295" s="6"/>
    </row>
    <row r="296" spans="1:10">
      <c r="A296" s="3"/>
      <c r="B296" s="4"/>
      <c r="C296" s="4"/>
      <c r="E296" s="4"/>
      <c r="F296" s="5"/>
      <c r="G296" s="6"/>
      <c r="H296" s="6"/>
      <c r="I296" s="6"/>
      <c r="J296" s="6"/>
    </row>
    <row r="297" spans="1:10">
      <c r="A297" s="3"/>
      <c r="B297" s="4"/>
      <c r="C297" s="4"/>
      <c r="E297" s="4"/>
      <c r="F297" s="5"/>
      <c r="G297" s="6"/>
      <c r="H297" s="6"/>
      <c r="I297" s="6"/>
      <c r="J297" s="6"/>
    </row>
    <row r="298" spans="1:10">
      <c r="A298" s="3"/>
      <c r="B298" s="4"/>
      <c r="C298" s="4"/>
      <c r="E298" s="4"/>
      <c r="F298" s="5"/>
      <c r="G298" s="6"/>
      <c r="H298" s="6"/>
      <c r="I298" s="6"/>
      <c r="J298" s="6"/>
    </row>
    <row r="299" spans="1:10">
      <c r="A299" s="3"/>
      <c r="B299" s="4"/>
      <c r="C299" s="4"/>
      <c r="E299" s="4"/>
      <c r="F299" s="5"/>
      <c r="G299" s="6"/>
      <c r="H299" s="6"/>
      <c r="I299" s="6"/>
      <c r="J299" s="6"/>
    </row>
    <row r="300" spans="1:10">
      <c r="A300" s="3"/>
      <c r="B300" s="4"/>
      <c r="C300" s="4"/>
      <c r="E300" s="4"/>
      <c r="F300" s="5"/>
      <c r="G300" s="6"/>
      <c r="H300" s="6"/>
      <c r="I300" s="6"/>
      <c r="J300" s="6"/>
    </row>
    <row r="301" spans="1:10">
      <c r="A301" s="3"/>
      <c r="B301" s="4"/>
      <c r="C301" s="4"/>
      <c r="E301" s="4"/>
      <c r="F301" s="5"/>
      <c r="G301" s="6"/>
      <c r="H301" s="6"/>
      <c r="I301" s="6"/>
      <c r="J301" s="6"/>
    </row>
    <row r="302" spans="1:10">
      <c r="A302" s="3"/>
      <c r="B302" s="4"/>
      <c r="C302" s="4"/>
      <c r="E302" s="4"/>
      <c r="F302" s="5"/>
      <c r="G302" s="6"/>
      <c r="H302" s="6"/>
      <c r="I302" s="6"/>
      <c r="J302" s="6"/>
    </row>
    <row r="303" spans="1:10">
      <c r="A303" s="3"/>
      <c r="B303" s="4"/>
      <c r="C303" s="4"/>
      <c r="E303" s="4"/>
      <c r="F303" s="5"/>
      <c r="G303" s="6"/>
      <c r="H303" s="6"/>
      <c r="I303" s="6"/>
      <c r="J303" s="6"/>
    </row>
    <row r="304" spans="1:10">
      <c r="A304" s="3"/>
      <c r="B304" s="4"/>
      <c r="C304" s="4"/>
      <c r="E304" s="4"/>
      <c r="F304" s="5"/>
      <c r="G304" s="6"/>
      <c r="H304" s="6"/>
      <c r="I304" s="6"/>
      <c r="J304" s="6"/>
    </row>
    <row r="305" spans="1:10">
      <c r="A305" s="3"/>
      <c r="B305" s="4"/>
      <c r="C305" s="4"/>
      <c r="E305" s="4"/>
      <c r="F305" s="5"/>
      <c r="G305" s="6"/>
      <c r="H305" s="6"/>
      <c r="I305" s="6"/>
      <c r="J305" s="6"/>
    </row>
    <row r="306" spans="1:10">
      <c r="A306" s="3"/>
      <c r="B306" s="4"/>
      <c r="C306" s="4"/>
      <c r="E306" s="4"/>
      <c r="F306" s="5"/>
      <c r="G306" s="6"/>
      <c r="H306" s="6"/>
      <c r="I306" s="6"/>
      <c r="J306" s="6"/>
    </row>
    <row r="307" spans="1:10">
      <c r="A307" s="3"/>
      <c r="B307" s="4"/>
      <c r="C307" s="4"/>
      <c r="E307" s="4"/>
      <c r="F307" s="5"/>
      <c r="G307" s="6"/>
      <c r="H307" s="6"/>
      <c r="I307" s="6"/>
      <c r="J307" s="6"/>
    </row>
    <row r="308" spans="1:10">
      <c r="A308" s="3"/>
      <c r="B308" s="4"/>
      <c r="C308" s="4"/>
      <c r="E308" s="4"/>
      <c r="F308" s="5"/>
      <c r="G308" s="6"/>
      <c r="H308" s="6"/>
      <c r="I308" s="6"/>
      <c r="J308" s="6"/>
    </row>
    <row r="309" spans="1:10">
      <c r="A309" s="3"/>
      <c r="B309" s="4"/>
      <c r="C309" s="4"/>
      <c r="E309" s="4"/>
      <c r="F309" s="5"/>
      <c r="G309" s="6"/>
      <c r="H309" s="6"/>
      <c r="I309" s="6"/>
      <c r="J309" s="6"/>
    </row>
    <row r="310" spans="1:10">
      <c r="A310" s="3"/>
      <c r="B310" s="4"/>
      <c r="C310" s="4"/>
      <c r="E310" s="4"/>
      <c r="F310" s="5"/>
      <c r="G310" s="6"/>
      <c r="H310" s="6"/>
      <c r="I310" s="6"/>
      <c r="J310" s="6"/>
    </row>
    <row r="311" spans="1:10">
      <c r="A311" s="3"/>
      <c r="B311" s="4"/>
      <c r="C311" s="4"/>
      <c r="E311" s="4"/>
      <c r="F311" s="5"/>
      <c r="G311" s="6"/>
      <c r="H311" s="6"/>
      <c r="I311" s="6"/>
      <c r="J311" s="6"/>
    </row>
    <row r="312" spans="1:10">
      <c r="A312" s="3"/>
      <c r="B312" s="4"/>
      <c r="C312" s="4"/>
      <c r="E312" s="4"/>
      <c r="F312" s="5"/>
      <c r="G312" s="6"/>
      <c r="H312" s="6"/>
      <c r="I312" s="6"/>
      <c r="J312" s="6"/>
    </row>
    <row r="313" spans="1:10">
      <c r="A313" s="3"/>
      <c r="B313" s="4"/>
      <c r="C313" s="4"/>
      <c r="E313" s="4"/>
      <c r="F313" s="5"/>
      <c r="G313" s="6"/>
      <c r="H313" s="6"/>
      <c r="I313" s="6"/>
      <c r="J313" s="6"/>
    </row>
    <row r="314" spans="1:10">
      <c r="A314" s="3"/>
      <c r="B314" s="4"/>
      <c r="C314" s="4"/>
      <c r="E314" s="4"/>
      <c r="F314" s="5"/>
      <c r="G314" s="6"/>
      <c r="H314" s="6"/>
      <c r="I314" s="6"/>
      <c r="J314" s="6"/>
    </row>
    <row r="315" spans="1:10">
      <c r="A315" s="3"/>
      <c r="B315" s="4"/>
      <c r="C315" s="4"/>
      <c r="E315" s="4"/>
      <c r="F315" s="5"/>
      <c r="G315" s="6"/>
      <c r="H315" s="6"/>
      <c r="I315" s="6"/>
      <c r="J315" s="6"/>
    </row>
    <row r="316" spans="1:10">
      <c r="A316" s="3"/>
      <c r="B316" s="4"/>
      <c r="C316" s="4"/>
      <c r="E316" s="4"/>
      <c r="F316" s="5"/>
      <c r="G316" s="6"/>
      <c r="H316" s="6"/>
      <c r="I316" s="6"/>
      <c r="J316" s="6"/>
    </row>
    <row r="317" spans="1:10">
      <c r="A317" s="3"/>
      <c r="B317" s="4"/>
      <c r="C317" s="4"/>
      <c r="E317" s="4"/>
      <c r="F317" s="5"/>
      <c r="G317" s="6"/>
      <c r="H317" s="6"/>
      <c r="I317" s="6"/>
      <c r="J317" s="6"/>
    </row>
    <row r="318" spans="1:10">
      <c r="A318" s="3"/>
      <c r="B318" s="4"/>
      <c r="C318" s="4"/>
      <c r="E318" s="4"/>
      <c r="F318" s="5"/>
      <c r="G318" s="6"/>
      <c r="H318" s="6"/>
      <c r="I318" s="6"/>
      <c r="J318" s="6"/>
    </row>
    <row r="319" spans="1:10">
      <c r="A319" s="3"/>
      <c r="B319" s="4"/>
      <c r="C319" s="4"/>
      <c r="E319" s="4"/>
      <c r="F319" s="5"/>
      <c r="G319" s="6"/>
      <c r="H319" s="6"/>
      <c r="I319" s="6"/>
      <c r="J319" s="6"/>
    </row>
    <row r="320" spans="1:10">
      <c r="A320" s="3"/>
      <c r="B320" s="4"/>
      <c r="C320" s="4"/>
      <c r="E320" s="4"/>
      <c r="F320" s="5"/>
      <c r="G320" s="6"/>
      <c r="H320" s="6"/>
      <c r="I320" s="6"/>
      <c r="J320" s="6"/>
    </row>
    <row r="321" spans="1:10">
      <c r="A321" s="3"/>
      <c r="B321" s="4"/>
      <c r="C321" s="4"/>
      <c r="E321" s="4"/>
      <c r="F321" s="5"/>
      <c r="G321" s="6"/>
      <c r="H321" s="6"/>
      <c r="I321" s="6"/>
      <c r="J321" s="6"/>
    </row>
    <row r="322" spans="1:10">
      <c r="A322" s="3"/>
      <c r="B322" s="4"/>
      <c r="C322" s="4"/>
      <c r="E322" s="4"/>
      <c r="F322" s="5"/>
      <c r="G322" s="6"/>
      <c r="H322" s="6"/>
      <c r="I322" s="6"/>
      <c r="J322" s="6"/>
    </row>
    <row r="323" spans="1:10">
      <c r="A323" s="3"/>
      <c r="B323" s="4"/>
      <c r="C323" s="4"/>
      <c r="E323" s="4"/>
      <c r="F323" s="5"/>
      <c r="G323" s="6"/>
      <c r="H323" s="6"/>
      <c r="I323" s="6"/>
      <c r="J323" s="6"/>
    </row>
    <row r="324" spans="1:10">
      <c r="A324" s="3"/>
      <c r="B324" s="4"/>
      <c r="C324" s="4"/>
      <c r="E324" s="4"/>
      <c r="F324" s="5"/>
      <c r="G324" s="6"/>
      <c r="H324" s="6"/>
      <c r="I324" s="6"/>
      <c r="J324" s="6"/>
    </row>
    <row r="325" spans="1:10">
      <c r="A325" s="3"/>
      <c r="B325" s="4"/>
      <c r="C325" s="4"/>
      <c r="E325" s="4"/>
      <c r="F325" s="5"/>
      <c r="G325" s="6"/>
      <c r="H325" s="6"/>
      <c r="I325" s="6"/>
      <c r="J325" s="6"/>
    </row>
    <row r="326" spans="1:10">
      <c r="A326" s="3"/>
      <c r="B326" s="4"/>
      <c r="C326" s="4"/>
      <c r="E326" s="4"/>
      <c r="F326" s="5"/>
      <c r="G326" s="6"/>
      <c r="H326" s="6"/>
      <c r="I326" s="6"/>
      <c r="J326" s="6"/>
    </row>
    <row r="327" spans="1:10">
      <c r="A327" s="3"/>
      <c r="B327" s="4"/>
      <c r="C327" s="4"/>
      <c r="E327" s="4"/>
      <c r="F327" s="5"/>
      <c r="G327" s="6"/>
      <c r="H327" s="6"/>
      <c r="I327" s="6"/>
      <c r="J327" s="6"/>
    </row>
    <row r="328" spans="1:10">
      <c r="A328" s="3"/>
      <c r="B328" s="4"/>
      <c r="C328" s="4"/>
      <c r="E328" s="4"/>
      <c r="F328" s="5"/>
      <c r="G328" s="6"/>
      <c r="H328" s="6"/>
      <c r="I328" s="6"/>
      <c r="J328" s="6"/>
    </row>
    <row r="329" spans="1:10">
      <c r="A329" s="3"/>
      <c r="B329" s="4"/>
      <c r="C329" s="4"/>
      <c r="E329" s="4"/>
      <c r="F329" s="5"/>
      <c r="G329" s="6"/>
      <c r="H329" s="6"/>
      <c r="I329" s="6"/>
      <c r="J329" s="6"/>
    </row>
    <row r="330" spans="1:10">
      <c r="A330" s="3"/>
      <c r="B330" s="4"/>
      <c r="C330" s="4"/>
      <c r="E330" s="4"/>
      <c r="F330" s="5"/>
      <c r="G330" s="6"/>
      <c r="H330" s="6"/>
      <c r="I330" s="6"/>
      <c r="J330" s="6"/>
    </row>
    <row r="331" spans="1:10">
      <c r="A331" s="3"/>
      <c r="B331" s="4"/>
      <c r="C331" s="4"/>
      <c r="E331" s="4"/>
      <c r="F331" s="5"/>
      <c r="G331" s="6"/>
      <c r="H331" s="6"/>
      <c r="I331" s="6"/>
      <c r="J331" s="6"/>
    </row>
    <row r="332" spans="1:10">
      <c r="A332" s="3"/>
      <c r="B332" s="4"/>
      <c r="C332" s="4"/>
      <c r="E332" s="4"/>
      <c r="F332" s="5"/>
      <c r="G332" s="6"/>
      <c r="H332" s="6"/>
      <c r="I332" s="6"/>
      <c r="J332" s="6"/>
    </row>
    <row r="333" spans="1:10">
      <c r="A333" s="3"/>
      <c r="B333" s="4"/>
      <c r="C333" s="4"/>
      <c r="E333" s="4"/>
      <c r="F333" s="5"/>
      <c r="G333" s="6"/>
      <c r="H333" s="6"/>
      <c r="I333" s="6"/>
      <c r="J333" s="6"/>
    </row>
    <row r="334" spans="1:10">
      <c r="A334" s="3"/>
      <c r="B334" s="4"/>
      <c r="C334" s="4"/>
      <c r="E334" s="4"/>
      <c r="F334" s="5"/>
      <c r="G334" s="6"/>
      <c r="H334" s="6"/>
      <c r="I334" s="6"/>
      <c r="J334" s="6"/>
    </row>
    <row r="335" spans="1:10">
      <c r="A335" s="3"/>
      <c r="B335" s="4"/>
      <c r="C335" s="4"/>
      <c r="E335" s="4"/>
      <c r="F335" s="5"/>
      <c r="G335" s="6"/>
      <c r="H335" s="6"/>
      <c r="I335" s="6"/>
      <c r="J335" s="6"/>
    </row>
    <row r="336" spans="1:10">
      <c r="A336" s="3"/>
      <c r="B336" s="4"/>
      <c r="C336" s="4"/>
      <c r="E336" s="4"/>
      <c r="F336" s="5"/>
      <c r="G336" s="6"/>
      <c r="H336" s="6"/>
      <c r="I336" s="6"/>
      <c r="J336" s="6"/>
    </row>
    <row r="337" spans="1:10">
      <c r="A337" s="3"/>
      <c r="B337" s="4"/>
      <c r="C337" s="4"/>
      <c r="E337" s="4"/>
      <c r="F337" s="5"/>
      <c r="G337" s="6"/>
      <c r="H337" s="6"/>
      <c r="I337" s="6"/>
      <c r="J337" s="6"/>
    </row>
    <row r="338" spans="1:10">
      <c r="A338" s="3"/>
      <c r="B338" s="4"/>
      <c r="C338" s="4"/>
      <c r="E338" s="4"/>
      <c r="F338" s="5"/>
      <c r="G338" s="6"/>
      <c r="H338" s="6"/>
      <c r="I338" s="6"/>
      <c r="J338" s="6"/>
    </row>
    <row r="339" spans="1:10">
      <c r="A339" s="3"/>
      <c r="B339" s="4"/>
      <c r="C339" s="4"/>
      <c r="E339" s="4"/>
      <c r="F339" s="5"/>
      <c r="G339" s="6"/>
      <c r="H339" s="6"/>
      <c r="I339" s="6"/>
      <c r="J339" s="6"/>
    </row>
    <row r="340" spans="1:10">
      <c r="A340" s="3"/>
      <c r="B340" s="4"/>
      <c r="C340" s="4"/>
      <c r="E340" s="4"/>
      <c r="F340" s="5"/>
      <c r="G340" s="6"/>
      <c r="H340" s="6"/>
      <c r="I340" s="6"/>
      <c r="J340" s="6"/>
    </row>
    <row r="341" spans="1:10">
      <c r="A341" s="3"/>
      <c r="B341" s="4"/>
      <c r="C341" s="4"/>
      <c r="E341" s="4"/>
      <c r="F341" s="5"/>
      <c r="G341" s="6"/>
      <c r="H341" s="6"/>
      <c r="I341" s="6"/>
      <c r="J341" s="6"/>
    </row>
    <row r="342" spans="1:10">
      <c r="A342" s="3"/>
      <c r="B342" s="4"/>
      <c r="C342" s="4"/>
      <c r="E342" s="4"/>
      <c r="F342" s="5"/>
      <c r="G342" s="6"/>
      <c r="H342" s="6"/>
      <c r="I342" s="6"/>
      <c r="J342" s="6"/>
    </row>
    <row r="343" spans="1:10">
      <c r="A343" s="3"/>
      <c r="B343" s="4"/>
      <c r="C343" s="4"/>
      <c r="E343" s="4"/>
      <c r="F343" s="5"/>
      <c r="G343" s="6"/>
      <c r="H343" s="6"/>
      <c r="I343" s="6"/>
      <c r="J343" s="6"/>
    </row>
    <row r="344" spans="1:10">
      <c r="A344" s="3"/>
      <c r="B344" s="4"/>
      <c r="C344" s="4"/>
      <c r="E344" s="4"/>
      <c r="F344" s="5"/>
      <c r="G344" s="6"/>
      <c r="H344" s="6"/>
      <c r="I344" s="6"/>
      <c r="J344" s="6"/>
    </row>
    <row r="345" spans="1:10">
      <c r="A345" s="3"/>
      <c r="B345" s="4"/>
      <c r="C345" s="4"/>
      <c r="E345" s="4"/>
      <c r="F345" s="5"/>
      <c r="G345" s="6"/>
      <c r="H345" s="6"/>
      <c r="I345" s="6"/>
      <c r="J345" s="6"/>
    </row>
    <row r="346" spans="1:10">
      <c r="A346" s="3"/>
      <c r="B346" s="4"/>
      <c r="C346" s="4"/>
      <c r="E346" s="4"/>
      <c r="F346" s="5"/>
      <c r="G346" s="6"/>
      <c r="H346" s="6"/>
      <c r="I346" s="6"/>
      <c r="J346" s="6"/>
    </row>
    <row r="347" spans="1:10">
      <c r="A347" s="3"/>
      <c r="B347" s="4"/>
      <c r="C347" s="4"/>
      <c r="E347" s="4"/>
      <c r="F347" s="5"/>
      <c r="G347" s="6"/>
      <c r="H347" s="6"/>
      <c r="I347" s="6"/>
      <c r="J347" s="6"/>
    </row>
    <row r="348" spans="1:10">
      <c r="A348" s="3"/>
      <c r="B348" s="4"/>
      <c r="C348" s="4"/>
      <c r="E348" s="4"/>
      <c r="F348" s="5"/>
      <c r="G348" s="6"/>
      <c r="H348" s="6"/>
      <c r="I348" s="6"/>
      <c r="J348" s="6"/>
    </row>
    <row r="349" spans="1:10">
      <c r="A349" s="3"/>
      <c r="B349" s="4"/>
      <c r="C349" s="4"/>
      <c r="E349" s="4"/>
      <c r="F349" s="5"/>
      <c r="G349" s="6"/>
      <c r="H349" s="6"/>
      <c r="I349" s="6"/>
      <c r="J349" s="6"/>
    </row>
    <row r="350" spans="1:10">
      <c r="A350" s="3"/>
      <c r="B350" s="4"/>
      <c r="C350" s="4"/>
      <c r="E350" s="4"/>
      <c r="F350" s="5"/>
      <c r="G350" s="6"/>
      <c r="H350" s="6"/>
      <c r="I350" s="6"/>
      <c r="J350" s="6"/>
    </row>
    <row r="351" spans="1:10">
      <c r="A351" s="3"/>
      <c r="B351" s="4"/>
      <c r="C351" s="4"/>
      <c r="E351" s="4"/>
      <c r="F351" s="5"/>
      <c r="G351" s="6"/>
      <c r="H351" s="6"/>
      <c r="I351" s="6"/>
      <c r="J351" s="6"/>
    </row>
    <row r="352" spans="1:10">
      <c r="A352" s="3"/>
      <c r="B352" s="4"/>
      <c r="C352" s="4"/>
      <c r="E352" s="4"/>
      <c r="F352" s="5"/>
      <c r="G352" s="6"/>
      <c r="H352" s="6"/>
      <c r="I352" s="6"/>
      <c r="J352" s="6"/>
    </row>
    <row r="353" spans="1:10">
      <c r="A353" s="3"/>
      <c r="B353" s="4"/>
      <c r="C353" s="4"/>
      <c r="E353" s="4"/>
      <c r="F353" s="5"/>
      <c r="G353" s="6"/>
      <c r="H353" s="6"/>
      <c r="I353" s="6"/>
      <c r="J353" s="6"/>
    </row>
    <row r="354" spans="1:10">
      <c r="A354" s="3"/>
      <c r="B354" s="4"/>
      <c r="C354" s="4"/>
      <c r="E354" s="4"/>
      <c r="F354" s="5"/>
      <c r="G354" s="6"/>
      <c r="H354" s="6"/>
      <c r="I354" s="6"/>
      <c r="J354" s="6"/>
    </row>
    <row r="355" spans="1:10">
      <c r="A355" s="3"/>
      <c r="B355" s="4"/>
      <c r="C355" s="4"/>
      <c r="E355" s="4"/>
      <c r="F355" s="5"/>
      <c r="G355" s="6"/>
      <c r="H355" s="6"/>
      <c r="I355" s="6"/>
      <c r="J355" s="6"/>
    </row>
    <row r="356" spans="1:10">
      <c r="A356" s="3"/>
      <c r="B356" s="4"/>
      <c r="C356" s="4"/>
      <c r="E356" s="4"/>
      <c r="F356" s="5"/>
      <c r="G356" s="6"/>
      <c r="H356" s="6"/>
      <c r="I356" s="6"/>
      <c r="J356" s="6"/>
    </row>
    <row r="357" spans="1:10">
      <c r="A357" s="3"/>
      <c r="B357" s="4"/>
      <c r="C357" s="4"/>
      <c r="E357" s="4"/>
      <c r="F357" s="5"/>
      <c r="G357" s="6"/>
      <c r="H357" s="6"/>
      <c r="I357" s="6"/>
      <c r="J357" s="6"/>
    </row>
    <row r="358" spans="1:10">
      <c r="A358" s="3"/>
      <c r="B358" s="4"/>
      <c r="C358" s="4"/>
      <c r="E358" s="4"/>
      <c r="F358" s="5"/>
      <c r="G358" s="6"/>
      <c r="H358" s="6"/>
      <c r="I358" s="6"/>
      <c r="J358" s="6"/>
    </row>
    <row r="359" spans="1:10">
      <c r="A359" s="3"/>
      <c r="B359" s="4"/>
      <c r="C359" s="4"/>
      <c r="E359" s="4"/>
      <c r="F359" s="5"/>
      <c r="G359" s="6"/>
      <c r="H359" s="6"/>
      <c r="I359" s="6"/>
      <c r="J359" s="6"/>
    </row>
    <row r="360" spans="1:10">
      <c r="A360" s="3"/>
      <c r="B360" s="4"/>
      <c r="C360" s="4"/>
      <c r="E360" s="4"/>
      <c r="F360" s="5"/>
      <c r="G360" s="6"/>
      <c r="H360" s="6"/>
      <c r="I360" s="6"/>
      <c r="J360" s="6"/>
    </row>
    <row r="361" spans="1:10">
      <c r="A361" s="3"/>
      <c r="B361" s="4"/>
      <c r="C361" s="4"/>
      <c r="E361" s="4"/>
      <c r="F361" s="5"/>
      <c r="G361" s="6"/>
      <c r="H361" s="6"/>
      <c r="I361" s="6"/>
      <c r="J361" s="6"/>
    </row>
    <row r="362" spans="1:10">
      <c r="A362" s="3"/>
      <c r="B362" s="4"/>
      <c r="C362" s="4"/>
      <c r="E362" s="4"/>
      <c r="F362" s="5"/>
      <c r="G362" s="6"/>
      <c r="H362" s="6"/>
      <c r="I362" s="6"/>
      <c r="J362" s="6"/>
    </row>
    <row r="363" spans="1:10">
      <c r="A363" s="3"/>
      <c r="B363" s="4"/>
      <c r="C363" s="4"/>
      <c r="E363" s="4"/>
      <c r="F363" s="5"/>
      <c r="G363" s="6"/>
      <c r="H363" s="6"/>
      <c r="I363" s="6"/>
      <c r="J363" s="6"/>
    </row>
    <row r="364" spans="1:10">
      <c r="A364" s="3"/>
      <c r="B364" s="4"/>
      <c r="C364" s="4"/>
      <c r="E364" s="4"/>
      <c r="F364" s="5"/>
      <c r="G364" s="6"/>
      <c r="H364" s="6"/>
      <c r="I364" s="6"/>
      <c r="J364" s="6"/>
    </row>
    <row r="365" spans="1:10">
      <c r="A365" s="3"/>
      <c r="B365" s="4"/>
      <c r="C365" s="4"/>
      <c r="E365" s="4"/>
      <c r="F365" s="5"/>
      <c r="G365" s="6"/>
      <c r="H365" s="6"/>
      <c r="I365" s="6"/>
      <c r="J365" s="6"/>
    </row>
    <row r="366" spans="1:10">
      <c r="A366" s="3"/>
      <c r="B366" s="4"/>
      <c r="C366" s="4"/>
      <c r="E366" s="4"/>
      <c r="F366" s="5"/>
      <c r="G366" s="6"/>
      <c r="H366" s="6"/>
      <c r="I366" s="6"/>
      <c r="J366" s="6"/>
    </row>
    <row r="367" spans="1:10">
      <c r="A367" s="3"/>
      <c r="B367" s="4"/>
      <c r="C367" s="4"/>
      <c r="E367" s="4"/>
      <c r="F367" s="5"/>
      <c r="G367" s="6"/>
      <c r="H367" s="6"/>
      <c r="I367" s="6"/>
      <c r="J367" s="6"/>
    </row>
    <row r="368" spans="1:10">
      <c r="A368" s="3"/>
      <c r="B368" s="4"/>
      <c r="C368" s="4"/>
      <c r="E368" s="4"/>
      <c r="F368" s="5"/>
      <c r="G368" s="6"/>
      <c r="H368" s="6"/>
      <c r="I368" s="6"/>
      <c r="J368" s="6"/>
    </row>
    <row r="369" spans="1:10">
      <c r="A369" s="3"/>
      <c r="B369" s="4"/>
      <c r="C369" s="4"/>
      <c r="E369" s="4"/>
      <c r="F369" s="5"/>
      <c r="G369" s="6"/>
      <c r="H369" s="6"/>
      <c r="I369" s="6"/>
      <c r="J369" s="6"/>
    </row>
    <row r="370" spans="1:10">
      <c r="A370" s="3"/>
      <c r="B370" s="4"/>
      <c r="C370" s="4"/>
      <c r="E370" s="4"/>
      <c r="F370" s="5"/>
      <c r="G370" s="6"/>
      <c r="H370" s="6"/>
      <c r="I370" s="6"/>
      <c r="J370" s="6"/>
    </row>
    <row r="371" spans="1:10">
      <c r="A371" s="3"/>
      <c r="B371" s="4"/>
      <c r="C371" s="4"/>
      <c r="E371" s="4"/>
      <c r="F371" s="5"/>
      <c r="G371" s="6"/>
      <c r="H371" s="6"/>
      <c r="I371" s="6"/>
      <c r="J371" s="6"/>
    </row>
    <row r="372" spans="1:10">
      <c r="A372" s="3"/>
      <c r="B372" s="4"/>
      <c r="C372" s="4"/>
      <c r="E372" s="4"/>
      <c r="F372" s="5"/>
      <c r="G372" s="6"/>
      <c r="H372" s="6"/>
      <c r="I372" s="6"/>
      <c r="J372" s="6"/>
    </row>
    <row r="373" spans="1:10">
      <c r="A373" s="3"/>
      <c r="B373" s="4"/>
      <c r="C373" s="4"/>
      <c r="E373" s="4"/>
      <c r="F373" s="5"/>
      <c r="G373" s="6"/>
      <c r="H373" s="6"/>
      <c r="I373" s="6"/>
      <c r="J373" s="6"/>
    </row>
    <row r="374" spans="1:10">
      <c r="A374" s="3"/>
      <c r="B374" s="4"/>
      <c r="C374" s="4"/>
      <c r="E374" s="4"/>
      <c r="F374" s="5"/>
      <c r="G374" s="6"/>
      <c r="H374" s="6"/>
      <c r="I374" s="6"/>
      <c r="J374" s="6"/>
    </row>
    <row r="375" spans="1:10">
      <c r="A375" s="3"/>
      <c r="B375" s="4"/>
      <c r="C375" s="4"/>
      <c r="E375" s="4"/>
      <c r="F375" s="5"/>
      <c r="G375" s="6"/>
      <c r="H375" s="6"/>
      <c r="I375" s="6"/>
      <c r="J375" s="6"/>
    </row>
    <row r="376" spans="1:10">
      <c r="A376" s="3"/>
      <c r="B376" s="4"/>
      <c r="C376" s="4"/>
      <c r="E376" s="4"/>
      <c r="F376" s="5"/>
      <c r="G376" s="6"/>
      <c r="H376" s="6"/>
      <c r="I376" s="6"/>
      <c r="J376" s="6"/>
    </row>
    <row r="377" spans="1:10">
      <c r="A377" s="3"/>
      <c r="B377" s="4"/>
      <c r="C377" s="4"/>
      <c r="E377" s="4"/>
      <c r="F377" s="5"/>
      <c r="G377" s="6"/>
      <c r="H377" s="6"/>
      <c r="I377" s="6"/>
      <c r="J377" s="6"/>
    </row>
    <row r="378" spans="1:10">
      <c r="A378" s="3"/>
      <c r="B378" s="4"/>
      <c r="C378" s="4"/>
      <c r="E378" s="4"/>
      <c r="F378" s="5"/>
      <c r="G378" s="6"/>
      <c r="H378" s="6"/>
      <c r="I378" s="6"/>
      <c r="J378" s="6"/>
    </row>
    <row r="379" spans="1:10">
      <c r="A379" s="3"/>
      <c r="B379" s="4"/>
      <c r="C379" s="4"/>
      <c r="E379" s="4"/>
      <c r="F379" s="5"/>
      <c r="G379" s="6"/>
      <c r="H379" s="6"/>
      <c r="I379" s="6"/>
      <c r="J379" s="6"/>
    </row>
    <row r="380" spans="1:10">
      <c r="A380" s="3"/>
      <c r="B380" s="4"/>
      <c r="C380" s="4"/>
      <c r="E380" s="4"/>
      <c r="F380" s="5"/>
      <c r="G380" s="6"/>
      <c r="H380" s="6"/>
      <c r="I380" s="6"/>
      <c r="J380" s="6"/>
    </row>
    <row r="381" spans="1:10">
      <c r="A381" s="3"/>
      <c r="B381" s="4"/>
      <c r="C381" s="4"/>
      <c r="E381" s="4"/>
      <c r="F381" s="5"/>
      <c r="G381" s="6"/>
      <c r="H381" s="6"/>
      <c r="I381" s="6"/>
      <c r="J381" s="6"/>
    </row>
    <row r="382" spans="1:10">
      <c r="A382" s="3"/>
      <c r="B382" s="4"/>
      <c r="C382" s="4"/>
      <c r="E382" s="4"/>
      <c r="F382" s="5"/>
      <c r="G382" s="6"/>
      <c r="H382" s="6"/>
      <c r="I382" s="6"/>
      <c r="J382" s="6"/>
    </row>
    <row r="383" spans="1:10">
      <c r="A383" s="3"/>
      <c r="B383" s="4"/>
      <c r="C383" s="4"/>
      <c r="E383" s="4"/>
      <c r="F383" s="5"/>
      <c r="G383" s="6"/>
      <c r="H383" s="6"/>
      <c r="I383" s="6"/>
      <c r="J383" s="6"/>
    </row>
    <row r="384" spans="1:10">
      <c r="A384" s="3"/>
      <c r="B384" s="4"/>
      <c r="C384" s="4"/>
      <c r="E384" s="4"/>
      <c r="F384" s="5"/>
      <c r="G384" s="6"/>
      <c r="H384" s="6"/>
      <c r="I384" s="6"/>
      <c r="J384" s="6"/>
    </row>
    <row r="385" spans="1:10">
      <c r="A385" s="3"/>
      <c r="B385" s="4"/>
      <c r="C385" s="4"/>
      <c r="E385" s="4"/>
      <c r="F385" s="5"/>
      <c r="G385" s="6"/>
      <c r="H385" s="6"/>
      <c r="I385" s="6"/>
      <c r="J385" s="6"/>
    </row>
    <row r="386" spans="1:10">
      <c r="A386" s="3"/>
      <c r="B386" s="4"/>
      <c r="C386" s="4"/>
      <c r="E386" s="4"/>
      <c r="F386" s="5"/>
      <c r="G386" s="6"/>
      <c r="H386" s="6"/>
      <c r="I386" s="6"/>
      <c r="J386" s="6"/>
    </row>
    <row r="387" spans="1:10">
      <c r="A387" s="3"/>
      <c r="B387" s="4"/>
      <c r="C387" s="4"/>
      <c r="E387" s="4"/>
      <c r="F387" s="5"/>
      <c r="G387" s="6"/>
      <c r="H387" s="6"/>
      <c r="I387" s="6"/>
      <c r="J387" s="6"/>
    </row>
    <row r="388" spans="1:10">
      <c r="A388" s="3"/>
      <c r="B388" s="4"/>
      <c r="C388" s="4"/>
      <c r="E388" s="4"/>
      <c r="F388" s="5"/>
      <c r="G388" s="6"/>
      <c r="H388" s="6"/>
      <c r="I388" s="6"/>
      <c r="J388" s="6"/>
    </row>
    <row r="389" spans="1:10">
      <c r="A389" s="3"/>
      <c r="B389" s="4"/>
      <c r="C389" s="4"/>
      <c r="E389" s="4"/>
      <c r="F389" s="5"/>
      <c r="G389" s="6"/>
      <c r="H389" s="6"/>
      <c r="I389" s="6"/>
      <c r="J389" s="6"/>
    </row>
    <row r="390" spans="1:10">
      <c r="A390" s="3"/>
      <c r="B390" s="4"/>
      <c r="C390" s="4"/>
      <c r="E390" s="4"/>
      <c r="F390" s="5"/>
      <c r="G390" s="6"/>
      <c r="H390" s="6"/>
      <c r="I390" s="6"/>
      <c r="J390" s="6"/>
    </row>
    <row r="391" spans="1:10">
      <c r="A391" s="3"/>
      <c r="B391" s="4"/>
      <c r="C391" s="4"/>
      <c r="E391" s="4"/>
      <c r="F391" s="5"/>
      <c r="G391" s="6"/>
      <c r="H391" s="6"/>
      <c r="I391" s="6"/>
      <c r="J391" s="6"/>
    </row>
    <row r="392" spans="1:10">
      <c r="A392" s="3"/>
      <c r="B392" s="4"/>
      <c r="C392" s="4"/>
      <c r="E392" s="4"/>
      <c r="F392" s="5"/>
      <c r="G392" s="6"/>
      <c r="H392" s="6"/>
      <c r="I392" s="6"/>
      <c r="J392" s="6"/>
    </row>
    <row r="393" spans="1:10">
      <c r="A393" s="3"/>
      <c r="B393" s="4"/>
      <c r="C393" s="4"/>
      <c r="E393" s="4"/>
      <c r="F393" s="5"/>
      <c r="G393" s="6"/>
      <c r="H393" s="6"/>
      <c r="I393" s="6"/>
      <c r="J393" s="6"/>
    </row>
    <row r="394" spans="1:10">
      <c r="A394" s="3"/>
      <c r="B394" s="4"/>
      <c r="C394" s="4"/>
      <c r="E394" s="4"/>
      <c r="F394" s="5"/>
      <c r="G394" s="6"/>
      <c r="H394" s="6"/>
      <c r="I394" s="6"/>
      <c r="J394" s="6"/>
    </row>
    <row r="395" spans="1:10">
      <c r="A395" s="3"/>
      <c r="B395" s="4"/>
      <c r="C395" s="4"/>
      <c r="E395" s="4"/>
      <c r="F395" s="5"/>
      <c r="G395" s="6"/>
      <c r="H395" s="6"/>
      <c r="I395" s="6"/>
      <c r="J395" s="6"/>
    </row>
    <row r="396" spans="1:10">
      <c r="A396" s="3"/>
      <c r="B396" s="4"/>
      <c r="C396" s="4"/>
      <c r="E396" s="4"/>
      <c r="F396" s="5"/>
      <c r="G396" s="6"/>
      <c r="H396" s="6"/>
      <c r="I396" s="6"/>
      <c r="J396" s="6"/>
    </row>
    <row r="397" spans="1:10">
      <c r="A397" s="3"/>
      <c r="B397" s="4"/>
      <c r="C397" s="4"/>
      <c r="E397" s="4"/>
      <c r="F397" s="5"/>
      <c r="G397" s="6"/>
      <c r="H397" s="6"/>
      <c r="I397" s="6"/>
      <c r="J397" s="6"/>
    </row>
    <row r="398" spans="1:10">
      <c r="A398" s="3"/>
      <c r="B398" s="4"/>
      <c r="C398" s="4"/>
      <c r="E398" s="4"/>
      <c r="F398" s="5"/>
      <c r="G398" s="6"/>
      <c r="H398" s="6"/>
      <c r="I398" s="6"/>
      <c r="J398" s="6"/>
    </row>
    <row r="399" spans="1:10">
      <c r="A399" s="3"/>
      <c r="B399" s="4"/>
      <c r="C399" s="4"/>
      <c r="E399" s="4"/>
      <c r="F399" s="5"/>
      <c r="G399" s="6"/>
      <c r="H399" s="6"/>
      <c r="I399" s="6"/>
      <c r="J399" s="6"/>
    </row>
    <row r="400" spans="1:10">
      <c r="A400" s="3"/>
      <c r="B400" s="4"/>
      <c r="C400" s="4"/>
      <c r="E400" s="4"/>
      <c r="F400" s="5"/>
      <c r="G400" s="6"/>
      <c r="H400" s="6"/>
      <c r="I400" s="6"/>
      <c r="J400" s="6"/>
    </row>
    <row r="401" spans="1:10">
      <c r="A401" s="3"/>
      <c r="B401" s="4"/>
      <c r="C401" s="4"/>
      <c r="E401" s="4"/>
      <c r="F401" s="5"/>
      <c r="G401" s="6"/>
      <c r="H401" s="6"/>
      <c r="I401" s="6"/>
      <c r="J401" s="6"/>
    </row>
    <row r="402" spans="1:10">
      <c r="A402" s="3"/>
      <c r="B402" s="4"/>
      <c r="C402" s="4"/>
      <c r="E402" s="4"/>
      <c r="F402" s="5"/>
      <c r="G402" s="6"/>
      <c r="H402" s="6"/>
      <c r="I402" s="6"/>
      <c r="J402" s="6"/>
    </row>
    <row r="403" spans="1:10">
      <c r="A403" s="3"/>
      <c r="B403" s="4"/>
      <c r="C403" s="4"/>
      <c r="E403" s="4"/>
      <c r="F403" s="5"/>
      <c r="G403" s="6"/>
      <c r="H403" s="6"/>
      <c r="I403" s="6"/>
      <c r="J403" s="6"/>
    </row>
    <row r="404" spans="1:10">
      <c r="A404" s="3"/>
      <c r="B404" s="4"/>
      <c r="C404" s="4"/>
      <c r="E404" s="4"/>
      <c r="F404" s="5"/>
      <c r="G404" s="6"/>
      <c r="H404" s="6"/>
      <c r="I404" s="6"/>
      <c r="J404" s="6"/>
    </row>
    <row r="405" spans="1:10">
      <c r="A405" s="3"/>
      <c r="B405" s="4"/>
      <c r="C405" s="4"/>
      <c r="E405" s="4"/>
      <c r="F405" s="5"/>
      <c r="G405" s="6"/>
      <c r="H405" s="6"/>
      <c r="I405" s="6"/>
      <c r="J405" s="6"/>
    </row>
    <row r="406" spans="1:10">
      <c r="A406" s="3"/>
      <c r="B406" s="4"/>
      <c r="C406" s="4"/>
      <c r="E406" s="4"/>
      <c r="F406" s="5"/>
      <c r="G406" s="6"/>
      <c r="H406" s="6"/>
      <c r="I406" s="6"/>
      <c r="J406" s="6"/>
    </row>
    <row r="407" spans="1:10">
      <c r="A407" s="3"/>
      <c r="B407" s="4"/>
      <c r="C407" s="4"/>
      <c r="E407" s="4"/>
      <c r="F407" s="5"/>
      <c r="G407" s="6"/>
      <c r="H407" s="6"/>
      <c r="I407" s="6"/>
      <c r="J407" s="6"/>
    </row>
    <row r="408" spans="1:10">
      <c r="A408" s="3"/>
      <c r="B408" s="4"/>
      <c r="C408" s="4"/>
      <c r="E408" s="4"/>
      <c r="F408" s="5"/>
      <c r="G408" s="6"/>
      <c r="H408" s="6"/>
      <c r="I408" s="6"/>
      <c r="J408" s="6"/>
    </row>
    <row r="409" spans="1:10">
      <c r="A409" s="3"/>
      <c r="B409" s="4"/>
      <c r="C409" s="4"/>
      <c r="E409" s="4"/>
      <c r="F409" s="5"/>
      <c r="G409" s="6"/>
      <c r="H409" s="6"/>
      <c r="I409" s="6"/>
      <c r="J409" s="6"/>
    </row>
    <row r="410" spans="1:10">
      <c r="A410" s="3"/>
      <c r="B410" s="4"/>
      <c r="C410" s="4"/>
      <c r="E410" s="4"/>
      <c r="F410" s="5"/>
      <c r="G410" s="6"/>
      <c r="H410" s="6"/>
      <c r="I410" s="6"/>
      <c r="J410" s="6"/>
    </row>
    <row r="411" spans="1:10">
      <c r="A411" s="3"/>
      <c r="B411" s="4"/>
      <c r="C411" s="4"/>
      <c r="E411" s="4"/>
      <c r="F411" s="5"/>
      <c r="G411" s="6"/>
      <c r="H411" s="6"/>
      <c r="I411" s="6"/>
      <c r="J411" s="6"/>
    </row>
    <row r="412" spans="1:10">
      <c r="A412" s="3"/>
      <c r="B412" s="4"/>
      <c r="C412" s="4"/>
      <c r="E412" s="4"/>
      <c r="F412" s="5"/>
      <c r="G412" s="6"/>
      <c r="H412" s="6"/>
      <c r="I412" s="6"/>
      <c r="J412" s="6"/>
    </row>
    <row r="413" spans="1:10">
      <c r="A413" s="3"/>
      <c r="B413" s="4"/>
      <c r="C413" s="4"/>
      <c r="E413" s="4"/>
      <c r="F413" s="5"/>
      <c r="G413" s="6"/>
      <c r="H413" s="6"/>
      <c r="I413" s="6"/>
      <c r="J413" s="6"/>
    </row>
    <row r="414" spans="1:10">
      <c r="A414" s="3"/>
      <c r="B414" s="4"/>
      <c r="C414" s="4"/>
      <c r="E414" s="4"/>
      <c r="F414" s="5"/>
      <c r="G414" s="6"/>
      <c r="H414" s="6"/>
      <c r="I414" s="6"/>
      <c r="J414" s="6"/>
    </row>
    <row r="415" spans="1:10">
      <c r="A415" s="3"/>
      <c r="B415" s="4"/>
      <c r="C415" s="4"/>
      <c r="E415" s="4"/>
      <c r="F415" s="5"/>
      <c r="G415" s="6"/>
      <c r="H415" s="6"/>
      <c r="I415" s="6"/>
      <c r="J415" s="6"/>
    </row>
    <row r="416" spans="1:10">
      <c r="A416" s="3"/>
      <c r="B416" s="4"/>
      <c r="C416" s="4"/>
      <c r="E416" s="4"/>
      <c r="F416" s="5"/>
      <c r="G416" s="6"/>
      <c r="H416" s="6"/>
      <c r="I416" s="6"/>
      <c r="J416" s="6"/>
    </row>
    <row r="417" spans="1:10">
      <c r="A417" s="3"/>
      <c r="B417" s="4"/>
      <c r="C417" s="4"/>
      <c r="E417" s="4"/>
      <c r="F417" s="5"/>
      <c r="G417" s="6"/>
      <c r="H417" s="6"/>
      <c r="I417" s="6"/>
      <c r="J417" s="6"/>
    </row>
    <row r="418" spans="1:10">
      <c r="A418" s="3"/>
      <c r="B418" s="4"/>
      <c r="C418" s="4"/>
      <c r="E418" s="4"/>
      <c r="F418" s="5"/>
      <c r="G418" s="6"/>
      <c r="H418" s="6"/>
      <c r="I418" s="6"/>
      <c r="J418" s="6"/>
    </row>
    <row r="419" spans="1:10">
      <c r="A419" s="3"/>
      <c r="B419" s="4"/>
      <c r="C419" s="4"/>
      <c r="E419" s="4"/>
      <c r="F419" s="5"/>
      <c r="G419" s="6"/>
      <c r="H419" s="6"/>
      <c r="I419" s="6"/>
      <c r="J419" s="6"/>
    </row>
    <row r="420" spans="1:10">
      <c r="A420" s="3"/>
      <c r="B420" s="4"/>
      <c r="C420" s="4"/>
      <c r="E420" s="4"/>
      <c r="F420" s="5"/>
      <c r="G420" s="6"/>
      <c r="H420" s="6"/>
      <c r="I420" s="6"/>
      <c r="J420" s="6"/>
    </row>
    <row r="421" spans="1:10">
      <c r="A421" s="3"/>
      <c r="B421" s="4"/>
      <c r="C421" s="4"/>
      <c r="E421" s="4"/>
      <c r="F421" s="5"/>
      <c r="G421" s="6"/>
      <c r="H421" s="6"/>
      <c r="I421" s="6"/>
      <c r="J421" s="6"/>
    </row>
    <row r="422" spans="1:10">
      <c r="A422" s="3"/>
      <c r="B422" s="4"/>
      <c r="C422" s="4"/>
      <c r="E422" s="4"/>
      <c r="F422" s="5"/>
      <c r="G422" s="6"/>
      <c r="H422" s="6"/>
      <c r="I422" s="6"/>
      <c r="J422" s="6"/>
    </row>
    <row r="423" spans="1:10">
      <c r="A423" s="3"/>
      <c r="B423" s="4"/>
      <c r="C423" s="4"/>
      <c r="E423" s="4"/>
      <c r="F423" s="5"/>
      <c r="G423" s="6"/>
      <c r="H423" s="6"/>
      <c r="I423" s="6"/>
      <c r="J423" s="6"/>
    </row>
    <row r="424" spans="1:10">
      <c r="A424" s="3"/>
      <c r="B424" s="4"/>
      <c r="C424" s="4"/>
      <c r="E424" s="4"/>
      <c r="F424" s="5"/>
      <c r="G424" s="6"/>
      <c r="H424" s="6"/>
      <c r="I424" s="6"/>
      <c r="J424" s="6"/>
    </row>
    <row r="425" spans="1:10">
      <c r="A425" s="3"/>
      <c r="B425" s="4"/>
      <c r="C425" s="4"/>
      <c r="E425" s="4"/>
      <c r="F425" s="5"/>
      <c r="G425" s="6"/>
      <c r="H425" s="6"/>
      <c r="I425" s="6"/>
      <c r="J425" s="6"/>
    </row>
    <row r="426" spans="1:10">
      <c r="A426" s="3"/>
      <c r="B426" s="4"/>
      <c r="C426" s="4"/>
      <c r="E426" s="4"/>
      <c r="F426" s="5"/>
      <c r="G426" s="6"/>
      <c r="H426" s="6"/>
      <c r="I426" s="6"/>
      <c r="J426" s="6"/>
    </row>
    <row r="427" spans="1:10">
      <c r="A427" s="3"/>
      <c r="B427" s="4"/>
      <c r="C427" s="4"/>
      <c r="E427" s="4"/>
      <c r="F427" s="5"/>
      <c r="G427" s="6"/>
      <c r="H427" s="6"/>
      <c r="I427" s="6"/>
      <c r="J427" s="6"/>
    </row>
    <row r="428" spans="1:10">
      <c r="A428" s="3"/>
      <c r="B428" s="4"/>
      <c r="C428" s="4"/>
      <c r="E428" s="4"/>
      <c r="F428" s="5"/>
      <c r="G428" s="6"/>
      <c r="H428" s="6"/>
      <c r="I428" s="6"/>
      <c r="J428" s="6"/>
    </row>
    <row r="429" spans="1:10">
      <c r="A429" s="3"/>
      <c r="B429" s="4"/>
      <c r="C429" s="4"/>
      <c r="E429" s="4"/>
      <c r="F429" s="5"/>
      <c r="G429" s="6"/>
      <c r="H429" s="6"/>
      <c r="I429" s="6"/>
      <c r="J429" s="6"/>
    </row>
    <row r="430" spans="1:10">
      <c r="A430" s="3"/>
      <c r="B430" s="4"/>
      <c r="C430" s="4"/>
      <c r="E430" s="4"/>
      <c r="F430" s="5"/>
      <c r="G430" s="6"/>
      <c r="H430" s="6"/>
      <c r="I430" s="6"/>
      <c r="J430" s="6"/>
    </row>
    <row r="431" spans="1:10">
      <c r="A431" s="3"/>
      <c r="B431" s="4"/>
      <c r="C431" s="4"/>
      <c r="E431" s="4"/>
      <c r="F431" s="5"/>
      <c r="G431" s="6"/>
      <c r="H431" s="6"/>
      <c r="I431" s="6"/>
      <c r="J431" s="6"/>
    </row>
    <row r="432" spans="1:10">
      <c r="A432" s="3"/>
      <c r="B432" s="4"/>
      <c r="C432" s="4"/>
      <c r="E432" s="4"/>
      <c r="F432" s="5"/>
      <c r="G432" s="6"/>
      <c r="H432" s="6"/>
      <c r="I432" s="6"/>
      <c r="J432" s="6"/>
    </row>
    <row r="433" spans="1:10">
      <c r="A433" s="3"/>
      <c r="B433" s="4"/>
      <c r="C433" s="4"/>
      <c r="E433" s="4"/>
      <c r="F433" s="5"/>
      <c r="G433" s="6"/>
      <c r="H433" s="6"/>
      <c r="I433" s="6"/>
      <c r="J433" s="6"/>
    </row>
    <row r="434" spans="1:10">
      <c r="A434" s="3"/>
      <c r="B434" s="4"/>
      <c r="C434" s="4"/>
      <c r="E434" s="4"/>
      <c r="F434" s="5"/>
      <c r="G434" s="6"/>
      <c r="H434" s="6"/>
      <c r="I434" s="6"/>
      <c r="J434" s="6"/>
    </row>
    <row r="435" spans="1:10">
      <c r="A435" s="3"/>
      <c r="B435" s="4"/>
      <c r="C435" s="4"/>
      <c r="E435" s="4"/>
      <c r="F435" s="5"/>
      <c r="G435" s="6"/>
      <c r="H435" s="6"/>
      <c r="I435" s="6"/>
      <c r="J435" s="6"/>
    </row>
    <row r="436" spans="1:10">
      <c r="A436" s="3"/>
      <c r="B436" s="4"/>
      <c r="C436" s="4"/>
      <c r="E436" s="4"/>
      <c r="F436" s="5"/>
      <c r="G436" s="6"/>
      <c r="H436" s="6"/>
      <c r="I436" s="6"/>
      <c r="J436" s="6"/>
    </row>
    <row r="437" spans="1:10">
      <c r="A437" s="3"/>
      <c r="B437" s="4"/>
      <c r="C437" s="4"/>
      <c r="E437" s="4"/>
      <c r="F437" s="5"/>
      <c r="G437" s="6"/>
      <c r="H437" s="6"/>
      <c r="I437" s="6"/>
      <c r="J437" s="6"/>
    </row>
    <row r="438" spans="1:10">
      <c r="A438" s="3"/>
      <c r="B438" s="4"/>
      <c r="C438" s="4"/>
      <c r="E438" s="4"/>
      <c r="F438" s="5"/>
      <c r="G438" s="6"/>
      <c r="H438" s="6"/>
      <c r="I438" s="6"/>
      <c r="J438" s="6"/>
    </row>
    <row r="439" spans="1:10">
      <c r="A439" s="3"/>
      <c r="B439" s="4"/>
      <c r="C439" s="4"/>
      <c r="E439" s="4"/>
      <c r="F439" s="5"/>
      <c r="G439" s="6"/>
      <c r="H439" s="6"/>
      <c r="I439" s="6"/>
      <c r="J439" s="6"/>
    </row>
    <row r="440" spans="1:10">
      <c r="A440" s="3"/>
      <c r="B440" s="4"/>
      <c r="C440" s="4"/>
      <c r="E440" s="4"/>
      <c r="F440" s="5"/>
      <c r="G440" s="6"/>
      <c r="H440" s="6"/>
      <c r="I440" s="6"/>
      <c r="J440" s="6"/>
    </row>
    <row r="441" spans="1:10">
      <c r="A441" s="3"/>
      <c r="B441" s="4"/>
      <c r="C441" s="4"/>
      <c r="E441" s="4"/>
      <c r="F441" s="5"/>
      <c r="G441" s="6"/>
      <c r="H441" s="6"/>
      <c r="I441" s="6"/>
      <c r="J441" s="6"/>
    </row>
    <row r="442" spans="1:10">
      <c r="A442" s="3"/>
      <c r="B442" s="4"/>
      <c r="C442" s="4"/>
      <c r="E442" s="4"/>
      <c r="F442" s="5"/>
      <c r="G442" s="6"/>
      <c r="H442" s="6"/>
      <c r="I442" s="6"/>
      <c r="J442" s="6"/>
    </row>
    <row r="443" spans="1:10">
      <c r="A443" s="3"/>
      <c r="B443" s="4"/>
      <c r="C443" s="4"/>
      <c r="E443" s="4"/>
      <c r="F443" s="5"/>
      <c r="G443" s="6"/>
      <c r="H443" s="6"/>
      <c r="I443" s="6"/>
      <c r="J443" s="6"/>
    </row>
    <row r="444" spans="1:10">
      <c r="A444" s="3"/>
      <c r="B444" s="4"/>
      <c r="C444" s="4"/>
      <c r="E444" s="4"/>
      <c r="F444" s="5"/>
      <c r="G444" s="6"/>
      <c r="H444" s="6"/>
      <c r="I444" s="6"/>
      <c r="J444" s="6"/>
    </row>
    <row r="445" spans="1:10">
      <c r="A445" s="3"/>
      <c r="B445" s="4"/>
      <c r="C445" s="4"/>
      <c r="E445" s="4"/>
      <c r="F445" s="5"/>
      <c r="G445" s="6"/>
      <c r="H445" s="6"/>
      <c r="I445" s="6"/>
      <c r="J445" s="6"/>
    </row>
    <row r="446" spans="1:10">
      <c r="A446" s="3"/>
      <c r="B446" s="4"/>
      <c r="C446" s="4"/>
      <c r="E446" s="4"/>
      <c r="F446" s="5"/>
      <c r="G446" s="6"/>
      <c r="H446" s="6"/>
      <c r="I446" s="6"/>
      <c r="J446" s="6"/>
    </row>
    <row r="447" spans="1:10">
      <c r="A447" s="3"/>
      <c r="B447" s="4"/>
      <c r="C447" s="4"/>
      <c r="E447" s="4"/>
      <c r="F447" s="5"/>
      <c r="G447" s="6"/>
      <c r="H447" s="6"/>
      <c r="I447" s="6"/>
      <c r="J447" s="6"/>
    </row>
    <row r="448" spans="1:10">
      <c r="A448" s="3"/>
      <c r="B448" s="4"/>
      <c r="C448" s="4"/>
      <c r="E448" s="4"/>
      <c r="F448" s="5"/>
      <c r="G448" s="6"/>
      <c r="H448" s="6"/>
      <c r="I448" s="6"/>
      <c r="J448" s="6"/>
    </row>
    <row r="449" spans="1:10">
      <c r="A449" s="3"/>
      <c r="B449" s="4"/>
      <c r="C449" s="4"/>
      <c r="E449" s="4"/>
      <c r="F449" s="5"/>
      <c r="G449" s="6"/>
      <c r="H449" s="6"/>
      <c r="I449" s="6"/>
      <c r="J449" s="6"/>
    </row>
    <row r="450" spans="1:10">
      <c r="A450" s="3"/>
      <c r="B450" s="4"/>
      <c r="C450" s="4"/>
      <c r="E450" s="4"/>
      <c r="F450" s="5"/>
      <c r="G450" s="6"/>
      <c r="H450" s="6"/>
      <c r="I450" s="6"/>
      <c r="J450" s="6"/>
    </row>
    <row r="451" spans="1:10">
      <c r="A451" s="3"/>
      <c r="B451" s="4"/>
      <c r="C451" s="4"/>
      <c r="E451" s="4"/>
      <c r="F451" s="5"/>
      <c r="G451" s="6"/>
      <c r="H451" s="6"/>
      <c r="I451" s="6"/>
      <c r="J451" s="6"/>
    </row>
    <row r="452" spans="1:10">
      <c r="A452" s="3"/>
      <c r="B452" s="4"/>
      <c r="C452" s="4"/>
      <c r="E452" s="4"/>
      <c r="F452" s="5"/>
      <c r="G452" s="6"/>
      <c r="H452" s="6"/>
      <c r="I452" s="6"/>
      <c r="J452" s="6"/>
    </row>
    <row r="453" spans="1:10">
      <c r="A453" s="3"/>
      <c r="B453" s="4"/>
      <c r="C453" s="4"/>
      <c r="E453" s="4"/>
      <c r="F453" s="5"/>
      <c r="G453" s="6"/>
      <c r="H453" s="6"/>
      <c r="I453" s="6"/>
      <c r="J453" s="6"/>
    </row>
    <row r="454" spans="1:10">
      <c r="A454" s="3"/>
      <c r="B454" s="4"/>
      <c r="C454" s="4"/>
      <c r="E454" s="4"/>
      <c r="F454" s="5"/>
      <c r="G454" s="6"/>
      <c r="H454" s="6"/>
      <c r="I454" s="6"/>
      <c r="J454" s="6"/>
    </row>
    <row r="455" spans="1:10">
      <c r="A455" s="3"/>
      <c r="B455" s="4"/>
      <c r="C455" s="4"/>
      <c r="E455" s="4"/>
      <c r="F455" s="5"/>
      <c r="G455" s="6"/>
      <c r="H455" s="6"/>
      <c r="I455" s="6"/>
      <c r="J455" s="6"/>
    </row>
    <row r="456" spans="1:10">
      <c r="A456" s="3"/>
      <c r="B456" s="4"/>
      <c r="C456" s="4"/>
      <c r="E456" s="4"/>
      <c r="F456" s="5"/>
      <c r="G456" s="6"/>
      <c r="H456" s="6"/>
      <c r="I456" s="6"/>
      <c r="J456" s="6"/>
    </row>
    <row r="457" spans="1:10">
      <c r="A457" s="3"/>
      <c r="B457" s="4"/>
      <c r="C457" s="4"/>
      <c r="E457" s="4"/>
      <c r="F457" s="5"/>
      <c r="G457" s="6"/>
      <c r="H457" s="6"/>
      <c r="I457" s="6"/>
      <c r="J457" s="6"/>
    </row>
    <row r="458" spans="1:10">
      <c r="A458" s="3"/>
      <c r="B458" s="4"/>
      <c r="C458" s="4"/>
      <c r="E458" s="4"/>
      <c r="F458" s="5"/>
      <c r="G458" s="6"/>
      <c r="H458" s="6"/>
      <c r="I458" s="6"/>
      <c r="J458" s="6"/>
    </row>
    <row r="459" spans="1:10">
      <c r="A459" s="3"/>
      <c r="B459" s="4"/>
      <c r="C459" s="4"/>
      <c r="E459" s="4"/>
      <c r="F459" s="5"/>
      <c r="G459" s="6"/>
      <c r="H459" s="6"/>
      <c r="I459" s="6"/>
      <c r="J459" s="6"/>
    </row>
    <row r="460" spans="1:10">
      <c r="A460" s="3"/>
      <c r="B460" s="4"/>
      <c r="C460" s="4"/>
      <c r="E460" s="4"/>
      <c r="F460" s="5"/>
      <c r="G460" s="6"/>
      <c r="H460" s="6"/>
      <c r="I460" s="6"/>
      <c r="J460" s="6"/>
    </row>
    <row r="461" spans="1:10">
      <c r="A461" s="3"/>
      <c r="B461" s="4"/>
      <c r="C461" s="4"/>
      <c r="E461" s="4"/>
      <c r="F461" s="5"/>
      <c r="G461" s="6"/>
      <c r="H461" s="6"/>
      <c r="I461" s="6"/>
      <c r="J461" s="6"/>
    </row>
    <row r="462" spans="1:10">
      <c r="A462" s="3"/>
      <c r="B462" s="4"/>
      <c r="C462" s="4"/>
      <c r="E462" s="4"/>
      <c r="F462" s="5"/>
      <c r="G462" s="6"/>
      <c r="H462" s="6"/>
      <c r="I462" s="6"/>
      <c r="J462" s="6"/>
    </row>
    <row r="463" spans="1:10">
      <c r="A463" s="3"/>
      <c r="B463" s="4"/>
      <c r="C463" s="4"/>
      <c r="E463" s="4"/>
      <c r="F463" s="5"/>
      <c r="G463" s="6"/>
      <c r="H463" s="6"/>
      <c r="I463" s="6"/>
      <c r="J463" s="6"/>
    </row>
    <row r="464" spans="1:10">
      <c r="A464" s="3"/>
      <c r="B464" s="4"/>
      <c r="C464" s="4"/>
      <c r="E464" s="4"/>
      <c r="F464" s="5"/>
      <c r="G464" s="6"/>
      <c r="H464" s="6"/>
      <c r="I464" s="6"/>
      <c r="J464" s="6"/>
    </row>
    <row r="465" spans="1:10">
      <c r="A465" s="3"/>
      <c r="B465" s="4"/>
      <c r="C465" s="4"/>
      <c r="E465" s="4"/>
      <c r="F465" s="5"/>
      <c r="G465" s="6"/>
      <c r="H465" s="6"/>
      <c r="I465" s="6"/>
      <c r="J465" s="6"/>
    </row>
    <row r="466" spans="1:10">
      <c r="A466" s="3"/>
      <c r="B466" s="4"/>
      <c r="C466" s="4"/>
      <c r="E466" s="4"/>
      <c r="F466" s="5"/>
      <c r="G466" s="6"/>
      <c r="H466" s="6"/>
      <c r="I466" s="6"/>
      <c r="J466" s="6"/>
    </row>
    <row r="467" spans="1:10">
      <c r="A467" s="3"/>
      <c r="B467" s="4"/>
      <c r="C467" s="4"/>
      <c r="E467" s="4"/>
      <c r="F467" s="5"/>
      <c r="G467" s="6"/>
      <c r="H467" s="6"/>
      <c r="I467" s="6"/>
      <c r="J467" s="6"/>
    </row>
    <row r="468" spans="1:10">
      <c r="A468" s="3"/>
      <c r="B468" s="4"/>
      <c r="C468" s="4"/>
      <c r="E468" s="4"/>
      <c r="F468" s="5"/>
      <c r="G468" s="6"/>
      <c r="H468" s="6"/>
      <c r="I468" s="6"/>
      <c r="J468" s="6"/>
    </row>
    <row r="469" spans="1:10">
      <c r="A469" s="3"/>
      <c r="B469" s="4"/>
      <c r="C469" s="4"/>
      <c r="E469" s="4"/>
      <c r="F469" s="5"/>
      <c r="G469" s="6"/>
      <c r="H469" s="6"/>
      <c r="I469" s="6"/>
      <c r="J469" s="6"/>
    </row>
    <row r="470" spans="1:10">
      <c r="A470" s="3"/>
      <c r="B470" s="4"/>
      <c r="C470" s="4"/>
      <c r="E470" s="4"/>
      <c r="F470" s="5"/>
      <c r="G470" s="6"/>
      <c r="H470" s="6"/>
      <c r="I470" s="6"/>
      <c r="J470" s="6"/>
    </row>
    <row r="471" spans="1:10">
      <c r="A471" s="3"/>
      <c r="B471" s="4"/>
      <c r="C471" s="4"/>
      <c r="E471" s="4"/>
      <c r="F471" s="5"/>
      <c r="G471" s="6"/>
      <c r="H471" s="6"/>
      <c r="I471" s="6"/>
      <c r="J471" s="6"/>
    </row>
    <row r="472" spans="1:10">
      <c r="A472" s="3"/>
      <c r="B472" s="4"/>
      <c r="C472" s="4"/>
      <c r="E472" s="4"/>
      <c r="F472" s="5"/>
      <c r="G472" s="6"/>
      <c r="H472" s="6"/>
      <c r="I472" s="6"/>
      <c r="J472" s="6"/>
    </row>
    <row r="473" spans="1:10">
      <c r="A473" s="3"/>
      <c r="B473" s="4"/>
      <c r="C473" s="4"/>
      <c r="E473" s="4"/>
      <c r="F473" s="5"/>
      <c r="G473" s="6"/>
      <c r="H473" s="6"/>
      <c r="I473" s="6"/>
      <c r="J473" s="6"/>
    </row>
    <row r="474" spans="1:10">
      <c r="A474" s="3"/>
      <c r="B474" s="4"/>
      <c r="C474" s="4"/>
      <c r="E474" s="4"/>
      <c r="F474" s="5"/>
      <c r="G474" s="6"/>
      <c r="H474" s="6"/>
      <c r="I474" s="6"/>
      <c r="J474" s="6"/>
    </row>
    <row r="475" spans="1:10">
      <c r="A475" s="3"/>
      <c r="B475" s="4"/>
      <c r="C475" s="4"/>
      <c r="E475" s="4"/>
      <c r="F475" s="5"/>
      <c r="G475" s="6"/>
      <c r="H475" s="6"/>
      <c r="I475" s="6"/>
      <c r="J475" s="6"/>
    </row>
    <row r="476" spans="1:10">
      <c r="A476" s="3"/>
      <c r="B476" s="4"/>
      <c r="C476" s="4"/>
      <c r="E476" s="4"/>
      <c r="F476" s="5"/>
      <c r="G476" s="6"/>
      <c r="H476" s="6"/>
      <c r="I476" s="6"/>
      <c r="J476" s="6"/>
    </row>
    <row r="477" spans="1:10">
      <c r="A477" s="3"/>
      <c r="B477" s="4"/>
      <c r="C477" s="4"/>
      <c r="E477" s="4"/>
      <c r="F477" s="5"/>
      <c r="G477" s="6"/>
      <c r="H477" s="6"/>
      <c r="I477" s="6"/>
      <c r="J477" s="6"/>
    </row>
    <row r="478" spans="1:10">
      <c r="A478" s="3"/>
      <c r="B478" s="4"/>
      <c r="C478" s="4"/>
      <c r="E478" s="4"/>
      <c r="F478" s="5"/>
      <c r="G478" s="6"/>
      <c r="H478" s="6"/>
      <c r="I478" s="6"/>
      <c r="J478" s="6"/>
    </row>
    <row r="479" spans="1:10">
      <c r="A479" s="3"/>
      <c r="B479" s="4"/>
      <c r="C479" s="4"/>
      <c r="E479" s="4"/>
      <c r="F479" s="5"/>
      <c r="G479" s="6"/>
      <c r="H479" s="6"/>
      <c r="I479" s="6"/>
      <c r="J479" s="6"/>
    </row>
    <row r="480" spans="1:10">
      <c r="A480" s="3"/>
      <c r="B480" s="4"/>
      <c r="C480" s="4"/>
      <c r="E480" s="4"/>
      <c r="F480" s="5"/>
      <c r="G480" s="6"/>
      <c r="H480" s="6"/>
      <c r="I480" s="6"/>
      <c r="J480" s="6"/>
    </row>
    <row r="481" spans="1:10">
      <c r="A481" s="3"/>
      <c r="B481" s="4"/>
      <c r="C481" s="4"/>
      <c r="E481" s="4"/>
      <c r="F481" s="5"/>
      <c r="G481" s="6"/>
      <c r="H481" s="6"/>
      <c r="I481" s="6"/>
      <c r="J481" s="6"/>
    </row>
    <row r="482" spans="1:10">
      <c r="A482" s="3"/>
      <c r="B482" s="4"/>
      <c r="C482" s="4"/>
      <c r="E482" s="4"/>
      <c r="F482" s="5"/>
      <c r="G482" s="6"/>
      <c r="H482" s="6"/>
      <c r="I482" s="6"/>
      <c r="J482" s="6"/>
    </row>
    <row r="483" spans="1:10">
      <c r="A483" s="3"/>
      <c r="B483" s="4"/>
      <c r="C483" s="4"/>
      <c r="E483" s="4"/>
      <c r="F483" s="5"/>
      <c r="G483" s="6"/>
      <c r="H483" s="6"/>
      <c r="I483" s="6"/>
      <c r="J483" s="6"/>
    </row>
    <row r="484" spans="1:10">
      <c r="A484" s="3"/>
      <c r="B484" s="4"/>
      <c r="C484" s="4"/>
      <c r="E484" s="4"/>
      <c r="F484" s="5"/>
      <c r="G484" s="6"/>
      <c r="H484" s="6"/>
      <c r="I484" s="6"/>
      <c r="J484" s="6"/>
    </row>
    <row r="485" spans="1:10">
      <c r="A485" s="3"/>
      <c r="B485" s="4"/>
      <c r="C485" s="4"/>
      <c r="E485" s="4"/>
      <c r="F485" s="5"/>
      <c r="G485" s="6"/>
      <c r="H485" s="6"/>
      <c r="I485" s="6"/>
      <c r="J485" s="6"/>
    </row>
    <row r="486" spans="1:10">
      <c r="A486" s="3"/>
      <c r="B486" s="4"/>
      <c r="C486" s="4"/>
      <c r="E486" s="4"/>
      <c r="F486" s="5"/>
      <c r="G486" s="6"/>
      <c r="H486" s="6"/>
      <c r="I486" s="6"/>
      <c r="J486" s="6"/>
    </row>
    <row r="487" spans="1:10">
      <c r="A487" s="3"/>
      <c r="B487" s="4"/>
      <c r="C487" s="4"/>
      <c r="E487" s="4"/>
      <c r="F487" s="5"/>
      <c r="G487" s="6"/>
      <c r="H487" s="6"/>
      <c r="I487" s="6"/>
      <c r="J487" s="6"/>
    </row>
    <row r="488" spans="1:10">
      <c r="A488" s="3"/>
      <c r="B488" s="4"/>
      <c r="C488" s="4"/>
      <c r="E488" s="4"/>
      <c r="F488" s="5"/>
      <c r="G488" s="6"/>
      <c r="H488" s="6"/>
      <c r="I488" s="6"/>
      <c r="J488" s="6"/>
    </row>
    <row r="489" spans="1:10">
      <c r="A489" s="3"/>
      <c r="B489" s="4"/>
      <c r="C489" s="4"/>
      <c r="E489" s="4"/>
      <c r="F489" s="5"/>
      <c r="G489" s="6"/>
      <c r="H489" s="6"/>
      <c r="I489" s="6"/>
      <c r="J489" s="6"/>
    </row>
    <row r="490" spans="1:10">
      <c r="A490" s="3"/>
      <c r="B490" s="4"/>
      <c r="C490" s="4"/>
      <c r="E490" s="4"/>
      <c r="F490" s="5"/>
      <c r="G490" s="6"/>
      <c r="H490" s="6"/>
      <c r="I490" s="6"/>
      <c r="J490" s="6"/>
    </row>
    <row r="491" spans="1:10">
      <c r="A491" s="3"/>
      <c r="B491" s="4"/>
      <c r="C491" s="4"/>
      <c r="E491" s="4"/>
      <c r="F491" s="5"/>
      <c r="G491" s="6"/>
      <c r="H491" s="6"/>
      <c r="I491" s="6"/>
      <c r="J491" s="6"/>
    </row>
    <row r="492" spans="1:10">
      <c r="A492" s="3"/>
      <c r="B492" s="4"/>
      <c r="C492" s="4"/>
      <c r="E492" s="4"/>
      <c r="F492" s="5"/>
      <c r="G492" s="6"/>
      <c r="H492" s="6"/>
      <c r="I492" s="6"/>
      <c r="J492" s="6"/>
    </row>
    <row r="493" spans="1:10">
      <c r="A493" s="3"/>
      <c r="B493" s="4"/>
      <c r="C493" s="4"/>
      <c r="E493" s="4"/>
      <c r="F493" s="5"/>
      <c r="G493" s="6"/>
      <c r="H493" s="6"/>
      <c r="I493" s="6"/>
      <c r="J493" s="6"/>
    </row>
    <row r="494" spans="1:10">
      <c r="A494" s="3"/>
      <c r="B494" s="4"/>
      <c r="C494" s="4"/>
      <c r="E494" s="4"/>
      <c r="F494" s="5"/>
      <c r="G494" s="6"/>
      <c r="H494" s="6"/>
      <c r="I494" s="6"/>
      <c r="J494" s="6"/>
    </row>
    <row r="495" spans="1:10">
      <c r="A495" s="3"/>
      <c r="B495" s="4"/>
      <c r="C495" s="4"/>
      <c r="E495" s="4"/>
      <c r="F495" s="5"/>
      <c r="G495" s="6"/>
      <c r="H495" s="6"/>
      <c r="I495" s="6"/>
      <c r="J495" s="6"/>
    </row>
    <row r="496" spans="1:10">
      <c r="A496" s="3"/>
      <c r="B496" s="4"/>
      <c r="C496" s="4"/>
      <c r="E496" s="4"/>
      <c r="F496" s="5"/>
      <c r="G496" s="6"/>
      <c r="H496" s="6"/>
      <c r="I496" s="6"/>
      <c r="J496" s="6"/>
    </row>
    <row r="497" spans="1:10">
      <c r="A497" s="3"/>
      <c r="B497" s="4"/>
      <c r="C497" s="4"/>
      <c r="E497" s="4"/>
      <c r="F497" s="5"/>
      <c r="G497" s="6"/>
      <c r="H497" s="6"/>
      <c r="I497" s="6"/>
      <c r="J497" s="6"/>
    </row>
    <row r="498" spans="1:10">
      <c r="A498" s="3"/>
      <c r="B498" s="4"/>
      <c r="C498" s="4"/>
      <c r="E498" s="4"/>
      <c r="F498" s="5"/>
      <c r="G498" s="6"/>
      <c r="H498" s="6"/>
      <c r="I498" s="6"/>
      <c r="J498" s="6"/>
    </row>
    <row r="499" spans="1:10">
      <c r="A499" s="3"/>
      <c r="B499" s="4"/>
      <c r="C499" s="4"/>
      <c r="E499" s="4"/>
      <c r="F499" s="5"/>
      <c r="G499" s="6"/>
      <c r="H499" s="6"/>
      <c r="I499" s="6"/>
      <c r="J499" s="6"/>
    </row>
    <row r="500" spans="1:10">
      <c r="A500" s="3"/>
      <c r="B500" s="4"/>
      <c r="C500" s="4"/>
      <c r="E500" s="4"/>
      <c r="F500" s="5"/>
      <c r="G500" s="6"/>
      <c r="H500" s="6"/>
      <c r="I500" s="6"/>
      <c r="J500" s="6"/>
    </row>
    <row r="501" spans="1:10">
      <c r="A501" s="3"/>
      <c r="B501" s="4"/>
      <c r="C501" s="4"/>
      <c r="E501" s="4"/>
      <c r="F501" s="5"/>
      <c r="G501" s="6"/>
      <c r="H501" s="6"/>
      <c r="I501" s="6"/>
      <c r="J501" s="6"/>
    </row>
    <row r="502" spans="1:10">
      <c r="A502" s="3"/>
      <c r="B502" s="4"/>
      <c r="C502" s="4"/>
      <c r="E502" s="4"/>
      <c r="F502" s="5"/>
      <c r="G502" s="6"/>
      <c r="H502" s="6"/>
      <c r="I502" s="6"/>
      <c r="J502" s="6"/>
    </row>
    <row r="503" spans="1:10">
      <c r="A503" s="3"/>
      <c r="B503" s="4"/>
      <c r="C503" s="4"/>
      <c r="E503" s="4"/>
      <c r="F503" s="5"/>
      <c r="G503" s="6"/>
      <c r="H503" s="6"/>
      <c r="I503" s="6"/>
      <c r="J503" s="6"/>
    </row>
    <row r="504" spans="1:10">
      <c r="A504" s="3"/>
      <c r="B504" s="4"/>
      <c r="C504" s="4"/>
      <c r="E504" s="4"/>
      <c r="F504" s="5"/>
      <c r="G504" s="6"/>
      <c r="H504" s="6"/>
      <c r="I504" s="6"/>
      <c r="J504" s="6"/>
    </row>
    <row r="505" spans="1:10">
      <c r="A505" s="3"/>
      <c r="B505" s="4"/>
      <c r="C505" s="4"/>
      <c r="E505" s="4"/>
      <c r="F505" s="5"/>
      <c r="G505" s="6"/>
      <c r="H505" s="6"/>
      <c r="I505" s="6"/>
      <c r="J505" s="6"/>
    </row>
    <row r="506" spans="1:10">
      <c r="A506" s="3"/>
      <c r="B506" s="4"/>
      <c r="C506" s="4"/>
      <c r="E506" s="4"/>
      <c r="F506" s="5"/>
      <c r="G506" s="6"/>
      <c r="H506" s="6"/>
      <c r="I506" s="6"/>
      <c r="J506" s="6"/>
    </row>
    <row r="507" spans="1:10">
      <c r="A507" s="3"/>
      <c r="B507" s="4"/>
      <c r="C507" s="4"/>
      <c r="E507" s="4"/>
      <c r="F507" s="5"/>
      <c r="G507" s="6"/>
      <c r="H507" s="6"/>
      <c r="I507" s="6"/>
      <c r="J507" s="6"/>
    </row>
    <row r="508" spans="1:10">
      <c r="A508" s="3"/>
      <c r="B508" s="4"/>
      <c r="C508" s="4"/>
      <c r="E508" s="4"/>
      <c r="F508" s="5"/>
      <c r="G508" s="6"/>
      <c r="H508" s="6"/>
      <c r="I508" s="6"/>
      <c r="J508" s="6"/>
    </row>
    <row r="509" spans="1:10">
      <c r="A509" s="3"/>
      <c r="B509" s="4"/>
      <c r="C509" s="4"/>
      <c r="E509" s="4"/>
      <c r="F509" s="5"/>
      <c r="G509" s="6"/>
      <c r="H509" s="6"/>
      <c r="I509" s="6"/>
      <c r="J509" s="6"/>
    </row>
    <row r="510" spans="1:10">
      <c r="A510" s="3"/>
      <c r="B510" s="4"/>
      <c r="C510" s="4"/>
      <c r="E510" s="4"/>
      <c r="F510" s="5"/>
      <c r="G510" s="6"/>
      <c r="H510" s="6"/>
      <c r="I510" s="6"/>
      <c r="J510" s="6"/>
    </row>
    <row r="511" spans="1:10">
      <c r="A511" s="3"/>
      <c r="B511" s="4"/>
      <c r="C511" s="4"/>
      <c r="E511" s="4"/>
      <c r="F511" s="5"/>
      <c r="G511" s="6"/>
      <c r="H511" s="6"/>
      <c r="I511" s="6"/>
      <c r="J511" s="6"/>
    </row>
    <row r="512" spans="1:10">
      <c r="A512" s="3"/>
      <c r="B512" s="4"/>
      <c r="C512" s="4"/>
      <c r="E512" s="4"/>
      <c r="F512" s="5"/>
      <c r="G512" s="6"/>
      <c r="H512" s="6"/>
      <c r="I512" s="6"/>
      <c r="J512" s="6"/>
    </row>
    <row r="513" spans="1:10">
      <c r="A513" s="3"/>
      <c r="B513" s="4"/>
      <c r="C513" s="4"/>
      <c r="E513" s="4"/>
      <c r="F513" s="5"/>
      <c r="G513" s="6"/>
      <c r="H513" s="6"/>
      <c r="I513" s="6"/>
      <c r="J513" s="6"/>
    </row>
    <row r="514" spans="1:10">
      <c r="A514" s="3"/>
      <c r="B514" s="4"/>
      <c r="C514" s="4"/>
      <c r="E514" s="4"/>
      <c r="F514" s="5"/>
      <c r="G514" s="6"/>
      <c r="H514" s="6"/>
      <c r="I514" s="6"/>
      <c r="J514" s="6"/>
    </row>
    <row r="515" spans="1:10">
      <c r="A515" s="3"/>
      <c r="B515" s="4"/>
      <c r="C515" s="4"/>
      <c r="E515" s="4"/>
      <c r="F515" s="5"/>
      <c r="G515" s="6"/>
      <c r="H515" s="6"/>
      <c r="I515" s="6"/>
      <c r="J515" s="6"/>
    </row>
    <row r="516" spans="1:10">
      <c r="A516" s="3"/>
      <c r="B516" s="4"/>
      <c r="C516" s="4"/>
      <c r="E516" s="4"/>
      <c r="F516" s="5"/>
      <c r="G516" s="6"/>
      <c r="H516" s="6"/>
      <c r="I516" s="6"/>
      <c r="J516" s="6"/>
    </row>
    <row r="517" spans="1:10">
      <c r="A517" s="3"/>
      <c r="B517" s="4"/>
      <c r="C517" s="4"/>
      <c r="E517" s="4"/>
      <c r="F517" s="5"/>
      <c r="G517" s="6"/>
      <c r="H517" s="6"/>
      <c r="I517" s="6"/>
      <c r="J517" s="6"/>
    </row>
    <row r="518" spans="1:10">
      <c r="A518" s="3"/>
      <c r="B518" s="4"/>
      <c r="C518" s="4"/>
      <c r="E518" s="4"/>
      <c r="F518" s="5"/>
      <c r="G518" s="6"/>
      <c r="H518" s="6"/>
      <c r="I518" s="6"/>
      <c r="J518" s="6"/>
    </row>
    <row r="519" spans="1:10">
      <c r="A519" s="3"/>
      <c r="B519" s="4"/>
      <c r="C519" s="4"/>
      <c r="E519" s="4"/>
      <c r="F519" s="5"/>
      <c r="G519" s="6"/>
      <c r="H519" s="6"/>
      <c r="I519" s="6"/>
      <c r="J519" s="6"/>
    </row>
    <row r="520" spans="1:10">
      <c r="A520" s="3"/>
      <c r="B520" s="4"/>
      <c r="C520" s="4"/>
      <c r="E520" s="4"/>
      <c r="F520" s="5"/>
      <c r="G520" s="6"/>
      <c r="H520" s="6"/>
      <c r="I520" s="6"/>
      <c r="J520" s="6"/>
    </row>
    <row r="521" spans="1:10">
      <c r="A521" s="3"/>
      <c r="B521" s="4"/>
      <c r="C521" s="4"/>
      <c r="E521" s="4"/>
      <c r="F521" s="5"/>
      <c r="G521" s="6"/>
      <c r="H521" s="6"/>
      <c r="I521" s="6"/>
      <c r="J521" s="6"/>
    </row>
    <row r="522" spans="1:10">
      <c r="A522" s="3"/>
      <c r="B522" s="4"/>
      <c r="C522" s="4"/>
      <c r="E522" s="4"/>
      <c r="F522" s="5"/>
      <c r="G522" s="6"/>
      <c r="H522" s="6"/>
      <c r="I522" s="6"/>
      <c r="J522" s="6"/>
    </row>
    <row r="523" spans="1:10">
      <c r="A523" s="3"/>
      <c r="B523" s="4"/>
      <c r="C523" s="4"/>
      <c r="E523" s="4"/>
      <c r="F523" s="5"/>
      <c r="G523" s="6"/>
      <c r="H523" s="6"/>
      <c r="I523" s="6"/>
      <c r="J523" s="6"/>
    </row>
    <row r="524" spans="1:10">
      <c r="A524" s="3"/>
      <c r="B524" s="4"/>
      <c r="C524" s="4"/>
      <c r="E524" s="4"/>
      <c r="F524" s="5"/>
      <c r="G524" s="6"/>
      <c r="H524" s="6"/>
      <c r="I524" s="6"/>
      <c r="J524" s="6"/>
    </row>
    <row r="525" spans="1:10">
      <c r="A525" s="3"/>
      <c r="B525" s="4"/>
      <c r="C525" s="4"/>
      <c r="E525" s="4"/>
      <c r="F525" s="5"/>
      <c r="G525" s="6"/>
      <c r="H525" s="6"/>
      <c r="I525" s="6"/>
      <c r="J525" s="6"/>
    </row>
    <row r="526" spans="1:10">
      <c r="A526" s="3"/>
      <c r="B526" s="4"/>
      <c r="C526" s="4"/>
      <c r="E526" s="4"/>
      <c r="F526" s="5"/>
      <c r="G526" s="6"/>
      <c r="H526" s="6"/>
      <c r="I526" s="6"/>
      <c r="J526" s="6"/>
    </row>
    <row r="527" spans="1:10">
      <c r="A527" s="3"/>
      <c r="B527" s="4"/>
      <c r="C527" s="4"/>
      <c r="E527" s="4"/>
      <c r="F527" s="5"/>
      <c r="G527" s="6"/>
      <c r="H527" s="6"/>
      <c r="I527" s="6"/>
      <c r="J527" s="6"/>
    </row>
    <row r="528" spans="1:10">
      <c r="A528" s="3"/>
      <c r="B528" s="4"/>
      <c r="C528" s="4"/>
      <c r="E528" s="4"/>
      <c r="F528" s="5"/>
      <c r="G528" s="6"/>
      <c r="H528" s="6"/>
      <c r="I528" s="6"/>
      <c r="J528" s="6"/>
    </row>
    <row r="529" spans="1:10">
      <c r="A529" s="3"/>
      <c r="B529" s="4"/>
      <c r="C529" s="4"/>
      <c r="E529" s="4"/>
      <c r="F529" s="5"/>
      <c r="G529" s="6"/>
      <c r="H529" s="6"/>
      <c r="I529" s="6"/>
      <c r="J529" s="6"/>
    </row>
    <row r="530" spans="1:10">
      <c r="A530" s="3"/>
      <c r="B530" s="4"/>
      <c r="C530" s="4"/>
      <c r="E530" s="4"/>
      <c r="F530" s="5"/>
      <c r="G530" s="6"/>
      <c r="H530" s="6"/>
      <c r="I530" s="6"/>
      <c r="J530" s="6"/>
    </row>
    <row r="531" spans="1:10">
      <c r="A531" s="3"/>
      <c r="B531" s="4"/>
      <c r="C531" s="4"/>
      <c r="E531" s="4"/>
      <c r="F531" s="5"/>
      <c r="G531" s="6"/>
      <c r="H531" s="6"/>
      <c r="I531" s="6"/>
      <c r="J531" s="6"/>
    </row>
    <row r="532" spans="1:10">
      <c r="A532" s="3"/>
      <c r="B532" s="4"/>
      <c r="C532" s="4"/>
      <c r="E532" s="4"/>
      <c r="F532" s="5"/>
      <c r="G532" s="6"/>
      <c r="H532" s="6"/>
      <c r="I532" s="6"/>
      <c r="J532" s="6"/>
    </row>
    <row r="533" spans="1:10">
      <c r="A533" s="3"/>
      <c r="B533" s="4"/>
      <c r="C533" s="4"/>
      <c r="E533" s="4"/>
      <c r="F533" s="5"/>
      <c r="G533" s="6"/>
      <c r="H533" s="6"/>
      <c r="I533" s="6"/>
      <c r="J533" s="6"/>
    </row>
    <row r="534" spans="1:10">
      <c r="A534" s="3"/>
      <c r="B534" s="4"/>
      <c r="C534" s="4"/>
      <c r="E534" s="4"/>
      <c r="F534" s="5"/>
      <c r="G534" s="6"/>
      <c r="H534" s="6"/>
      <c r="I534" s="6"/>
      <c r="J534" s="6"/>
    </row>
    <row r="535" spans="1:10">
      <c r="A535" s="3"/>
      <c r="B535" s="4"/>
      <c r="C535" s="4"/>
      <c r="E535" s="4"/>
      <c r="F535" s="5"/>
      <c r="G535" s="6"/>
      <c r="H535" s="6"/>
      <c r="I535" s="6"/>
      <c r="J535" s="6"/>
    </row>
    <row r="536" spans="1:10">
      <c r="A536" s="3"/>
      <c r="B536" s="4"/>
      <c r="C536" s="4"/>
      <c r="E536" s="4"/>
      <c r="F536" s="5"/>
      <c r="G536" s="6"/>
      <c r="H536" s="6"/>
      <c r="I536" s="6"/>
      <c r="J536" s="6"/>
    </row>
    <row r="537" spans="1:10">
      <c r="A537" s="3"/>
      <c r="B537" s="4"/>
      <c r="C537" s="4"/>
      <c r="E537" s="4"/>
      <c r="F537" s="5"/>
      <c r="G537" s="6"/>
      <c r="H537" s="6"/>
      <c r="I537" s="6"/>
      <c r="J537" s="6"/>
    </row>
    <row r="538" spans="1:10">
      <c r="A538" s="3"/>
      <c r="B538" s="4"/>
      <c r="C538" s="4"/>
      <c r="E538" s="4"/>
      <c r="F538" s="5"/>
      <c r="G538" s="6"/>
      <c r="H538" s="6"/>
      <c r="I538" s="6"/>
      <c r="J538" s="6"/>
    </row>
    <row r="539" spans="1:10">
      <c r="A539" s="3"/>
      <c r="B539" s="4"/>
      <c r="C539" s="4"/>
      <c r="E539" s="4"/>
      <c r="F539" s="5"/>
      <c r="G539" s="6"/>
      <c r="H539" s="6"/>
      <c r="I539" s="6"/>
      <c r="J539" s="6"/>
    </row>
    <row r="540" spans="1:10">
      <c r="A540" s="3"/>
      <c r="B540" s="4"/>
      <c r="C540" s="4"/>
      <c r="E540" s="4"/>
      <c r="F540" s="5"/>
      <c r="G540" s="6"/>
      <c r="H540" s="6"/>
      <c r="I540" s="6"/>
      <c r="J540" s="6"/>
    </row>
    <row r="541" spans="1:10">
      <c r="A541" s="3"/>
      <c r="B541" s="4"/>
      <c r="C541" s="4"/>
      <c r="E541" s="4"/>
      <c r="F541" s="5"/>
      <c r="G541" s="6"/>
      <c r="H541" s="6"/>
      <c r="I541" s="6"/>
      <c r="J541" s="6"/>
    </row>
    <row r="542" spans="1:10">
      <c r="A542" s="3"/>
      <c r="B542" s="4"/>
      <c r="C542" s="4"/>
      <c r="E542" s="4"/>
      <c r="F542" s="5"/>
      <c r="G542" s="6"/>
      <c r="H542" s="6"/>
      <c r="I542" s="6"/>
      <c r="J542" s="6"/>
    </row>
    <row r="543" spans="1:10">
      <c r="A543" s="3"/>
      <c r="B543" s="4"/>
      <c r="C543" s="4"/>
      <c r="E543" s="4"/>
      <c r="F543" s="5"/>
      <c r="G543" s="6"/>
      <c r="H543" s="6"/>
      <c r="I543" s="6"/>
      <c r="J543" s="6"/>
    </row>
    <row r="544" spans="1:10">
      <c r="A544" s="3"/>
      <c r="B544" s="4"/>
      <c r="C544" s="4"/>
      <c r="E544" s="4"/>
      <c r="F544" s="5"/>
      <c r="G544" s="6"/>
      <c r="H544" s="6"/>
      <c r="I544" s="6"/>
      <c r="J544" s="6"/>
    </row>
    <row r="545" spans="1:10">
      <c r="A545" s="3"/>
      <c r="B545" s="4"/>
      <c r="C545" s="4"/>
      <c r="E545" s="4"/>
      <c r="F545" s="5"/>
      <c r="G545" s="6"/>
      <c r="H545" s="6"/>
      <c r="I545" s="6"/>
      <c r="J545" s="6"/>
    </row>
    <row r="546" spans="1:10">
      <c r="A546" s="3"/>
      <c r="B546" s="4"/>
      <c r="C546" s="4"/>
      <c r="E546" s="4"/>
      <c r="F546" s="5"/>
      <c r="G546" s="6"/>
      <c r="H546" s="6"/>
      <c r="I546" s="6"/>
      <c r="J546" s="6"/>
    </row>
    <row r="547" spans="1:10">
      <c r="A547" s="3"/>
      <c r="B547" s="4"/>
      <c r="C547" s="4"/>
      <c r="E547" s="4"/>
      <c r="F547" s="5"/>
      <c r="G547" s="6"/>
      <c r="H547" s="6"/>
      <c r="I547" s="6"/>
      <c r="J547" s="6"/>
    </row>
    <row r="548" spans="1:10">
      <c r="A548" s="3"/>
      <c r="B548" s="4"/>
      <c r="C548" s="4"/>
      <c r="E548" s="4"/>
      <c r="F548" s="5"/>
      <c r="G548" s="6"/>
      <c r="H548" s="6"/>
      <c r="I548" s="6"/>
      <c r="J548" s="6"/>
    </row>
    <row r="549" spans="1:10">
      <c r="A549" s="3"/>
      <c r="B549" s="4"/>
      <c r="C549" s="4"/>
      <c r="E549" s="4"/>
      <c r="F549" s="5"/>
      <c r="G549" s="6"/>
      <c r="H549" s="6"/>
      <c r="I549" s="6"/>
      <c r="J549" s="6"/>
    </row>
    <row r="550" spans="1:10">
      <c r="A550" s="3"/>
      <c r="B550" s="4"/>
      <c r="C550" s="4"/>
      <c r="E550" s="4"/>
      <c r="F550" s="5"/>
      <c r="G550" s="6"/>
      <c r="H550" s="6"/>
      <c r="I550" s="6"/>
      <c r="J550" s="6"/>
    </row>
    <row r="551" spans="1:10">
      <c r="A551" s="3"/>
      <c r="B551" s="4"/>
      <c r="C551" s="4"/>
      <c r="E551" s="4"/>
      <c r="F551" s="5"/>
      <c r="G551" s="6"/>
      <c r="H551" s="6"/>
      <c r="I551" s="6"/>
      <c r="J551" s="6"/>
    </row>
    <row r="552" spans="1:10">
      <c r="A552" s="3"/>
      <c r="B552" s="4"/>
      <c r="C552" s="4"/>
      <c r="E552" s="4"/>
      <c r="F552" s="5"/>
      <c r="G552" s="6"/>
      <c r="H552" s="6"/>
      <c r="I552" s="6"/>
      <c r="J552" s="6"/>
    </row>
    <row r="553" spans="1:10">
      <c r="A553" s="3"/>
      <c r="B553" s="4"/>
      <c r="C553" s="4"/>
      <c r="E553" s="4"/>
      <c r="F553" s="5"/>
      <c r="G553" s="6"/>
      <c r="H553" s="6"/>
      <c r="I553" s="6"/>
      <c r="J553" s="6"/>
    </row>
    <row r="554" spans="1:10">
      <c r="A554" s="3"/>
      <c r="B554" s="4"/>
      <c r="C554" s="4"/>
      <c r="E554" s="4"/>
      <c r="F554" s="5"/>
      <c r="G554" s="6"/>
      <c r="H554" s="6"/>
      <c r="I554" s="6"/>
      <c r="J554" s="6"/>
    </row>
    <row r="555" spans="1:10">
      <c r="A555" s="3"/>
      <c r="B555" s="4"/>
      <c r="C555" s="4"/>
      <c r="E555" s="4"/>
      <c r="F555" s="5"/>
      <c r="G555" s="6"/>
      <c r="H555" s="6"/>
      <c r="I555" s="6"/>
      <c r="J555" s="6"/>
    </row>
    <row r="556" spans="1:10">
      <c r="A556" s="3"/>
      <c r="B556" s="4"/>
      <c r="C556" s="4"/>
      <c r="E556" s="4"/>
      <c r="F556" s="5"/>
      <c r="G556" s="6"/>
      <c r="H556" s="6"/>
      <c r="I556" s="6"/>
      <c r="J556" s="6"/>
    </row>
    <row r="557" spans="1:10">
      <c r="A557" s="3"/>
      <c r="B557" s="4"/>
      <c r="C557" s="4"/>
      <c r="E557" s="4"/>
      <c r="F557" s="5"/>
      <c r="G557" s="6"/>
      <c r="H557" s="6"/>
      <c r="I557" s="6"/>
      <c r="J557" s="6"/>
    </row>
    <row r="558" spans="1:10">
      <c r="A558" s="3"/>
      <c r="B558" s="4"/>
      <c r="C558" s="4"/>
      <c r="E558" s="4"/>
      <c r="F558" s="5"/>
      <c r="G558" s="6"/>
      <c r="H558" s="6"/>
      <c r="I558" s="6"/>
      <c r="J558" s="6"/>
    </row>
    <row r="559" spans="1:10">
      <c r="A559" s="3"/>
      <c r="B559" s="4"/>
      <c r="C559" s="4"/>
      <c r="E559" s="4"/>
      <c r="F559" s="5"/>
      <c r="G559" s="6"/>
      <c r="H559" s="6"/>
      <c r="I559" s="6"/>
      <c r="J559" s="6"/>
    </row>
    <row r="560" spans="1:10">
      <c r="A560" s="3"/>
      <c r="B560" s="4"/>
      <c r="C560" s="4"/>
      <c r="E560" s="4"/>
      <c r="F560" s="5"/>
      <c r="G560" s="6"/>
      <c r="H560" s="6"/>
      <c r="I560" s="6"/>
      <c r="J560" s="6"/>
    </row>
    <row r="561" spans="1:10">
      <c r="A561" s="3"/>
      <c r="B561" s="4"/>
      <c r="C561" s="4"/>
      <c r="E561" s="4"/>
      <c r="F561" s="5"/>
      <c r="G561" s="6"/>
      <c r="H561" s="6"/>
      <c r="I561" s="6"/>
      <c r="J561" s="6"/>
    </row>
    <row r="562" spans="1:10">
      <c r="A562" s="3"/>
      <c r="B562" s="4"/>
      <c r="C562" s="4"/>
      <c r="E562" s="4"/>
      <c r="F562" s="5"/>
      <c r="G562" s="6"/>
      <c r="H562" s="6"/>
      <c r="I562" s="6"/>
      <c r="J562" s="6"/>
    </row>
    <row r="563" spans="1:10">
      <c r="A563" s="3"/>
      <c r="B563" s="4"/>
      <c r="C563" s="4"/>
      <c r="E563" s="4"/>
      <c r="F563" s="5"/>
      <c r="G563" s="6"/>
      <c r="H563" s="6"/>
      <c r="I563" s="6"/>
      <c r="J563" s="6"/>
    </row>
    <row r="564" spans="1:10">
      <c r="A564" s="3"/>
      <c r="B564" s="4"/>
      <c r="C564" s="4"/>
      <c r="E564" s="4"/>
      <c r="F564" s="5"/>
      <c r="G564" s="6"/>
      <c r="H564" s="6"/>
      <c r="I564" s="6"/>
      <c r="J564" s="6"/>
    </row>
    <row r="565" spans="1:10">
      <c r="A565" s="3"/>
      <c r="B565" s="4"/>
      <c r="C565" s="4"/>
      <c r="E565" s="4"/>
      <c r="F565" s="5"/>
      <c r="G565" s="6"/>
      <c r="H565" s="6"/>
      <c r="I565" s="6"/>
      <c r="J565" s="6"/>
    </row>
    <row r="566" spans="1:10">
      <c r="A566" s="3"/>
      <c r="B566" s="4"/>
      <c r="C566" s="4"/>
      <c r="E566" s="4"/>
      <c r="F566" s="5"/>
      <c r="G566" s="6"/>
      <c r="H566" s="6"/>
      <c r="I566" s="6"/>
      <c r="J566" s="6"/>
    </row>
    <row r="567" spans="1:10">
      <c r="A567" s="3"/>
      <c r="B567" s="4"/>
      <c r="C567" s="4"/>
      <c r="E567" s="4"/>
      <c r="F567" s="5"/>
      <c r="G567" s="6"/>
      <c r="H567" s="6"/>
      <c r="I567" s="6"/>
      <c r="J567" s="6"/>
    </row>
    <row r="568" spans="1:10">
      <c r="A568" s="3"/>
      <c r="B568" s="4"/>
      <c r="C568" s="4"/>
      <c r="E568" s="4"/>
      <c r="F568" s="5"/>
      <c r="G568" s="6"/>
      <c r="H568" s="6"/>
      <c r="I568" s="6"/>
      <c r="J568" s="6"/>
    </row>
    <row r="569" spans="1:10">
      <c r="A569" s="3"/>
      <c r="B569" s="4"/>
      <c r="C569" s="4"/>
      <c r="E569" s="4"/>
      <c r="F569" s="5"/>
      <c r="G569" s="6"/>
      <c r="H569" s="6"/>
      <c r="I569" s="6"/>
      <c r="J569" s="6"/>
    </row>
    <row r="570" spans="1:10">
      <c r="A570" s="3"/>
      <c r="B570" s="4"/>
      <c r="C570" s="4"/>
      <c r="E570" s="4"/>
      <c r="F570" s="5"/>
      <c r="G570" s="6"/>
      <c r="H570" s="6"/>
      <c r="I570" s="6"/>
      <c r="J570" s="6"/>
    </row>
    <row r="571" spans="1:10">
      <c r="A571" s="3"/>
      <c r="B571" s="4"/>
      <c r="C571" s="4"/>
      <c r="E571" s="4"/>
      <c r="F571" s="5"/>
      <c r="G571" s="6"/>
      <c r="H571" s="6"/>
      <c r="I571" s="6"/>
      <c r="J571" s="6"/>
    </row>
    <row r="572" spans="1:10">
      <c r="A572" s="3"/>
      <c r="B572" s="4"/>
      <c r="C572" s="4"/>
      <c r="E572" s="4"/>
      <c r="F572" s="5"/>
      <c r="G572" s="6"/>
      <c r="H572" s="6"/>
      <c r="I572" s="6"/>
      <c r="J572" s="6"/>
    </row>
    <row r="573" spans="1:10">
      <c r="A573" s="3"/>
      <c r="B573" s="4"/>
      <c r="C573" s="4"/>
      <c r="E573" s="4"/>
      <c r="F573" s="5"/>
      <c r="G573" s="6"/>
      <c r="H573" s="6"/>
      <c r="I573" s="6"/>
      <c r="J573" s="6"/>
    </row>
    <row r="574" spans="1:10">
      <c r="A574" s="3"/>
      <c r="B574" s="4"/>
      <c r="C574" s="4"/>
      <c r="E574" s="4"/>
      <c r="F574" s="5"/>
      <c r="G574" s="6"/>
      <c r="H574" s="6"/>
      <c r="I574" s="6"/>
      <c r="J574" s="6"/>
    </row>
    <row r="575" spans="1:10">
      <c r="A575" s="3"/>
      <c r="B575" s="4"/>
      <c r="C575" s="4"/>
      <c r="E575" s="4"/>
      <c r="F575" s="5"/>
      <c r="G575" s="6"/>
      <c r="H575" s="6"/>
      <c r="I575" s="6"/>
      <c r="J575" s="6"/>
    </row>
    <row r="576" spans="1:10">
      <c r="A576" s="3"/>
      <c r="B576" s="4"/>
      <c r="C576" s="4"/>
      <c r="E576" s="4"/>
      <c r="F576" s="5"/>
      <c r="G576" s="6"/>
      <c r="H576" s="6"/>
      <c r="I576" s="6"/>
      <c r="J576" s="6"/>
    </row>
    <row r="577" spans="1:10">
      <c r="A577" s="3"/>
      <c r="B577" s="4"/>
      <c r="C577" s="4"/>
      <c r="E577" s="4"/>
      <c r="F577" s="5"/>
      <c r="G577" s="6"/>
      <c r="H577" s="6"/>
      <c r="I577" s="6"/>
      <c r="J577" s="6"/>
    </row>
    <row r="578" spans="1:10">
      <c r="A578" s="3"/>
      <c r="B578" s="4"/>
      <c r="C578" s="4"/>
      <c r="E578" s="4"/>
      <c r="F578" s="5"/>
      <c r="G578" s="6"/>
      <c r="H578" s="6"/>
      <c r="I578" s="6"/>
      <c r="J578" s="6"/>
    </row>
    <row r="579" spans="1:10">
      <c r="A579" s="3"/>
      <c r="B579" s="4"/>
      <c r="C579" s="4"/>
      <c r="E579" s="4"/>
      <c r="F579" s="5"/>
      <c r="G579" s="6"/>
      <c r="H579" s="6"/>
      <c r="I579" s="6"/>
      <c r="J579" s="6"/>
    </row>
    <row r="580" spans="1:10">
      <c r="A580" s="3"/>
      <c r="B580" s="4"/>
      <c r="C580" s="4"/>
      <c r="E580" s="4"/>
      <c r="F580" s="5"/>
      <c r="G580" s="6"/>
      <c r="H580" s="6"/>
      <c r="I580" s="6"/>
      <c r="J580" s="6"/>
    </row>
    <row r="581" spans="1:10">
      <c r="A581" s="3"/>
      <c r="B581" s="4"/>
      <c r="C581" s="4"/>
      <c r="E581" s="4"/>
      <c r="F581" s="5"/>
      <c r="G581" s="6"/>
      <c r="H581" s="6"/>
      <c r="I581" s="6"/>
      <c r="J581" s="6"/>
    </row>
    <row r="582" spans="1:10">
      <c r="A582" s="3"/>
      <c r="B582" s="4"/>
      <c r="C582" s="4"/>
      <c r="E582" s="4"/>
      <c r="F582" s="5"/>
      <c r="G582" s="6"/>
      <c r="H582" s="6"/>
      <c r="I582" s="6"/>
      <c r="J582" s="6"/>
    </row>
    <row r="583" spans="1:10">
      <c r="A583" s="3"/>
      <c r="B583" s="4"/>
      <c r="C583" s="4"/>
      <c r="E583" s="4"/>
      <c r="F583" s="5"/>
      <c r="G583" s="6"/>
      <c r="H583" s="6"/>
      <c r="I583" s="6"/>
      <c r="J583" s="6"/>
    </row>
    <row r="584" spans="1:10">
      <c r="A584" s="3"/>
      <c r="B584" s="4"/>
      <c r="C584" s="4"/>
      <c r="E584" s="4"/>
      <c r="F584" s="5"/>
      <c r="G584" s="6"/>
      <c r="H584" s="6"/>
      <c r="I584" s="6"/>
      <c r="J584" s="6"/>
    </row>
    <row r="585" spans="1:10">
      <c r="A585" s="3"/>
      <c r="B585" s="4"/>
      <c r="C585" s="4"/>
      <c r="E585" s="4"/>
      <c r="F585" s="5"/>
      <c r="G585" s="6"/>
      <c r="H585" s="6"/>
      <c r="I585" s="6"/>
      <c r="J585" s="6"/>
    </row>
    <row r="586" spans="1:10">
      <c r="A586" s="3"/>
      <c r="B586" s="4"/>
      <c r="C586" s="4"/>
      <c r="E586" s="4"/>
      <c r="F586" s="5"/>
      <c r="G586" s="6"/>
      <c r="H586" s="6"/>
      <c r="I586" s="6"/>
      <c r="J586" s="6"/>
    </row>
    <row r="587" spans="1:10">
      <c r="A587" s="3"/>
      <c r="B587" s="4"/>
      <c r="C587" s="4"/>
      <c r="E587" s="4"/>
      <c r="F587" s="5"/>
      <c r="G587" s="6"/>
      <c r="H587" s="6"/>
      <c r="I587" s="6"/>
      <c r="J587" s="6"/>
    </row>
    <row r="588" spans="1:10">
      <c r="A588" s="3"/>
      <c r="B588" s="4"/>
      <c r="C588" s="4"/>
      <c r="E588" s="4"/>
      <c r="F588" s="5"/>
      <c r="G588" s="6"/>
      <c r="H588" s="6"/>
      <c r="I588" s="6"/>
      <c r="J588" s="6"/>
    </row>
    <row r="589" spans="1:10">
      <c r="A589" s="3"/>
      <c r="B589" s="4"/>
      <c r="C589" s="4"/>
      <c r="E589" s="4"/>
      <c r="F589" s="5"/>
      <c r="G589" s="6"/>
      <c r="H589" s="6"/>
      <c r="I589" s="6"/>
      <c r="J589" s="6"/>
    </row>
    <row r="590" spans="1:10">
      <c r="A590" s="3"/>
      <c r="B590" s="4"/>
      <c r="C590" s="4"/>
      <c r="E590" s="4"/>
      <c r="F590" s="5"/>
      <c r="G590" s="6"/>
      <c r="H590" s="6"/>
      <c r="I590" s="6"/>
      <c r="J590" s="6"/>
    </row>
    <row r="591" spans="1:10">
      <c r="A591" s="3"/>
      <c r="B591" s="4"/>
      <c r="C591" s="4"/>
      <c r="E591" s="4"/>
      <c r="F591" s="5"/>
      <c r="G591" s="6"/>
      <c r="H591" s="6"/>
      <c r="I591" s="6"/>
      <c r="J591" s="6"/>
    </row>
    <row r="592" spans="1:10">
      <c r="A592" s="3"/>
      <c r="B592" s="4"/>
      <c r="C592" s="4"/>
      <c r="E592" s="4"/>
      <c r="F592" s="5"/>
      <c r="G592" s="6"/>
      <c r="H592" s="6"/>
      <c r="I592" s="6"/>
      <c r="J592" s="6"/>
    </row>
    <row r="593" spans="1:10">
      <c r="A593" s="3"/>
      <c r="B593" s="4"/>
      <c r="C593" s="4"/>
      <c r="E593" s="4"/>
      <c r="F593" s="5"/>
      <c r="G593" s="6"/>
      <c r="H593" s="6"/>
      <c r="I593" s="6"/>
      <c r="J593" s="6"/>
    </row>
    <row r="594" spans="1:10">
      <c r="A594" s="3"/>
      <c r="B594" s="4"/>
      <c r="C594" s="4"/>
      <c r="E594" s="4"/>
      <c r="F594" s="5"/>
      <c r="G594" s="6"/>
      <c r="H594" s="6"/>
      <c r="I594" s="6"/>
      <c r="J594" s="6"/>
    </row>
    <row r="595" spans="1:10">
      <c r="A595" s="3"/>
      <c r="B595" s="4"/>
      <c r="C595" s="4"/>
      <c r="E595" s="4"/>
      <c r="F595" s="5"/>
      <c r="G595" s="6"/>
      <c r="H595" s="6"/>
      <c r="I595" s="6"/>
      <c r="J595" s="6"/>
    </row>
    <row r="596" spans="1:10">
      <c r="A596" s="3"/>
      <c r="B596" s="4"/>
      <c r="C596" s="4"/>
      <c r="E596" s="4"/>
      <c r="F596" s="5"/>
      <c r="G596" s="6"/>
      <c r="H596" s="6"/>
      <c r="I596" s="6"/>
      <c r="J596" s="6"/>
    </row>
    <row r="597" spans="1:10">
      <c r="A597" s="3"/>
      <c r="B597" s="4"/>
      <c r="C597" s="4"/>
      <c r="E597" s="4"/>
      <c r="F597" s="5"/>
      <c r="G597" s="6"/>
      <c r="H597" s="6"/>
      <c r="I597" s="6"/>
      <c r="J597" s="6"/>
    </row>
    <row r="598" spans="1:10">
      <c r="A598" s="3"/>
      <c r="B598" s="4"/>
      <c r="C598" s="4"/>
      <c r="E598" s="4"/>
      <c r="F598" s="5"/>
      <c r="G598" s="6"/>
      <c r="H598" s="6"/>
      <c r="I598" s="6"/>
      <c r="J598" s="6"/>
    </row>
    <row r="599" spans="1:10">
      <c r="A599" s="3"/>
      <c r="B599" s="4"/>
      <c r="C599" s="4"/>
      <c r="E599" s="4"/>
      <c r="F599" s="5"/>
      <c r="G599" s="6"/>
      <c r="H599" s="6"/>
      <c r="I599" s="6"/>
      <c r="J599" s="6"/>
    </row>
    <row r="600" spans="1:10">
      <c r="A600" s="3"/>
      <c r="B600" s="4"/>
      <c r="C600" s="4"/>
      <c r="E600" s="4"/>
      <c r="F600" s="5"/>
      <c r="G600" s="6"/>
      <c r="H600" s="6"/>
      <c r="I600" s="6"/>
      <c r="J600" s="6"/>
    </row>
    <row r="601" spans="1:10">
      <c r="A601" s="3"/>
      <c r="B601" s="4"/>
      <c r="C601" s="4"/>
      <c r="E601" s="4"/>
      <c r="F601" s="5"/>
      <c r="G601" s="6"/>
      <c r="H601" s="6"/>
      <c r="I601" s="6"/>
      <c r="J601" s="6"/>
    </row>
    <row r="602" spans="1:10">
      <c r="A602" s="3"/>
      <c r="B602" s="4"/>
      <c r="C602" s="4"/>
      <c r="E602" s="4"/>
      <c r="F602" s="5"/>
      <c r="G602" s="6"/>
      <c r="H602" s="6"/>
      <c r="I602" s="6"/>
      <c r="J602" s="6"/>
    </row>
    <row r="603" spans="1:10">
      <c r="A603" s="3"/>
      <c r="B603" s="4"/>
      <c r="C603" s="4"/>
      <c r="E603" s="4"/>
      <c r="F603" s="5"/>
      <c r="G603" s="6"/>
      <c r="H603" s="6"/>
      <c r="I603" s="6"/>
      <c r="J603" s="6"/>
    </row>
    <row r="604" spans="1:10">
      <c r="A604" s="3"/>
      <c r="B604" s="4"/>
      <c r="C604" s="4"/>
      <c r="E604" s="4"/>
      <c r="F604" s="5"/>
      <c r="G604" s="6"/>
      <c r="H604" s="6"/>
      <c r="I604" s="6"/>
      <c r="J604" s="6"/>
    </row>
    <row r="605" spans="1:10">
      <c r="A605" s="3"/>
      <c r="B605" s="4"/>
      <c r="C605" s="4"/>
      <c r="E605" s="4"/>
      <c r="F605" s="5"/>
      <c r="G605" s="6"/>
      <c r="H605" s="6"/>
      <c r="I605" s="6"/>
      <c r="J605" s="6"/>
    </row>
    <row r="606" spans="1:10">
      <c r="A606" s="3"/>
      <c r="B606" s="4"/>
      <c r="C606" s="4"/>
      <c r="E606" s="4"/>
      <c r="F606" s="5"/>
      <c r="G606" s="6"/>
      <c r="H606" s="6"/>
      <c r="I606" s="6"/>
      <c r="J606" s="6"/>
    </row>
    <row r="607" spans="1:10">
      <c r="A607" s="3"/>
      <c r="B607" s="4"/>
      <c r="C607" s="4"/>
      <c r="E607" s="4"/>
      <c r="F607" s="5"/>
      <c r="G607" s="6"/>
      <c r="H607" s="6"/>
      <c r="I607" s="6"/>
      <c r="J607" s="6"/>
    </row>
    <row r="608" spans="1:10">
      <c r="A608" s="3"/>
      <c r="B608" s="4"/>
      <c r="C608" s="4"/>
      <c r="E608" s="4"/>
      <c r="F608" s="5"/>
      <c r="G608" s="6"/>
      <c r="H608" s="6"/>
      <c r="I608" s="6"/>
      <c r="J608" s="6"/>
    </row>
    <row r="609" spans="1:10">
      <c r="A609" s="3"/>
      <c r="B609" s="4"/>
      <c r="C609" s="4"/>
      <c r="E609" s="4"/>
      <c r="F609" s="5"/>
      <c r="G609" s="6"/>
      <c r="H609" s="6"/>
      <c r="I609" s="6"/>
      <c r="J609" s="6"/>
    </row>
    <row r="610" spans="1:10">
      <c r="A610" s="3"/>
      <c r="B610" s="4"/>
      <c r="C610" s="4"/>
      <c r="E610" s="4"/>
      <c r="F610" s="5"/>
      <c r="G610" s="6"/>
      <c r="H610" s="6"/>
      <c r="I610" s="6"/>
      <c r="J610" s="6"/>
    </row>
    <row r="611" spans="1:10">
      <c r="A611" s="3"/>
      <c r="B611" s="4"/>
      <c r="C611" s="4"/>
      <c r="E611" s="4"/>
      <c r="F611" s="5"/>
      <c r="G611" s="6"/>
      <c r="H611" s="6"/>
      <c r="I611" s="6"/>
      <c r="J611" s="6"/>
    </row>
    <row r="612" spans="1:10">
      <c r="A612" s="3"/>
      <c r="B612" s="4"/>
      <c r="C612" s="4"/>
      <c r="E612" s="4"/>
      <c r="F612" s="5"/>
      <c r="G612" s="6"/>
      <c r="H612" s="6"/>
      <c r="I612" s="6"/>
      <c r="J612" s="6"/>
    </row>
    <row r="613" spans="1:10">
      <c r="A613" s="3"/>
      <c r="B613" s="4"/>
      <c r="C613" s="4"/>
      <c r="E613" s="4"/>
      <c r="F613" s="5"/>
      <c r="G613" s="6"/>
      <c r="H613" s="6"/>
      <c r="I613" s="6"/>
      <c r="J613" s="6"/>
    </row>
    <row r="614" spans="1:10">
      <c r="A614" s="3"/>
      <c r="B614" s="4"/>
      <c r="C614" s="4"/>
      <c r="E614" s="4"/>
      <c r="F614" s="5"/>
      <c r="G614" s="6"/>
      <c r="H614" s="6"/>
      <c r="I614" s="6"/>
      <c r="J614" s="6"/>
    </row>
    <row r="615" spans="1:10">
      <c r="A615" s="3"/>
      <c r="B615" s="4"/>
      <c r="C615" s="4"/>
      <c r="E615" s="4"/>
      <c r="F615" s="5"/>
      <c r="G615" s="6"/>
      <c r="H615" s="6"/>
      <c r="I615" s="6"/>
      <c r="J615" s="6"/>
    </row>
    <row r="616" spans="1:10">
      <c r="A616" s="3"/>
      <c r="B616" s="4"/>
      <c r="C616" s="4"/>
      <c r="E616" s="4"/>
      <c r="F616" s="5"/>
      <c r="G616" s="6"/>
      <c r="H616" s="6"/>
      <c r="I616" s="6"/>
      <c r="J616" s="6"/>
    </row>
    <row r="617" spans="1:10">
      <c r="A617" s="3"/>
      <c r="B617" s="4"/>
      <c r="C617" s="4"/>
      <c r="E617" s="4"/>
      <c r="F617" s="5"/>
      <c r="G617" s="6"/>
      <c r="H617" s="6"/>
      <c r="I617" s="6"/>
      <c r="J617" s="6"/>
    </row>
    <row r="618" spans="1:10">
      <c r="A618" s="3"/>
      <c r="B618" s="4"/>
      <c r="C618" s="4"/>
      <c r="E618" s="4"/>
      <c r="F618" s="5"/>
      <c r="G618" s="6"/>
      <c r="H618" s="6"/>
      <c r="I618" s="6"/>
      <c r="J618" s="6"/>
    </row>
    <row r="619" spans="1:10">
      <c r="A619" s="3"/>
      <c r="B619" s="4"/>
      <c r="C619" s="4"/>
      <c r="E619" s="4"/>
      <c r="F619" s="5"/>
      <c r="G619" s="6"/>
      <c r="H619" s="6"/>
      <c r="I619" s="6"/>
      <c r="J619" s="6"/>
    </row>
    <row r="620" spans="1:10">
      <c r="A620" s="3"/>
      <c r="B620" s="4"/>
      <c r="C620" s="4"/>
      <c r="E620" s="4"/>
      <c r="F620" s="5"/>
      <c r="G620" s="6"/>
      <c r="H620" s="6"/>
      <c r="I620" s="6"/>
      <c r="J620" s="6"/>
    </row>
    <row r="621" spans="1:10">
      <c r="A621" s="3"/>
      <c r="B621" s="4"/>
      <c r="C621" s="4"/>
      <c r="E621" s="4"/>
      <c r="F621" s="5"/>
      <c r="G621" s="6"/>
      <c r="H621" s="6"/>
      <c r="I621" s="6"/>
      <c r="J621" s="6"/>
    </row>
    <row r="622" spans="1:10">
      <c r="A622" s="3"/>
      <c r="B622" s="4"/>
      <c r="C622" s="4"/>
      <c r="E622" s="4"/>
      <c r="F622" s="5"/>
      <c r="G622" s="6"/>
      <c r="H622" s="6"/>
      <c r="I622" s="6"/>
      <c r="J622" s="6"/>
    </row>
    <row r="623" spans="1:10">
      <c r="A623" s="3"/>
      <c r="B623" s="4"/>
      <c r="C623" s="4"/>
      <c r="E623" s="4"/>
      <c r="F623" s="5"/>
      <c r="G623" s="6"/>
      <c r="H623" s="6"/>
      <c r="I623" s="6"/>
      <c r="J623" s="6"/>
    </row>
    <row r="624" spans="1:10">
      <c r="A624" s="3"/>
      <c r="B624" s="4"/>
      <c r="C624" s="4"/>
      <c r="E624" s="4"/>
      <c r="F624" s="5"/>
      <c r="G624" s="6"/>
      <c r="H624" s="6"/>
      <c r="I624" s="6"/>
      <c r="J624" s="6"/>
    </row>
    <row r="625" spans="1:10">
      <c r="A625" s="3"/>
      <c r="B625" s="4"/>
      <c r="C625" s="4"/>
      <c r="E625" s="4"/>
      <c r="F625" s="5"/>
      <c r="G625" s="6"/>
      <c r="H625" s="6"/>
      <c r="I625" s="6"/>
      <c r="J625" s="6"/>
    </row>
    <row r="626" spans="1:10">
      <c r="A626" s="3"/>
      <c r="B626" s="4"/>
      <c r="C626" s="4"/>
      <c r="E626" s="4"/>
      <c r="F626" s="5"/>
      <c r="G626" s="6"/>
      <c r="H626" s="6"/>
      <c r="I626" s="6"/>
      <c r="J626" s="6"/>
    </row>
    <row r="627" spans="1:10">
      <c r="A627" s="3"/>
      <c r="B627" s="4"/>
      <c r="C627" s="4"/>
      <c r="E627" s="4"/>
      <c r="F627" s="5"/>
      <c r="G627" s="6"/>
      <c r="H627" s="6"/>
      <c r="I627" s="6"/>
      <c r="J627" s="6"/>
    </row>
    <row r="628" spans="1:10">
      <c r="A628" s="3"/>
      <c r="B628" s="4"/>
      <c r="C628" s="4"/>
      <c r="E628" s="4"/>
      <c r="F628" s="5"/>
      <c r="G628" s="6"/>
      <c r="H628" s="6"/>
      <c r="I628" s="6"/>
      <c r="J628" s="6"/>
    </row>
    <row r="629" spans="1:10">
      <c r="A629" s="3"/>
      <c r="B629" s="4"/>
      <c r="C629" s="4"/>
      <c r="E629" s="4"/>
      <c r="F629" s="5"/>
      <c r="G629" s="6"/>
      <c r="H629" s="6"/>
      <c r="I629" s="6"/>
      <c r="J629" s="6"/>
    </row>
    <row r="630" spans="1:10">
      <c r="A630" s="3"/>
      <c r="B630" s="4"/>
      <c r="C630" s="4"/>
      <c r="E630" s="4"/>
      <c r="F630" s="5"/>
      <c r="G630" s="6"/>
      <c r="H630" s="6"/>
      <c r="I630" s="6"/>
      <c r="J630" s="6"/>
    </row>
    <row r="631" spans="1:10">
      <c r="A631" s="3"/>
      <c r="B631" s="4"/>
      <c r="C631" s="4"/>
      <c r="E631" s="4"/>
      <c r="F631" s="5"/>
      <c r="G631" s="6"/>
      <c r="H631" s="6"/>
      <c r="I631" s="6"/>
      <c r="J631" s="6"/>
    </row>
    <row r="632" spans="1:10">
      <c r="A632" s="3"/>
      <c r="B632" s="4"/>
      <c r="C632" s="4"/>
      <c r="E632" s="4"/>
      <c r="F632" s="5"/>
      <c r="G632" s="6"/>
      <c r="H632" s="6"/>
      <c r="I632" s="6"/>
      <c r="J632" s="6"/>
    </row>
    <row r="633" spans="1:10">
      <c r="A633" s="3"/>
      <c r="B633" s="4"/>
      <c r="C633" s="4"/>
      <c r="E633" s="4"/>
      <c r="F633" s="5"/>
      <c r="G633" s="6"/>
      <c r="H633" s="6"/>
      <c r="I633" s="6"/>
      <c r="J633" s="6"/>
    </row>
    <row r="634" spans="1:10">
      <c r="A634" s="3"/>
      <c r="B634" s="4"/>
      <c r="C634" s="4"/>
      <c r="E634" s="4"/>
      <c r="F634" s="5"/>
      <c r="G634" s="6"/>
      <c r="H634" s="6"/>
      <c r="I634" s="6"/>
      <c r="J634" s="6"/>
    </row>
    <row r="635" spans="1:10">
      <c r="A635" s="3"/>
      <c r="B635" s="4"/>
      <c r="C635" s="4"/>
      <c r="E635" s="4"/>
      <c r="F635" s="5"/>
      <c r="G635" s="6"/>
      <c r="H635" s="6"/>
      <c r="I635" s="6"/>
      <c r="J635" s="6"/>
    </row>
    <row r="636" spans="1:10">
      <c r="A636" s="3"/>
      <c r="B636" s="4"/>
      <c r="C636" s="4"/>
      <c r="E636" s="4"/>
      <c r="F636" s="5"/>
      <c r="G636" s="6"/>
      <c r="H636" s="6"/>
      <c r="I636" s="6"/>
      <c r="J636" s="6"/>
    </row>
    <row r="637" spans="1:10">
      <c r="A637" s="3"/>
      <c r="B637" s="4"/>
      <c r="C637" s="4"/>
      <c r="E637" s="4"/>
      <c r="F637" s="5"/>
      <c r="G637" s="6"/>
      <c r="H637" s="6"/>
      <c r="I637" s="6"/>
      <c r="J637" s="6"/>
    </row>
    <row r="638" spans="1:10">
      <c r="A638" s="3"/>
      <c r="B638" s="4"/>
      <c r="C638" s="4"/>
      <c r="E638" s="4"/>
      <c r="F638" s="5"/>
      <c r="G638" s="6"/>
      <c r="H638" s="6"/>
      <c r="I638" s="6"/>
      <c r="J638" s="6"/>
    </row>
    <row r="639" spans="1:10">
      <c r="A639" s="3"/>
      <c r="B639" s="4"/>
      <c r="C639" s="4"/>
      <c r="E639" s="4"/>
      <c r="F639" s="5"/>
      <c r="G639" s="6"/>
      <c r="H639" s="6"/>
      <c r="I639" s="6"/>
      <c r="J639" s="6"/>
    </row>
    <row r="640" spans="1:10">
      <c r="A640" s="3"/>
      <c r="B640" s="4"/>
      <c r="C640" s="4"/>
      <c r="E640" s="4"/>
      <c r="F640" s="5"/>
      <c r="G640" s="6"/>
      <c r="H640" s="6"/>
      <c r="I640" s="6"/>
      <c r="J640" s="6"/>
    </row>
    <row r="641" spans="1:10">
      <c r="A641" s="3"/>
      <c r="B641" s="4"/>
      <c r="C641" s="4"/>
      <c r="E641" s="4"/>
      <c r="F641" s="5"/>
      <c r="G641" s="6"/>
      <c r="H641" s="6"/>
      <c r="I641" s="6"/>
      <c r="J641" s="6"/>
    </row>
    <row r="642" spans="1:10">
      <c r="A642" s="3"/>
      <c r="B642" s="4"/>
      <c r="C642" s="4"/>
      <c r="E642" s="4"/>
      <c r="F642" s="5"/>
      <c r="G642" s="6"/>
      <c r="H642" s="6"/>
      <c r="I642" s="6"/>
      <c r="J642" s="6"/>
    </row>
    <row r="643" spans="1:10">
      <c r="A643" s="3"/>
      <c r="B643" s="4"/>
      <c r="C643" s="4"/>
      <c r="E643" s="4"/>
      <c r="F643" s="5"/>
      <c r="G643" s="6"/>
      <c r="H643" s="6"/>
      <c r="I643" s="6"/>
      <c r="J643" s="6"/>
    </row>
    <row r="644" spans="1:10">
      <c r="A644" s="3"/>
      <c r="B644" s="4"/>
      <c r="C644" s="4"/>
      <c r="E644" s="4"/>
      <c r="F644" s="5"/>
      <c r="G644" s="6"/>
      <c r="H644" s="6"/>
      <c r="I644" s="6"/>
      <c r="J644" s="6"/>
    </row>
    <row r="645" spans="1:10">
      <c r="A645" s="3"/>
      <c r="B645" s="4"/>
      <c r="C645" s="4"/>
      <c r="E645" s="4"/>
      <c r="F645" s="5"/>
      <c r="G645" s="6"/>
      <c r="H645" s="6"/>
      <c r="I645" s="6"/>
      <c r="J645" s="6"/>
    </row>
    <row r="646" spans="1:10">
      <c r="A646" s="3"/>
      <c r="B646" s="4"/>
      <c r="C646" s="4"/>
      <c r="E646" s="4"/>
      <c r="F646" s="5"/>
      <c r="G646" s="6"/>
      <c r="H646" s="6"/>
      <c r="I646" s="6"/>
      <c r="J646" s="6"/>
    </row>
    <row r="647" spans="1:10">
      <c r="A647" s="3"/>
      <c r="B647" s="4"/>
      <c r="C647" s="4"/>
      <c r="E647" s="4"/>
      <c r="F647" s="5"/>
      <c r="G647" s="6"/>
      <c r="H647" s="6"/>
      <c r="I647" s="6"/>
      <c r="J647" s="6"/>
    </row>
    <row r="648" spans="1:10">
      <c r="A648" s="3"/>
      <c r="B648" s="4"/>
      <c r="C648" s="4"/>
      <c r="E648" s="4"/>
      <c r="F648" s="5"/>
      <c r="G648" s="6"/>
      <c r="H648" s="6"/>
      <c r="I648" s="6"/>
      <c r="J648" s="6"/>
    </row>
    <row r="649" spans="1:10">
      <c r="A649" s="3"/>
      <c r="B649" s="4"/>
      <c r="C649" s="4"/>
      <c r="E649" s="4"/>
      <c r="F649" s="5"/>
      <c r="G649" s="6"/>
      <c r="H649" s="6"/>
      <c r="I649" s="6"/>
      <c r="J649" s="6"/>
    </row>
    <row r="650" spans="1:10">
      <c r="A650" s="3"/>
      <c r="B650" s="4"/>
      <c r="C650" s="4"/>
      <c r="E650" s="4"/>
      <c r="F650" s="5"/>
      <c r="G650" s="6"/>
      <c r="H650" s="6"/>
      <c r="I650" s="6"/>
      <c r="J650" s="6"/>
    </row>
    <row r="651" spans="1:10">
      <c r="A651" s="3"/>
      <c r="B651" s="4"/>
      <c r="C651" s="4"/>
      <c r="E651" s="4"/>
      <c r="F651" s="5"/>
      <c r="G651" s="6"/>
      <c r="H651" s="6"/>
      <c r="I651" s="6"/>
      <c r="J651" s="6"/>
    </row>
    <row r="652" spans="1:10">
      <c r="A652" s="3"/>
      <c r="B652" s="4"/>
      <c r="C652" s="4"/>
      <c r="E652" s="4"/>
      <c r="F652" s="5"/>
      <c r="G652" s="6"/>
      <c r="H652" s="6"/>
      <c r="I652" s="6"/>
      <c r="J652" s="6"/>
    </row>
    <row r="653" spans="1:10">
      <c r="A653" s="3"/>
      <c r="B653" s="4"/>
      <c r="C653" s="4"/>
      <c r="E653" s="4"/>
      <c r="F653" s="5"/>
      <c r="G653" s="6"/>
      <c r="H653" s="6"/>
      <c r="I653" s="6"/>
      <c r="J653" s="6"/>
    </row>
    <row r="654" spans="1:10">
      <c r="A654" s="3"/>
      <c r="B654" s="4"/>
      <c r="C654" s="4"/>
      <c r="E654" s="4"/>
      <c r="F654" s="5"/>
      <c r="G654" s="6"/>
      <c r="H654" s="6"/>
      <c r="I654" s="6"/>
      <c r="J654" s="6"/>
    </row>
    <row r="655" spans="1:10">
      <c r="A655" s="3"/>
      <c r="B655" s="4"/>
      <c r="C655" s="4"/>
      <c r="E655" s="4"/>
      <c r="F655" s="5"/>
      <c r="G655" s="6"/>
      <c r="H655" s="6"/>
      <c r="I655" s="6"/>
      <c r="J655" s="6"/>
    </row>
    <row r="656" spans="1:10">
      <c r="A656" s="3"/>
      <c r="B656" s="4"/>
      <c r="C656" s="4"/>
      <c r="E656" s="4"/>
      <c r="F656" s="5"/>
      <c r="G656" s="6"/>
      <c r="H656" s="6"/>
      <c r="I656" s="6"/>
      <c r="J656" s="6"/>
    </row>
    <row r="657" spans="1:10">
      <c r="A657" s="3"/>
      <c r="B657" s="4"/>
      <c r="C657" s="4"/>
      <c r="E657" s="4"/>
      <c r="F657" s="5"/>
      <c r="G657" s="6"/>
      <c r="H657" s="6"/>
      <c r="I657" s="6"/>
      <c r="J657" s="6"/>
    </row>
    <row r="658" spans="1:10">
      <c r="A658" s="3"/>
      <c r="B658" s="4"/>
      <c r="C658" s="4"/>
      <c r="E658" s="4"/>
      <c r="F658" s="5"/>
      <c r="G658" s="6"/>
      <c r="H658" s="6"/>
      <c r="I658" s="6"/>
      <c r="J658" s="6"/>
    </row>
    <row r="659" spans="1:10">
      <c r="A659" s="3"/>
      <c r="B659" s="4"/>
      <c r="C659" s="4"/>
      <c r="E659" s="4"/>
      <c r="F659" s="5"/>
      <c r="G659" s="6"/>
      <c r="H659" s="6"/>
      <c r="I659" s="6"/>
      <c r="J659" s="6"/>
    </row>
    <row r="660" spans="1:10">
      <c r="A660" s="3"/>
      <c r="B660" s="4"/>
      <c r="C660" s="4"/>
      <c r="E660" s="4"/>
      <c r="F660" s="5"/>
      <c r="G660" s="6"/>
      <c r="H660" s="6"/>
      <c r="I660" s="6"/>
      <c r="J660" s="6"/>
    </row>
    <row r="661" spans="1:10">
      <c r="A661" s="3"/>
      <c r="B661" s="4"/>
      <c r="C661" s="4"/>
      <c r="E661" s="4"/>
      <c r="F661" s="5"/>
      <c r="G661" s="6"/>
      <c r="H661" s="6"/>
      <c r="I661" s="6"/>
      <c r="J661" s="6"/>
    </row>
    <row r="662" spans="1:10">
      <c r="A662" s="3"/>
      <c r="B662" s="4"/>
      <c r="C662" s="4"/>
      <c r="E662" s="4"/>
      <c r="F662" s="5"/>
      <c r="G662" s="6"/>
      <c r="H662" s="6"/>
      <c r="I662" s="6"/>
      <c r="J662" s="6"/>
    </row>
    <row r="663" spans="1:10">
      <c r="A663" s="3"/>
      <c r="B663" s="4"/>
      <c r="C663" s="4"/>
      <c r="E663" s="4"/>
      <c r="F663" s="5"/>
      <c r="G663" s="6"/>
      <c r="H663" s="6"/>
      <c r="I663" s="6"/>
      <c r="J663" s="6"/>
    </row>
    <row r="664" spans="1:10">
      <c r="A664" s="3"/>
      <c r="B664" s="4"/>
      <c r="C664" s="4"/>
      <c r="E664" s="4"/>
      <c r="F664" s="5"/>
      <c r="G664" s="6"/>
      <c r="H664" s="6"/>
      <c r="I664" s="6"/>
      <c r="J664" s="6"/>
    </row>
    <row r="665" spans="1:10">
      <c r="A665" s="3"/>
      <c r="B665" s="4"/>
      <c r="C665" s="4"/>
      <c r="E665" s="4"/>
      <c r="F665" s="5"/>
      <c r="G665" s="6"/>
      <c r="H665" s="6"/>
      <c r="I665" s="6"/>
      <c r="J665" s="6"/>
    </row>
    <row r="666" spans="1:10">
      <c r="A666" s="3"/>
      <c r="B666" s="4"/>
      <c r="C666" s="4"/>
      <c r="E666" s="4"/>
      <c r="F666" s="5"/>
      <c r="G666" s="6"/>
      <c r="H666" s="6"/>
      <c r="I666" s="6"/>
      <c r="J666" s="6"/>
    </row>
    <row r="667" spans="1:10">
      <c r="A667" s="3"/>
      <c r="B667" s="4"/>
      <c r="C667" s="4"/>
      <c r="E667" s="4"/>
      <c r="F667" s="5"/>
      <c r="G667" s="6"/>
      <c r="H667" s="6"/>
      <c r="I667" s="6"/>
      <c r="J667" s="6"/>
    </row>
    <row r="668" spans="1:10">
      <c r="A668" s="3"/>
      <c r="B668" s="4"/>
      <c r="C668" s="4"/>
      <c r="E668" s="4"/>
      <c r="F668" s="5"/>
      <c r="G668" s="6"/>
      <c r="H668" s="6"/>
      <c r="I668" s="6"/>
      <c r="J668" s="6"/>
    </row>
    <row r="669" spans="1:10">
      <c r="A669" s="3"/>
      <c r="B669" s="4"/>
      <c r="C669" s="4"/>
      <c r="E669" s="4"/>
      <c r="F669" s="5"/>
      <c r="G669" s="6"/>
      <c r="H669" s="6"/>
      <c r="I669" s="6"/>
      <c r="J669" s="6"/>
    </row>
    <row r="670" spans="1:10">
      <c r="A670" s="3"/>
      <c r="B670" s="4"/>
      <c r="C670" s="4"/>
      <c r="E670" s="4"/>
      <c r="F670" s="5"/>
      <c r="G670" s="6"/>
      <c r="H670" s="6"/>
      <c r="I670" s="6"/>
      <c r="J670" s="6"/>
    </row>
    <row r="671" spans="1:10">
      <c r="A671" s="3"/>
      <c r="B671" s="4"/>
      <c r="C671" s="4"/>
      <c r="E671" s="4"/>
      <c r="F671" s="5"/>
      <c r="G671" s="6"/>
      <c r="H671" s="6"/>
      <c r="I671" s="6"/>
      <c r="J671" s="6"/>
    </row>
    <row r="672" spans="1:10">
      <c r="A672" s="3"/>
      <c r="B672" s="4"/>
      <c r="C672" s="4"/>
      <c r="E672" s="4"/>
      <c r="F672" s="5"/>
      <c r="G672" s="6"/>
      <c r="H672" s="6"/>
      <c r="I672" s="6"/>
      <c r="J672" s="6"/>
    </row>
    <row r="673" spans="1:10">
      <c r="A673" s="3"/>
      <c r="B673" s="4"/>
      <c r="C673" s="4"/>
      <c r="E673" s="4"/>
      <c r="F673" s="5"/>
      <c r="G673" s="6"/>
      <c r="H673" s="6"/>
      <c r="I673" s="6"/>
      <c r="J673" s="6"/>
    </row>
    <row r="674" spans="1:10">
      <c r="A674" s="3"/>
      <c r="B674" s="4"/>
      <c r="C674" s="4"/>
      <c r="E674" s="4"/>
      <c r="F674" s="5"/>
      <c r="G674" s="6"/>
      <c r="H674" s="6"/>
      <c r="I674" s="6"/>
      <c r="J674" s="6"/>
    </row>
    <row r="675" spans="1:10">
      <c r="A675" s="3"/>
      <c r="B675" s="4"/>
      <c r="C675" s="4"/>
      <c r="E675" s="4"/>
      <c r="F675" s="5"/>
      <c r="G675" s="6"/>
      <c r="H675" s="6"/>
      <c r="I675" s="6"/>
      <c r="J675" s="6"/>
    </row>
    <row r="676" spans="1:10">
      <c r="A676" s="3"/>
      <c r="B676" s="4"/>
      <c r="C676" s="4"/>
      <c r="E676" s="4"/>
      <c r="F676" s="5"/>
      <c r="G676" s="6"/>
      <c r="H676" s="6"/>
      <c r="I676" s="6"/>
      <c r="J676" s="6"/>
    </row>
    <row r="677" spans="1:10">
      <c r="A677" s="3"/>
      <c r="B677" s="4"/>
      <c r="C677" s="4"/>
      <c r="E677" s="4"/>
      <c r="F677" s="5"/>
      <c r="G677" s="6"/>
      <c r="H677" s="6"/>
      <c r="I677" s="6"/>
      <c r="J677" s="6"/>
    </row>
    <row r="678" spans="1:10">
      <c r="A678" s="3"/>
      <c r="B678" s="4"/>
      <c r="C678" s="4"/>
      <c r="E678" s="4"/>
      <c r="F678" s="5"/>
      <c r="G678" s="6"/>
      <c r="H678" s="6"/>
      <c r="I678" s="6"/>
      <c r="J678" s="6"/>
    </row>
    <row r="679" spans="1:10">
      <c r="A679" s="3"/>
      <c r="B679" s="4"/>
      <c r="C679" s="4"/>
      <c r="E679" s="4"/>
      <c r="F679" s="5"/>
      <c r="G679" s="6"/>
      <c r="H679" s="6"/>
      <c r="I679" s="6"/>
      <c r="J679" s="6"/>
    </row>
    <row r="680" spans="1:10">
      <c r="A680" s="3"/>
      <c r="B680" s="4"/>
      <c r="C680" s="4"/>
      <c r="E680" s="4"/>
      <c r="F680" s="5"/>
      <c r="G680" s="6"/>
      <c r="H680" s="6"/>
      <c r="I680" s="6"/>
      <c r="J680" s="6"/>
    </row>
    <row r="681" spans="1:10">
      <c r="A681" s="3"/>
      <c r="B681" s="4"/>
      <c r="C681" s="4"/>
      <c r="E681" s="4"/>
      <c r="F681" s="5"/>
      <c r="G681" s="6"/>
      <c r="H681" s="6"/>
      <c r="I681" s="6"/>
      <c r="J681" s="6"/>
    </row>
    <row r="682" spans="1:10">
      <c r="A682" s="3"/>
      <c r="B682" s="4"/>
      <c r="C682" s="4"/>
      <c r="E682" s="4"/>
      <c r="F682" s="5"/>
      <c r="G682" s="6"/>
      <c r="H682" s="6"/>
      <c r="I682" s="6"/>
      <c r="J682" s="6"/>
    </row>
    <row r="683" spans="1:10">
      <c r="A683" s="3"/>
      <c r="B683" s="4"/>
      <c r="C683" s="4"/>
      <c r="E683" s="4"/>
      <c r="F683" s="5"/>
      <c r="G683" s="6"/>
      <c r="H683" s="6"/>
      <c r="I683" s="6"/>
      <c r="J683" s="6"/>
    </row>
    <row r="684" spans="1:10">
      <c r="A684" s="3"/>
      <c r="B684" s="4"/>
      <c r="C684" s="4"/>
      <c r="E684" s="4"/>
      <c r="F684" s="5"/>
      <c r="G684" s="6"/>
      <c r="H684" s="6"/>
      <c r="I684" s="6"/>
      <c r="J684" s="6"/>
    </row>
    <row r="685" spans="1:10">
      <c r="A685" s="3"/>
      <c r="B685" s="4"/>
      <c r="C685" s="4"/>
      <c r="E685" s="4"/>
      <c r="F685" s="5"/>
      <c r="G685" s="6"/>
      <c r="H685" s="6"/>
      <c r="I685" s="6"/>
      <c r="J685" s="6"/>
    </row>
    <row r="686" spans="1:10">
      <c r="A686" s="3"/>
      <c r="B686" s="4"/>
      <c r="C686" s="4"/>
      <c r="E686" s="4"/>
      <c r="F686" s="5"/>
      <c r="G686" s="6"/>
      <c r="H686" s="6"/>
      <c r="I686" s="6"/>
      <c r="J686" s="6"/>
    </row>
    <row r="687" spans="1:10">
      <c r="A687" s="3"/>
      <c r="B687" s="4"/>
      <c r="C687" s="4"/>
      <c r="E687" s="4"/>
      <c r="F687" s="5"/>
      <c r="G687" s="6"/>
      <c r="H687" s="6"/>
      <c r="I687" s="6"/>
      <c r="J687" s="6"/>
    </row>
    <row r="688" spans="1:10">
      <c r="A688" s="3"/>
      <c r="B688" s="4"/>
      <c r="C688" s="4"/>
      <c r="E688" s="4"/>
      <c r="F688" s="5"/>
      <c r="G688" s="6"/>
      <c r="H688" s="6"/>
      <c r="I688" s="6"/>
      <c r="J688" s="6"/>
    </row>
    <row r="689" spans="1:10">
      <c r="A689" s="3"/>
      <c r="B689" s="4"/>
      <c r="C689" s="4"/>
      <c r="E689" s="4"/>
      <c r="F689" s="5"/>
      <c r="G689" s="6"/>
      <c r="H689" s="6"/>
      <c r="I689" s="6"/>
      <c r="J689" s="6"/>
    </row>
    <row r="690" spans="1:10">
      <c r="A690" s="3"/>
      <c r="B690" s="4"/>
      <c r="C690" s="4"/>
      <c r="E690" s="4"/>
      <c r="F690" s="5"/>
      <c r="G690" s="6"/>
      <c r="H690" s="6"/>
      <c r="I690" s="6"/>
      <c r="J690" s="6"/>
    </row>
    <row r="691" spans="1:10">
      <c r="A691" s="3"/>
      <c r="B691" s="4"/>
      <c r="C691" s="4"/>
      <c r="E691" s="4"/>
      <c r="F691" s="5"/>
      <c r="G691" s="6"/>
      <c r="H691" s="6"/>
      <c r="I691" s="6"/>
      <c r="J691" s="6"/>
    </row>
    <row r="692" spans="1:10">
      <c r="A692" s="3"/>
      <c r="B692" s="4"/>
      <c r="C692" s="4"/>
      <c r="E692" s="4"/>
      <c r="F692" s="5"/>
      <c r="G692" s="6"/>
      <c r="H692" s="6"/>
      <c r="I692" s="6"/>
      <c r="J692" s="6"/>
    </row>
    <row r="693" spans="1:10">
      <c r="A693" s="3"/>
      <c r="B693" s="4"/>
      <c r="C693" s="4"/>
      <c r="E693" s="4"/>
      <c r="F693" s="5"/>
      <c r="G693" s="6"/>
      <c r="H693" s="6"/>
      <c r="I693" s="6"/>
      <c r="J693" s="6"/>
    </row>
    <row r="694" spans="1:10">
      <c r="A694" s="3"/>
      <c r="B694" s="4"/>
      <c r="C694" s="4"/>
      <c r="E694" s="4"/>
      <c r="F694" s="5"/>
      <c r="G694" s="6"/>
      <c r="H694" s="6"/>
      <c r="I694" s="6"/>
      <c r="J694" s="6"/>
    </row>
    <row r="695" spans="1:10">
      <c r="A695" s="3"/>
      <c r="B695" s="4"/>
      <c r="C695" s="4"/>
      <c r="E695" s="4"/>
      <c r="F695" s="5"/>
      <c r="G695" s="6"/>
      <c r="H695" s="6"/>
      <c r="I695" s="6"/>
      <c r="J695" s="6"/>
    </row>
    <row r="696" spans="1:10">
      <c r="A696" s="3"/>
      <c r="B696" s="4"/>
      <c r="C696" s="4"/>
      <c r="E696" s="4"/>
      <c r="F696" s="5"/>
      <c r="G696" s="6"/>
      <c r="H696" s="6"/>
      <c r="I696" s="6"/>
      <c r="J696" s="6"/>
    </row>
    <row r="697" spans="1:10">
      <c r="A697" s="3"/>
      <c r="B697" s="4"/>
      <c r="C697" s="4"/>
      <c r="E697" s="4"/>
      <c r="F697" s="5"/>
      <c r="G697" s="6"/>
      <c r="H697" s="6"/>
      <c r="I697" s="6"/>
      <c r="J697" s="6"/>
    </row>
    <row r="698" spans="1:10">
      <c r="A698" s="3"/>
      <c r="B698" s="4"/>
      <c r="C698" s="4"/>
      <c r="E698" s="4"/>
      <c r="F698" s="5"/>
      <c r="G698" s="6"/>
      <c r="H698" s="6"/>
      <c r="I698" s="6"/>
      <c r="J698" s="6"/>
    </row>
    <row r="699" spans="1:10">
      <c r="A699" s="3"/>
      <c r="B699" s="4"/>
      <c r="C699" s="4"/>
      <c r="E699" s="4"/>
      <c r="F699" s="5"/>
      <c r="G699" s="6"/>
      <c r="H699" s="6"/>
      <c r="I699" s="6"/>
      <c r="J699" s="6"/>
    </row>
    <row r="700" spans="1:10">
      <c r="A700" s="3"/>
      <c r="B700" s="4"/>
      <c r="C700" s="4"/>
      <c r="E700" s="4"/>
      <c r="F700" s="5"/>
      <c r="G700" s="6"/>
      <c r="H700" s="6"/>
      <c r="I700" s="6"/>
      <c r="J700" s="6"/>
    </row>
    <row r="701" spans="1:10">
      <c r="A701" s="3"/>
      <c r="B701" s="4"/>
      <c r="C701" s="4"/>
      <c r="E701" s="4"/>
      <c r="F701" s="5"/>
      <c r="G701" s="6"/>
      <c r="H701" s="6"/>
      <c r="I701" s="6"/>
      <c r="J701" s="6"/>
    </row>
    <row r="702" spans="1:10">
      <c r="A702" s="3"/>
      <c r="B702" s="4"/>
      <c r="C702" s="4"/>
      <c r="E702" s="4"/>
      <c r="F702" s="5"/>
      <c r="G702" s="6"/>
      <c r="H702" s="6"/>
      <c r="I702" s="6"/>
      <c r="J702" s="6"/>
    </row>
    <row r="703" spans="1:10">
      <c r="A703" s="3"/>
      <c r="B703" s="4"/>
      <c r="C703" s="4"/>
      <c r="E703" s="4"/>
      <c r="F703" s="5"/>
      <c r="G703" s="6"/>
      <c r="H703" s="6"/>
      <c r="I703" s="6"/>
      <c r="J703" s="6"/>
    </row>
    <row r="704" spans="1:10">
      <c r="A704" s="3"/>
      <c r="B704" s="4"/>
      <c r="C704" s="4"/>
      <c r="E704" s="4"/>
      <c r="F704" s="5"/>
      <c r="G704" s="6"/>
      <c r="H704" s="6"/>
      <c r="I704" s="6"/>
      <c r="J704" s="6"/>
    </row>
    <row r="705" spans="1:10">
      <c r="A705" s="3"/>
      <c r="B705" s="4"/>
      <c r="C705" s="4"/>
      <c r="E705" s="4"/>
      <c r="F705" s="5"/>
      <c r="G705" s="6"/>
      <c r="H705" s="6"/>
      <c r="I705" s="6"/>
      <c r="J705" s="6"/>
    </row>
    <row r="706" spans="1:10">
      <c r="A706" s="3"/>
      <c r="B706" s="4"/>
      <c r="C706" s="4"/>
      <c r="E706" s="4"/>
      <c r="F706" s="5"/>
      <c r="G706" s="6"/>
      <c r="H706" s="6"/>
      <c r="I706" s="6"/>
      <c r="J706" s="6"/>
    </row>
    <row r="707" spans="1:10">
      <c r="A707" s="3"/>
      <c r="B707" s="4"/>
      <c r="C707" s="4"/>
      <c r="E707" s="4"/>
      <c r="F707" s="5"/>
      <c r="G707" s="6"/>
      <c r="H707" s="6"/>
      <c r="I707" s="6"/>
      <c r="J707" s="6"/>
    </row>
    <row r="708" spans="1:10">
      <c r="A708" s="3"/>
      <c r="B708" s="4"/>
      <c r="C708" s="4"/>
      <c r="E708" s="4"/>
      <c r="F708" s="5"/>
      <c r="G708" s="6"/>
      <c r="H708" s="6"/>
      <c r="I708" s="6"/>
      <c r="J708" s="6"/>
    </row>
    <row r="709" spans="1:10">
      <c r="A709" s="3"/>
      <c r="B709" s="4"/>
      <c r="C709" s="4"/>
      <c r="E709" s="4"/>
      <c r="F709" s="5"/>
      <c r="G709" s="6"/>
      <c r="H709" s="6"/>
      <c r="I709" s="6"/>
      <c r="J709" s="6"/>
    </row>
    <row r="710" spans="1:10">
      <c r="A710" s="3"/>
      <c r="B710" s="4"/>
      <c r="C710" s="4"/>
      <c r="E710" s="4"/>
      <c r="F710" s="5"/>
      <c r="G710" s="6"/>
      <c r="H710" s="6"/>
      <c r="I710" s="6"/>
      <c r="J710" s="6"/>
    </row>
    <row r="711" spans="1:10">
      <c r="A711" s="3"/>
      <c r="B711" s="4"/>
      <c r="C711" s="4"/>
      <c r="E711" s="4"/>
      <c r="F711" s="5"/>
      <c r="G711" s="6"/>
      <c r="H711" s="6"/>
      <c r="I711" s="6"/>
      <c r="J711" s="6"/>
    </row>
    <row r="712" spans="1:10">
      <c r="A712" s="3"/>
      <c r="B712" s="4"/>
      <c r="C712" s="4"/>
      <c r="E712" s="4"/>
      <c r="F712" s="5"/>
      <c r="G712" s="6"/>
      <c r="H712" s="6"/>
      <c r="I712" s="6"/>
      <c r="J712" s="6"/>
    </row>
    <row r="713" spans="1:10">
      <c r="A713" s="3"/>
      <c r="B713" s="4"/>
      <c r="C713" s="4"/>
      <c r="E713" s="4"/>
      <c r="F713" s="5"/>
      <c r="G713" s="6"/>
      <c r="H713" s="6"/>
      <c r="I713" s="6"/>
      <c r="J713" s="6"/>
    </row>
    <row r="714" spans="1:10">
      <c r="A714" s="3"/>
      <c r="B714" s="4"/>
      <c r="C714" s="4"/>
      <c r="E714" s="4"/>
      <c r="F714" s="5"/>
      <c r="G714" s="6"/>
      <c r="H714" s="6"/>
      <c r="I714" s="6"/>
      <c r="J714" s="6"/>
    </row>
    <row r="715" spans="1:10">
      <c r="A715" s="3"/>
      <c r="B715" s="4"/>
      <c r="C715" s="4"/>
      <c r="E715" s="4"/>
      <c r="F715" s="5"/>
      <c r="G715" s="6"/>
      <c r="H715" s="6"/>
      <c r="I715" s="6"/>
      <c r="J715" s="6"/>
    </row>
    <row r="716" spans="1:10">
      <c r="A716" s="3"/>
      <c r="B716" s="4"/>
      <c r="C716" s="4"/>
      <c r="E716" s="4"/>
      <c r="F716" s="5"/>
      <c r="G716" s="6"/>
      <c r="H716" s="6"/>
      <c r="I716" s="6"/>
      <c r="J716" s="6"/>
    </row>
    <row r="717" spans="1:10">
      <c r="A717" s="3"/>
      <c r="B717" s="4"/>
      <c r="C717" s="4"/>
      <c r="E717" s="4"/>
      <c r="F717" s="5"/>
      <c r="G717" s="6"/>
      <c r="H717" s="6"/>
      <c r="I717" s="6"/>
      <c r="J717" s="6"/>
    </row>
    <row r="718" spans="1:10">
      <c r="A718" s="3"/>
      <c r="B718" s="4"/>
      <c r="C718" s="4"/>
      <c r="E718" s="4"/>
      <c r="F718" s="5"/>
      <c r="G718" s="6"/>
      <c r="H718" s="6"/>
      <c r="I718" s="6"/>
      <c r="J718" s="6"/>
    </row>
    <row r="719" spans="1:10">
      <c r="A719" s="3"/>
      <c r="B719" s="4"/>
      <c r="C719" s="4"/>
      <c r="E719" s="4"/>
      <c r="F719" s="5"/>
      <c r="G719" s="6"/>
      <c r="H719" s="6"/>
      <c r="I719" s="6"/>
      <c r="J719" s="6"/>
    </row>
    <row r="720" spans="1:10">
      <c r="A720" s="3"/>
      <c r="B720" s="4"/>
      <c r="C720" s="4"/>
      <c r="E720" s="4"/>
      <c r="F720" s="5"/>
      <c r="G720" s="6"/>
      <c r="H720" s="6"/>
      <c r="I720" s="6"/>
      <c r="J720" s="6"/>
    </row>
    <row r="721" spans="1:10">
      <c r="A721" s="3"/>
      <c r="B721" s="4"/>
      <c r="C721" s="4"/>
      <c r="E721" s="4"/>
      <c r="F721" s="5"/>
      <c r="G721" s="6"/>
      <c r="H721" s="6"/>
      <c r="I721" s="6"/>
      <c r="J721" s="6"/>
    </row>
    <row r="722" spans="1:10">
      <c r="A722" s="3"/>
      <c r="B722" s="4"/>
      <c r="C722" s="4"/>
      <c r="E722" s="4"/>
      <c r="F722" s="5"/>
      <c r="G722" s="6"/>
      <c r="H722" s="6"/>
      <c r="I722" s="6"/>
      <c r="J722" s="6"/>
    </row>
    <row r="723" spans="1:10">
      <c r="A723" s="3"/>
      <c r="B723" s="4"/>
      <c r="C723" s="4"/>
      <c r="E723" s="4"/>
      <c r="F723" s="5"/>
      <c r="G723" s="6"/>
      <c r="H723" s="6"/>
      <c r="I723" s="6"/>
      <c r="J723" s="6"/>
    </row>
    <row r="724" spans="1:10">
      <c r="A724" s="3"/>
      <c r="B724" s="4"/>
      <c r="C724" s="4"/>
      <c r="E724" s="4"/>
      <c r="F724" s="5"/>
      <c r="G724" s="6"/>
      <c r="H724" s="6"/>
      <c r="I724" s="6"/>
      <c r="J724" s="6"/>
    </row>
    <row r="725" spans="1:10">
      <c r="A725" s="3"/>
      <c r="B725" s="4"/>
      <c r="C725" s="4"/>
      <c r="E725" s="4"/>
      <c r="F725" s="5"/>
      <c r="G725" s="6"/>
      <c r="H725" s="6"/>
      <c r="I725" s="6"/>
      <c r="J725" s="6"/>
    </row>
    <row r="726" spans="1:10">
      <c r="A726" s="3"/>
      <c r="B726" s="4"/>
      <c r="C726" s="4"/>
      <c r="E726" s="4"/>
      <c r="F726" s="5"/>
      <c r="G726" s="6"/>
      <c r="H726" s="6"/>
      <c r="I726" s="6"/>
      <c r="J726" s="6"/>
    </row>
    <row r="727" spans="1:10">
      <c r="A727" s="3"/>
      <c r="B727" s="4"/>
      <c r="C727" s="4"/>
      <c r="E727" s="4"/>
      <c r="F727" s="5"/>
      <c r="G727" s="6"/>
      <c r="H727" s="6"/>
      <c r="I727" s="6"/>
      <c r="J727" s="6"/>
    </row>
    <row r="728" spans="1:10">
      <c r="A728" s="3"/>
      <c r="B728" s="4"/>
      <c r="C728" s="4"/>
      <c r="E728" s="4"/>
      <c r="F728" s="5"/>
      <c r="G728" s="6"/>
      <c r="H728" s="6"/>
      <c r="I728" s="6"/>
      <c r="J728" s="6"/>
    </row>
    <row r="729" spans="1:10">
      <c r="A729" s="3"/>
      <c r="B729" s="4"/>
      <c r="C729" s="4"/>
      <c r="E729" s="4"/>
      <c r="F729" s="5"/>
      <c r="G729" s="6"/>
      <c r="H729" s="6"/>
      <c r="I729" s="6"/>
      <c r="J729" s="6"/>
    </row>
    <row r="730" spans="1:10">
      <c r="A730" s="3"/>
      <c r="B730" s="4"/>
      <c r="C730" s="4"/>
      <c r="E730" s="4"/>
      <c r="F730" s="5"/>
      <c r="G730" s="6"/>
      <c r="H730" s="6"/>
      <c r="I730" s="6"/>
      <c r="J730" s="6"/>
    </row>
    <row r="731" spans="1:10">
      <c r="A731" s="3"/>
      <c r="B731" s="4"/>
      <c r="C731" s="4"/>
      <c r="E731" s="4"/>
      <c r="F731" s="5"/>
      <c r="G731" s="6"/>
      <c r="H731" s="6"/>
      <c r="I731" s="6"/>
      <c r="J731" s="6"/>
    </row>
    <row r="732" spans="1:10">
      <c r="A732" s="3"/>
      <c r="B732" s="4"/>
      <c r="C732" s="4"/>
      <c r="E732" s="4"/>
      <c r="F732" s="5"/>
      <c r="G732" s="6"/>
      <c r="H732" s="6"/>
      <c r="I732" s="6"/>
      <c r="J732" s="6"/>
    </row>
    <row r="733" spans="1:10">
      <c r="A733" s="3"/>
      <c r="B733" s="4"/>
      <c r="C733" s="4"/>
      <c r="E733" s="4"/>
      <c r="F733" s="5"/>
      <c r="G733" s="6"/>
      <c r="H733" s="6"/>
      <c r="I733" s="6"/>
      <c r="J733" s="6"/>
    </row>
    <row r="734" spans="1:10">
      <c r="A734" s="3"/>
      <c r="B734" s="4"/>
      <c r="C734" s="4"/>
      <c r="E734" s="4"/>
      <c r="F734" s="5"/>
      <c r="G734" s="6"/>
      <c r="H734" s="6"/>
      <c r="I734" s="6"/>
      <c r="J734" s="6"/>
    </row>
    <row r="735" spans="1:10">
      <c r="A735" s="3"/>
      <c r="B735" s="4"/>
      <c r="C735" s="4"/>
      <c r="E735" s="4"/>
      <c r="F735" s="5"/>
      <c r="G735" s="6"/>
      <c r="H735" s="6"/>
      <c r="I735" s="6"/>
      <c r="J735" s="6"/>
    </row>
    <row r="736" spans="1:10">
      <c r="A736" s="3"/>
      <c r="B736" s="4"/>
      <c r="C736" s="4"/>
      <c r="E736" s="4"/>
      <c r="F736" s="5"/>
      <c r="G736" s="6"/>
      <c r="H736" s="6"/>
      <c r="I736" s="6"/>
      <c r="J736" s="6"/>
    </row>
    <row r="737" spans="1:10">
      <c r="A737" s="3"/>
      <c r="B737" s="4"/>
      <c r="C737" s="4"/>
      <c r="E737" s="4"/>
      <c r="F737" s="5"/>
      <c r="G737" s="6"/>
      <c r="H737" s="6"/>
      <c r="I737" s="6"/>
      <c r="J737" s="6"/>
    </row>
    <row r="738" spans="1:10">
      <c r="A738" s="3"/>
      <c r="B738" s="4"/>
      <c r="C738" s="4"/>
      <c r="E738" s="4"/>
      <c r="F738" s="5"/>
      <c r="G738" s="6"/>
      <c r="H738" s="6"/>
      <c r="I738" s="6"/>
      <c r="J738" s="6"/>
    </row>
    <row r="739" spans="1:10">
      <c r="A739" s="3"/>
      <c r="B739" s="4"/>
      <c r="C739" s="4"/>
      <c r="E739" s="4"/>
      <c r="F739" s="5"/>
      <c r="G739" s="6"/>
      <c r="H739" s="6"/>
      <c r="I739" s="6"/>
      <c r="J739" s="6"/>
    </row>
    <row r="740" spans="1:10">
      <c r="A740" s="3"/>
      <c r="B740" s="4"/>
      <c r="C740" s="4"/>
      <c r="E740" s="4"/>
      <c r="F740" s="5"/>
      <c r="G740" s="6"/>
      <c r="H740" s="6"/>
      <c r="I740" s="6"/>
      <c r="J740" s="6"/>
    </row>
    <row r="741" spans="1:10">
      <c r="A741" s="3"/>
      <c r="B741" s="4"/>
      <c r="C741" s="4"/>
      <c r="E741" s="4"/>
      <c r="F741" s="5"/>
      <c r="G741" s="6"/>
      <c r="H741" s="6"/>
      <c r="I741" s="6"/>
      <c r="J741" s="6"/>
    </row>
    <row r="742" spans="1:10">
      <c r="A742" s="3"/>
      <c r="B742" s="4"/>
      <c r="C742" s="4"/>
      <c r="E742" s="4"/>
      <c r="F742" s="5"/>
      <c r="G742" s="6"/>
      <c r="H742" s="6"/>
      <c r="I742" s="6"/>
      <c r="J742" s="6"/>
    </row>
    <row r="743" spans="1:10">
      <c r="A743" s="3"/>
      <c r="B743" s="4"/>
      <c r="C743" s="4"/>
      <c r="E743" s="4"/>
      <c r="F743" s="5"/>
      <c r="G743" s="6"/>
      <c r="H743" s="6"/>
      <c r="I743" s="6"/>
      <c r="J743" s="6"/>
    </row>
    <row r="744" spans="1:10">
      <c r="A744" s="3"/>
      <c r="B744" s="4"/>
      <c r="C744" s="4"/>
      <c r="E744" s="4"/>
      <c r="F744" s="5"/>
      <c r="G744" s="6"/>
      <c r="H744" s="6"/>
      <c r="I744" s="6"/>
      <c r="J744" s="6"/>
    </row>
    <row r="745" spans="1:10">
      <c r="A745" s="3"/>
      <c r="B745" s="4"/>
      <c r="C745" s="4"/>
      <c r="E745" s="4"/>
      <c r="F745" s="5"/>
      <c r="G745" s="6"/>
      <c r="H745" s="6"/>
      <c r="I745" s="6"/>
      <c r="J745" s="6"/>
    </row>
    <row r="746" spans="1:10">
      <c r="A746" s="3"/>
      <c r="B746" s="4"/>
      <c r="C746" s="4"/>
      <c r="E746" s="4"/>
      <c r="F746" s="5"/>
      <c r="G746" s="6"/>
      <c r="H746" s="6"/>
      <c r="I746" s="6"/>
      <c r="J746" s="6"/>
    </row>
    <row r="747" spans="1:10">
      <c r="A747" s="3"/>
      <c r="B747" s="4"/>
      <c r="C747" s="4"/>
      <c r="E747" s="4"/>
      <c r="F747" s="5"/>
      <c r="G747" s="6"/>
      <c r="H747" s="6"/>
      <c r="I747" s="6"/>
      <c r="J747" s="6"/>
    </row>
    <row r="748" spans="1:10">
      <c r="A748" s="3"/>
      <c r="B748" s="4"/>
      <c r="C748" s="4"/>
      <c r="E748" s="4"/>
      <c r="F748" s="5"/>
      <c r="G748" s="6"/>
      <c r="H748" s="6"/>
      <c r="I748" s="6"/>
      <c r="J748" s="6"/>
    </row>
    <row r="749" spans="1:10">
      <c r="A749" s="3"/>
      <c r="B749" s="4"/>
      <c r="C749" s="4"/>
      <c r="E749" s="4"/>
      <c r="F749" s="5"/>
      <c r="G749" s="6"/>
      <c r="H749" s="6"/>
      <c r="I749" s="6"/>
      <c r="J749" s="6"/>
    </row>
    <row r="750" spans="1:10">
      <c r="A750" s="3"/>
      <c r="B750" s="4"/>
      <c r="C750" s="4"/>
      <c r="E750" s="4"/>
      <c r="F750" s="5"/>
      <c r="G750" s="6"/>
      <c r="H750" s="6"/>
      <c r="I750" s="6"/>
      <c r="J750" s="6"/>
    </row>
    <row r="751" spans="1:10">
      <c r="A751" s="3"/>
      <c r="B751" s="4"/>
      <c r="C751" s="4"/>
      <c r="E751" s="4"/>
      <c r="F751" s="5"/>
      <c r="G751" s="6"/>
      <c r="H751" s="6"/>
      <c r="I751" s="6"/>
      <c r="J751" s="6"/>
    </row>
    <row r="752" spans="1:10">
      <c r="A752" s="3"/>
      <c r="B752" s="4"/>
      <c r="C752" s="4"/>
      <c r="E752" s="4"/>
      <c r="F752" s="5"/>
      <c r="G752" s="6"/>
      <c r="H752" s="6"/>
      <c r="I752" s="6"/>
      <c r="J752" s="6"/>
    </row>
    <row r="753" spans="1:10">
      <c r="A753" s="3"/>
      <c r="B753" s="4"/>
      <c r="C753" s="4"/>
      <c r="E753" s="4"/>
      <c r="F753" s="5"/>
      <c r="G753" s="6"/>
      <c r="H753" s="6"/>
      <c r="I753" s="6"/>
      <c r="J753" s="6"/>
    </row>
    <row r="754" spans="1:10">
      <c r="A754" s="3"/>
      <c r="B754" s="4"/>
      <c r="C754" s="4"/>
      <c r="E754" s="4"/>
      <c r="F754" s="5"/>
      <c r="G754" s="6"/>
      <c r="H754" s="6"/>
      <c r="I754" s="6"/>
      <c r="J754" s="6"/>
    </row>
    <row r="755" spans="1:10">
      <c r="A755" s="3"/>
      <c r="B755" s="4"/>
      <c r="C755" s="4"/>
      <c r="E755" s="4"/>
      <c r="F755" s="5"/>
      <c r="G755" s="6"/>
      <c r="H755" s="6"/>
      <c r="I755" s="6"/>
      <c r="J755" s="6"/>
    </row>
    <row r="756" spans="1:10">
      <c r="A756" s="3"/>
      <c r="B756" s="4"/>
      <c r="C756" s="4"/>
      <c r="E756" s="4"/>
      <c r="F756" s="5"/>
      <c r="G756" s="6"/>
      <c r="H756" s="6"/>
      <c r="I756" s="6"/>
      <c r="J756" s="6"/>
    </row>
    <row r="757" spans="1:10">
      <c r="A757" s="3"/>
      <c r="B757" s="4"/>
      <c r="C757" s="4"/>
      <c r="E757" s="4"/>
      <c r="F757" s="5"/>
      <c r="G757" s="6"/>
      <c r="H757" s="6"/>
      <c r="I757" s="6"/>
      <c r="J757" s="6"/>
    </row>
    <row r="758" spans="1:10">
      <c r="A758" s="3"/>
      <c r="B758" s="4"/>
      <c r="C758" s="4"/>
      <c r="E758" s="4"/>
      <c r="F758" s="5"/>
      <c r="G758" s="6"/>
      <c r="H758" s="6"/>
      <c r="I758" s="6"/>
      <c r="J758" s="6"/>
    </row>
    <row r="759" spans="1:10">
      <c r="A759" s="3"/>
      <c r="B759" s="4"/>
      <c r="C759" s="4"/>
      <c r="E759" s="4"/>
      <c r="F759" s="5"/>
      <c r="G759" s="6"/>
      <c r="H759" s="6"/>
      <c r="I759" s="6"/>
      <c r="J759" s="6"/>
    </row>
    <row r="760" spans="1:10">
      <c r="A760" s="3"/>
      <c r="B760" s="4"/>
      <c r="C760" s="4"/>
      <c r="E760" s="4"/>
      <c r="F760" s="5"/>
      <c r="G760" s="6"/>
      <c r="H760" s="6"/>
      <c r="I760" s="6"/>
      <c r="J760" s="6"/>
    </row>
    <row r="761" spans="1:10">
      <c r="A761" s="3"/>
      <c r="B761" s="4"/>
      <c r="C761" s="4"/>
      <c r="E761" s="4"/>
      <c r="F761" s="5"/>
      <c r="G761" s="6"/>
      <c r="H761" s="6"/>
      <c r="I761" s="6"/>
      <c r="J761" s="6"/>
    </row>
    <row r="762" spans="1:10">
      <c r="A762" s="3"/>
      <c r="B762" s="4"/>
      <c r="C762" s="4"/>
      <c r="E762" s="4"/>
      <c r="F762" s="5"/>
      <c r="G762" s="6"/>
      <c r="H762" s="6"/>
      <c r="I762" s="6"/>
      <c r="J762" s="6"/>
    </row>
    <row r="763" spans="1:10">
      <c r="A763" s="3"/>
      <c r="B763" s="4"/>
      <c r="C763" s="4"/>
      <c r="E763" s="4"/>
      <c r="F763" s="5"/>
      <c r="G763" s="6"/>
      <c r="H763" s="6"/>
      <c r="I763" s="6"/>
      <c r="J763" s="6"/>
    </row>
    <row r="764" spans="1:10">
      <c r="A764" s="3"/>
      <c r="B764" s="4"/>
      <c r="C764" s="4"/>
      <c r="E764" s="4"/>
      <c r="F764" s="5"/>
      <c r="G764" s="6"/>
      <c r="H764" s="6"/>
      <c r="I764" s="6"/>
      <c r="J764" s="6"/>
    </row>
    <row r="765" spans="1:10">
      <c r="A765" s="3"/>
      <c r="B765" s="4"/>
      <c r="C765" s="4"/>
      <c r="E765" s="4"/>
      <c r="F765" s="5"/>
      <c r="G765" s="6"/>
      <c r="H765" s="6"/>
      <c r="I765" s="6"/>
      <c r="J765" s="6"/>
    </row>
    <row r="766" spans="1:10">
      <c r="A766" s="3"/>
      <c r="B766" s="4"/>
      <c r="C766" s="4"/>
      <c r="E766" s="4"/>
      <c r="F766" s="5"/>
      <c r="G766" s="6"/>
      <c r="H766" s="6"/>
      <c r="I766" s="6"/>
      <c r="J766" s="6"/>
    </row>
    <row r="767" spans="1:10">
      <c r="A767" s="3"/>
      <c r="B767" s="4"/>
      <c r="C767" s="4"/>
      <c r="E767" s="4"/>
      <c r="F767" s="5"/>
      <c r="G767" s="6"/>
      <c r="H767" s="6"/>
      <c r="I767" s="6"/>
      <c r="J767" s="6"/>
    </row>
    <row r="768" spans="1:10">
      <c r="A768" s="3"/>
      <c r="B768" s="4"/>
      <c r="C768" s="4"/>
      <c r="E768" s="4"/>
      <c r="F768" s="5"/>
      <c r="G768" s="6"/>
      <c r="H768" s="6"/>
      <c r="I768" s="6"/>
      <c r="J768" s="6"/>
    </row>
    <row r="769" spans="1:10">
      <c r="A769" s="3"/>
      <c r="B769" s="4"/>
      <c r="C769" s="4"/>
      <c r="E769" s="4"/>
      <c r="F769" s="5"/>
      <c r="G769" s="6"/>
      <c r="H769" s="6"/>
      <c r="I769" s="6"/>
      <c r="J769" s="6"/>
    </row>
    <row r="770" spans="1:10">
      <c r="A770" s="3"/>
      <c r="B770" s="4"/>
      <c r="C770" s="4"/>
      <c r="E770" s="4"/>
      <c r="F770" s="5"/>
      <c r="G770" s="6"/>
      <c r="H770" s="6"/>
      <c r="I770" s="6"/>
      <c r="J770" s="6"/>
    </row>
    <row r="771" spans="1:10">
      <c r="A771" s="3"/>
      <c r="B771" s="4"/>
      <c r="C771" s="4"/>
      <c r="E771" s="4"/>
      <c r="F771" s="5"/>
      <c r="G771" s="6"/>
      <c r="H771" s="6"/>
      <c r="I771" s="6"/>
      <c r="J771" s="6"/>
    </row>
    <row r="772" spans="1:10">
      <c r="A772" s="3"/>
      <c r="B772" s="4"/>
      <c r="C772" s="4"/>
      <c r="E772" s="4"/>
      <c r="F772" s="5"/>
      <c r="G772" s="6"/>
      <c r="H772" s="6"/>
      <c r="I772" s="6"/>
      <c r="J772" s="6"/>
    </row>
    <row r="773" spans="1:10">
      <c r="A773" s="3"/>
      <c r="B773" s="4"/>
      <c r="C773" s="4"/>
      <c r="E773" s="4"/>
      <c r="F773" s="5"/>
      <c r="G773" s="6"/>
      <c r="H773" s="6"/>
      <c r="I773" s="6"/>
      <c r="J773" s="6"/>
    </row>
    <row r="774" spans="1:10">
      <c r="A774" s="3"/>
      <c r="B774" s="4"/>
      <c r="C774" s="4"/>
      <c r="E774" s="4"/>
      <c r="F774" s="5"/>
      <c r="G774" s="6"/>
      <c r="H774" s="6"/>
      <c r="I774" s="6"/>
      <c r="J774" s="6"/>
    </row>
    <row r="775" spans="1:10">
      <c r="A775" s="3"/>
      <c r="B775" s="4"/>
      <c r="C775" s="4"/>
      <c r="E775" s="4"/>
      <c r="F775" s="5"/>
      <c r="G775" s="6"/>
      <c r="H775" s="6"/>
      <c r="I775" s="6"/>
      <c r="J775" s="6"/>
    </row>
    <row r="776" spans="1:10">
      <c r="A776" s="3"/>
      <c r="B776" s="4"/>
      <c r="C776" s="4"/>
      <c r="E776" s="4"/>
      <c r="F776" s="5"/>
      <c r="G776" s="6"/>
      <c r="H776" s="6"/>
      <c r="I776" s="6"/>
      <c r="J776" s="6"/>
    </row>
    <row r="777" spans="1:10">
      <c r="A777" s="3"/>
      <c r="B777" s="4"/>
      <c r="C777" s="4"/>
      <c r="E777" s="4"/>
      <c r="F777" s="5"/>
      <c r="G777" s="6"/>
      <c r="H777" s="6"/>
      <c r="I777" s="6"/>
      <c r="J777" s="6"/>
    </row>
    <row r="778" spans="1:10">
      <c r="A778" s="3"/>
      <c r="B778" s="4"/>
      <c r="C778" s="4"/>
      <c r="E778" s="4"/>
      <c r="F778" s="5"/>
      <c r="G778" s="6"/>
      <c r="H778" s="6"/>
      <c r="I778" s="6"/>
      <c r="J778" s="6"/>
    </row>
    <row r="779" spans="1:10">
      <c r="A779" s="3"/>
      <c r="B779" s="4"/>
      <c r="C779" s="4"/>
      <c r="E779" s="4"/>
      <c r="F779" s="5"/>
      <c r="G779" s="6"/>
      <c r="H779" s="6"/>
      <c r="I779" s="6"/>
      <c r="J779" s="6"/>
    </row>
    <row r="780" spans="1:10">
      <c r="A780" s="3"/>
      <c r="B780" s="4"/>
      <c r="C780" s="4"/>
      <c r="E780" s="4"/>
      <c r="F780" s="5"/>
      <c r="G780" s="6"/>
      <c r="H780" s="6"/>
      <c r="I780" s="6"/>
      <c r="J780" s="6"/>
    </row>
    <row r="781" spans="1:10">
      <c r="A781" s="3"/>
      <c r="B781" s="4"/>
      <c r="C781" s="4"/>
      <c r="E781" s="4"/>
      <c r="F781" s="5"/>
      <c r="G781" s="6"/>
      <c r="H781" s="6"/>
      <c r="I781" s="6"/>
      <c r="J781" s="6"/>
    </row>
    <row r="782" spans="1:10">
      <c r="A782" s="3"/>
      <c r="B782" s="4"/>
      <c r="C782" s="4"/>
      <c r="E782" s="4"/>
      <c r="F782" s="5"/>
      <c r="G782" s="6"/>
      <c r="H782" s="6"/>
      <c r="I782" s="6"/>
      <c r="J782" s="6"/>
    </row>
    <row r="783" spans="1:10">
      <c r="A783" s="3"/>
      <c r="B783" s="4"/>
      <c r="C783" s="4"/>
      <c r="E783" s="4"/>
      <c r="F783" s="5"/>
      <c r="G783" s="6"/>
      <c r="H783" s="6"/>
      <c r="I783" s="6"/>
      <c r="J783" s="6"/>
    </row>
    <row r="784" spans="1:10">
      <c r="A784" s="3"/>
      <c r="B784" s="4"/>
      <c r="C784" s="4"/>
      <c r="E784" s="4"/>
      <c r="F784" s="5"/>
      <c r="G784" s="6"/>
      <c r="H784" s="6"/>
      <c r="I784" s="6"/>
      <c r="J784" s="6"/>
    </row>
    <row r="785" spans="1:10">
      <c r="A785" s="3"/>
      <c r="B785" s="4"/>
      <c r="C785" s="4"/>
      <c r="E785" s="4"/>
      <c r="F785" s="5"/>
      <c r="G785" s="6"/>
      <c r="H785" s="6"/>
      <c r="I785" s="6"/>
      <c r="J785" s="6"/>
    </row>
    <row r="786" spans="1:10">
      <c r="A786" s="3"/>
      <c r="B786" s="4"/>
      <c r="C786" s="4"/>
      <c r="E786" s="4"/>
      <c r="F786" s="5"/>
      <c r="G786" s="6"/>
      <c r="H786" s="6"/>
      <c r="I786" s="6"/>
      <c r="J786" s="6"/>
    </row>
    <row r="787" spans="1:10">
      <c r="A787" s="3"/>
      <c r="B787" s="4"/>
      <c r="C787" s="4"/>
      <c r="E787" s="4"/>
      <c r="F787" s="5"/>
      <c r="G787" s="6"/>
      <c r="H787" s="6"/>
      <c r="I787" s="6"/>
      <c r="J787" s="6"/>
    </row>
    <row r="788" spans="1:10">
      <c r="A788" s="3"/>
      <c r="B788" s="4"/>
      <c r="C788" s="4"/>
      <c r="E788" s="4"/>
      <c r="F788" s="5"/>
      <c r="G788" s="6"/>
      <c r="H788" s="6"/>
      <c r="I788" s="6"/>
      <c r="J788" s="6"/>
    </row>
    <row r="789" spans="1:10">
      <c r="A789" s="3"/>
      <c r="B789" s="4"/>
      <c r="C789" s="4"/>
      <c r="E789" s="4"/>
      <c r="F789" s="5"/>
      <c r="G789" s="6"/>
      <c r="H789" s="6"/>
      <c r="I789" s="6"/>
      <c r="J789" s="6"/>
    </row>
    <row r="790" spans="1:10">
      <c r="A790" s="3"/>
      <c r="B790" s="4"/>
      <c r="C790" s="4"/>
      <c r="E790" s="4"/>
      <c r="F790" s="5"/>
      <c r="G790" s="6"/>
      <c r="H790" s="6"/>
      <c r="I790" s="6"/>
      <c r="J790" s="6"/>
    </row>
    <row r="791" spans="1:10">
      <c r="A791" s="3"/>
      <c r="B791" s="4"/>
      <c r="C791" s="4"/>
      <c r="E791" s="4"/>
      <c r="F791" s="5"/>
      <c r="G791" s="6"/>
      <c r="H791" s="6"/>
      <c r="I791" s="6"/>
      <c r="J791" s="6"/>
    </row>
    <row r="792" spans="1:10">
      <c r="A792" s="3"/>
      <c r="B792" s="4"/>
      <c r="C792" s="4"/>
      <c r="E792" s="4"/>
      <c r="F792" s="5"/>
      <c r="G792" s="6"/>
      <c r="H792" s="6"/>
      <c r="I792" s="6"/>
      <c r="J792" s="6"/>
    </row>
    <row r="793" spans="1:10">
      <c r="A793" s="3"/>
      <c r="B793" s="4"/>
      <c r="C793" s="4"/>
      <c r="E793" s="4"/>
      <c r="F793" s="5"/>
      <c r="G793" s="6"/>
      <c r="H793" s="6"/>
      <c r="I793" s="6"/>
      <c r="J793" s="6"/>
    </row>
    <row r="794" spans="1:10">
      <c r="A794" s="3"/>
      <c r="B794" s="4"/>
      <c r="C794" s="4"/>
      <c r="E794" s="4"/>
      <c r="F794" s="5"/>
      <c r="G794" s="6"/>
      <c r="H794" s="6"/>
      <c r="I794" s="6"/>
      <c r="J794" s="6"/>
    </row>
    <row r="795" spans="1:10">
      <c r="A795" s="3"/>
      <c r="B795" s="4"/>
      <c r="C795" s="4"/>
      <c r="E795" s="4"/>
      <c r="F795" s="5"/>
      <c r="G795" s="6"/>
      <c r="H795" s="6"/>
      <c r="I795" s="6"/>
      <c r="J795" s="6"/>
    </row>
    <row r="796" spans="1:10">
      <c r="A796" s="3"/>
      <c r="B796" s="4"/>
      <c r="C796" s="4"/>
      <c r="E796" s="4"/>
      <c r="F796" s="5"/>
      <c r="G796" s="6"/>
      <c r="H796" s="6"/>
      <c r="I796" s="6"/>
      <c r="J796" s="6"/>
    </row>
    <row r="797" spans="1:10">
      <c r="A797" s="3"/>
      <c r="B797" s="4"/>
      <c r="C797" s="4"/>
      <c r="E797" s="4"/>
      <c r="F797" s="5"/>
      <c r="G797" s="6"/>
      <c r="H797" s="6"/>
      <c r="I797" s="6"/>
      <c r="J797" s="6"/>
    </row>
    <row r="798" spans="1:10">
      <c r="A798" s="3"/>
      <c r="B798" s="4"/>
      <c r="C798" s="4"/>
      <c r="E798" s="4"/>
      <c r="F798" s="5"/>
      <c r="G798" s="6"/>
      <c r="H798" s="6"/>
      <c r="I798" s="6"/>
      <c r="J798" s="6"/>
    </row>
    <row r="799" spans="1:10">
      <c r="A799" s="3"/>
      <c r="B799" s="4"/>
      <c r="C799" s="4"/>
      <c r="E799" s="4"/>
      <c r="F799" s="5"/>
      <c r="G799" s="6"/>
      <c r="H799" s="6"/>
      <c r="I799" s="6"/>
      <c r="J799" s="6"/>
    </row>
    <row r="800" spans="1:10">
      <c r="A800" s="3"/>
      <c r="B800" s="4"/>
      <c r="C800" s="4"/>
      <c r="E800" s="4"/>
      <c r="F800" s="5"/>
      <c r="G800" s="6"/>
      <c r="H800" s="6"/>
      <c r="I800" s="6"/>
      <c r="J800" s="6"/>
    </row>
    <row r="801" spans="1:10">
      <c r="A801" s="3"/>
      <c r="B801" s="4"/>
      <c r="C801" s="4"/>
      <c r="E801" s="4"/>
      <c r="F801" s="5"/>
      <c r="G801" s="6"/>
      <c r="H801" s="6"/>
      <c r="I801" s="6"/>
      <c r="J801" s="6"/>
    </row>
    <row r="802" spans="1:10">
      <c r="A802" s="3"/>
      <c r="B802" s="4"/>
      <c r="C802" s="4"/>
      <c r="E802" s="4"/>
      <c r="F802" s="5"/>
      <c r="G802" s="6"/>
      <c r="H802" s="6"/>
      <c r="I802" s="6"/>
      <c r="J802" s="6"/>
    </row>
    <row r="803" spans="1:10">
      <c r="A803" s="3"/>
      <c r="B803" s="4"/>
      <c r="C803" s="4"/>
      <c r="E803" s="4"/>
      <c r="F803" s="5"/>
      <c r="G803" s="6"/>
      <c r="H803" s="6"/>
      <c r="I803" s="6"/>
      <c r="J803" s="6"/>
    </row>
    <row r="804" spans="1:10">
      <c r="A804" s="3"/>
      <c r="B804" s="4"/>
      <c r="C804" s="4"/>
      <c r="E804" s="4"/>
      <c r="F804" s="5"/>
      <c r="G804" s="6"/>
      <c r="H804" s="6"/>
      <c r="I804" s="6"/>
      <c r="J804" s="6"/>
    </row>
    <row r="805" spans="1:10">
      <c r="A805" s="3"/>
      <c r="B805" s="4"/>
      <c r="C805" s="4"/>
      <c r="E805" s="4"/>
      <c r="F805" s="5"/>
      <c r="G805" s="6"/>
      <c r="H805" s="6"/>
      <c r="I805" s="6"/>
      <c r="J805" s="6"/>
    </row>
    <row r="806" spans="1:10">
      <c r="A806" s="3"/>
      <c r="B806" s="4"/>
      <c r="C806" s="4"/>
      <c r="E806" s="4"/>
      <c r="F806" s="5"/>
      <c r="G806" s="6"/>
      <c r="H806" s="6"/>
      <c r="I806" s="6"/>
      <c r="J806" s="6"/>
    </row>
    <row r="807" spans="1:10">
      <c r="A807" s="3"/>
      <c r="B807" s="4"/>
      <c r="C807" s="4"/>
      <c r="E807" s="4"/>
      <c r="F807" s="5"/>
      <c r="G807" s="6"/>
      <c r="H807" s="6"/>
      <c r="I807" s="6"/>
      <c r="J807" s="6"/>
    </row>
    <row r="808" spans="1:10">
      <c r="A808" s="3"/>
      <c r="B808" s="4"/>
      <c r="C808" s="4"/>
      <c r="E808" s="4"/>
      <c r="F808" s="5"/>
      <c r="G808" s="6"/>
      <c r="H808" s="6"/>
      <c r="I808" s="6"/>
      <c r="J808" s="6"/>
    </row>
    <row r="809" spans="1:10">
      <c r="A809" s="3"/>
      <c r="B809" s="4"/>
      <c r="C809" s="4"/>
      <c r="E809" s="4"/>
      <c r="F809" s="5"/>
      <c r="G809" s="6"/>
      <c r="H809" s="6"/>
      <c r="I809" s="6"/>
      <c r="J809" s="6"/>
    </row>
    <row r="810" spans="1:10">
      <c r="A810" s="3"/>
      <c r="B810" s="4"/>
      <c r="C810" s="4"/>
      <c r="E810" s="4"/>
      <c r="F810" s="5"/>
      <c r="G810" s="6"/>
      <c r="H810" s="6"/>
      <c r="I810" s="6"/>
      <c r="J810" s="6"/>
    </row>
    <row r="811" spans="1:10">
      <c r="A811" s="3"/>
      <c r="B811" s="4"/>
      <c r="C811" s="4"/>
      <c r="E811" s="4"/>
      <c r="F811" s="5"/>
      <c r="G811" s="6"/>
      <c r="H811" s="6"/>
      <c r="I811" s="6"/>
      <c r="J811" s="6"/>
    </row>
    <row r="812" spans="1:10">
      <c r="A812" s="3"/>
      <c r="B812" s="4"/>
      <c r="C812" s="4"/>
      <c r="E812" s="4"/>
      <c r="F812" s="5"/>
      <c r="G812" s="6"/>
      <c r="H812" s="6"/>
      <c r="I812" s="6"/>
      <c r="J812" s="6"/>
    </row>
    <row r="813" spans="1:10">
      <c r="A813" s="3"/>
      <c r="B813" s="4"/>
      <c r="C813" s="4"/>
      <c r="E813" s="4"/>
      <c r="F813" s="5"/>
      <c r="G813" s="6"/>
      <c r="H813" s="6"/>
      <c r="I813" s="6"/>
      <c r="J813" s="6"/>
    </row>
    <row r="814" spans="1:10">
      <c r="A814" s="3"/>
      <c r="B814" s="4"/>
      <c r="C814" s="4"/>
      <c r="E814" s="4"/>
      <c r="F814" s="5"/>
      <c r="G814" s="6"/>
      <c r="H814" s="6"/>
      <c r="I814" s="6"/>
      <c r="J814" s="6"/>
    </row>
    <row r="815" spans="1:10">
      <c r="A815" s="3"/>
      <c r="B815" s="4"/>
      <c r="C815" s="4"/>
      <c r="E815" s="4"/>
      <c r="F815" s="5"/>
      <c r="G815" s="6"/>
      <c r="H815" s="6"/>
      <c r="I815" s="6"/>
      <c r="J815" s="6"/>
    </row>
    <row r="816" spans="1:10">
      <c r="A816" s="3"/>
      <c r="B816" s="4"/>
      <c r="C816" s="4"/>
      <c r="E816" s="4"/>
      <c r="F816" s="5"/>
      <c r="G816" s="6"/>
      <c r="H816" s="6"/>
      <c r="I816" s="6"/>
      <c r="J816" s="6"/>
    </row>
    <row r="817" spans="1:10">
      <c r="A817" s="3"/>
      <c r="B817" s="4"/>
      <c r="C817" s="4"/>
      <c r="E817" s="4"/>
      <c r="F817" s="5"/>
      <c r="G817" s="6"/>
      <c r="H817" s="6"/>
      <c r="I817" s="6"/>
      <c r="J817" s="6"/>
    </row>
    <row r="818" spans="1:10">
      <c r="A818" s="3"/>
      <c r="B818" s="4"/>
      <c r="C818" s="4"/>
      <c r="E818" s="4"/>
      <c r="F818" s="5"/>
      <c r="G818" s="6"/>
      <c r="H818" s="6"/>
      <c r="I818" s="6"/>
      <c r="J818" s="6"/>
    </row>
    <row r="819" spans="1:10">
      <c r="A819" s="3"/>
      <c r="B819" s="4"/>
      <c r="C819" s="4"/>
      <c r="E819" s="4"/>
      <c r="F819" s="5"/>
      <c r="G819" s="6"/>
      <c r="H819" s="6"/>
      <c r="I819" s="6"/>
      <c r="J819" s="6"/>
    </row>
    <row r="820" spans="1:10">
      <c r="A820" s="3"/>
      <c r="B820" s="4"/>
      <c r="C820" s="4"/>
      <c r="E820" s="4"/>
      <c r="F820" s="5"/>
      <c r="G820" s="6"/>
      <c r="H820" s="6"/>
      <c r="I820" s="6"/>
      <c r="J820" s="6"/>
    </row>
    <row r="821" spans="1:10">
      <c r="A821" s="3"/>
      <c r="B821" s="4"/>
      <c r="C821" s="4"/>
      <c r="E821" s="4"/>
      <c r="F821" s="5"/>
      <c r="G821" s="6"/>
      <c r="H821" s="6"/>
      <c r="I821" s="6"/>
      <c r="J821" s="6"/>
    </row>
    <row r="822" spans="1:10">
      <c r="A822" s="3"/>
      <c r="B822" s="4"/>
      <c r="C822" s="4"/>
      <c r="E822" s="4"/>
      <c r="F822" s="5"/>
      <c r="G822" s="6"/>
      <c r="H822" s="6"/>
      <c r="I822" s="6"/>
      <c r="J822" s="6"/>
    </row>
    <row r="823" spans="1:10">
      <c r="A823" s="3"/>
      <c r="B823" s="4"/>
      <c r="C823" s="4"/>
      <c r="E823" s="4"/>
      <c r="F823" s="5"/>
      <c r="G823" s="6"/>
      <c r="H823" s="6"/>
      <c r="I823" s="6"/>
      <c r="J823" s="6"/>
    </row>
    <row r="824" spans="1:10">
      <c r="A824" s="3"/>
      <c r="B824" s="4"/>
      <c r="C824" s="4"/>
      <c r="E824" s="4"/>
      <c r="F824" s="5"/>
      <c r="G824" s="6"/>
      <c r="H824" s="6"/>
      <c r="I824" s="6"/>
      <c r="J824" s="6"/>
    </row>
    <row r="825" spans="1:10">
      <c r="A825" s="3"/>
      <c r="B825" s="4"/>
      <c r="C825" s="4"/>
      <c r="E825" s="4"/>
      <c r="F825" s="5"/>
      <c r="G825" s="6"/>
      <c r="H825" s="6"/>
      <c r="I825" s="6"/>
      <c r="J825" s="6"/>
    </row>
    <row r="826" spans="1:10">
      <c r="A826" s="3"/>
      <c r="B826" s="4"/>
      <c r="C826" s="4"/>
      <c r="E826" s="4"/>
      <c r="F826" s="5"/>
      <c r="G826" s="6"/>
      <c r="H826" s="6"/>
      <c r="I826" s="6"/>
      <c r="J826" s="6"/>
    </row>
    <row r="827" spans="1:10">
      <c r="A827" s="3"/>
      <c r="B827" s="4"/>
      <c r="C827" s="4"/>
      <c r="E827" s="4"/>
      <c r="F827" s="5"/>
      <c r="G827" s="6"/>
      <c r="H827" s="6"/>
      <c r="I827" s="6"/>
      <c r="J827" s="6"/>
    </row>
    <row r="828" spans="1:10">
      <c r="A828" s="3"/>
      <c r="B828" s="4"/>
      <c r="C828" s="4"/>
      <c r="E828" s="4"/>
      <c r="F828" s="5"/>
      <c r="G828" s="6"/>
      <c r="H828" s="6"/>
      <c r="I828" s="6"/>
      <c r="J828" s="6"/>
    </row>
    <row r="829" spans="1:10">
      <c r="A829" s="3"/>
      <c r="B829" s="4"/>
      <c r="C829" s="4"/>
      <c r="E829" s="4"/>
      <c r="F829" s="5"/>
      <c r="G829" s="6"/>
      <c r="H829" s="6"/>
      <c r="I829" s="6"/>
      <c r="J829" s="6"/>
    </row>
    <row r="830" spans="1:10">
      <c r="A830" s="3"/>
      <c r="B830" s="4"/>
      <c r="C830" s="4"/>
      <c r="E830" s="4"/>
      <c r="F830" s="5"/>
      <c r="G830" s="6"/>
      <c r="H830" s="6"/>
      <c r="I830" s="6"/>
      <c r="J830" s="6"/>
    </row>
    <row r="831" spans="1:10">
      <c r="A831" s="3"/>
      <c r="B831" s="4"/>
      <c r="C831" s="4"/>
      <c r="E831" s="4"/>
      <c r="F831" s="5"/>
      <c r="G831" s="6"/>
      <c r="H831" s="6"/>
      <c r="I831" s="6"/>
      <c r="J831" s="6"/>
    </row>
    <row r="832" spans="1:10">
      <c r="A832" s="3"/>
      <c r="B832" s="4"/>
      <c r="C832" s="4"/>
      <c r="E832" s="4"/>
      <c r="F832" s="5"/>
      <c r="G832" s="6"/>
      <c r="H832" s="6"/>
      <c r="I832" s="6"/>
      <c r="J832" s="6"/>
    </row>
    <row r="833" spans="1:10">
      <c r="A833" s="3"/>
      <c r="B833" s="4"/>
      <c r="C833" s="4"/>
      <c r="E833" s="4"/>
      <c r="F833" s="5"/>
      <c r="G833" s="6"/>
      <c r="H833" s="6"/>
      <c r="I833" s="6"/>
      <c r="J833" s="6"/>
    </row>
    <row r="834" spans="1:10">
      <c r="A834" s="3"/>
      <c r="B834" s="4"/>
      <c r="C834" s="4"/>
      <c r="E834" s="4"/>
      <c r="F834" s="5"/>
      <c r="G834" s="6"/>
      <c r="H834" s="6"/>
      <c r="I834" s="6"/>
      <c r="J834" s="6"/>
    </row>
    <row r="835" spans="1:10">
      <c r="A835" s="3"/>
      <c r="B835" s="4"/>
      <c r="C835" s="4"/>
      <c r="E835" s="4"/>
      <c r="F835" s="5"/>
      <c r="G835" s="6"/>
      <c r="H835" s="6"/>
      <c r="I835" s="6"/>
      <c r="J835" s="6"/>
    </row>
    <row r="836" spans="1:10">
      <c r="A836" s="3"/>
      <c r="B836" s="4"/>
      <c r="C836" s="4"/>
      <c r="E836" s="4"/>
      <c r="F836" s="5"/>
      <c r="G836" s="6"/>
      <c r="H836" s="6"/>
      <c r="I836" s="6"/>
      <c r="J836" s="6"/>
    </row>
    <row r="837" spans="1:10">
      <c r="A837" s="3"/>
      <c r="B837" s="4"/>
      <c r="C837" s="4"/>
      <c r="E837" s="4"/>
      <c r="F837" s="5"/>
      <c r="G837" s="6"/>
      <c r="H837" s="6"/>
      <c r="I837" s="6"/>
      <c r="J837" s="6"/>
    </row>
    <row r="838" spans="1:10">
      <c r="A838" s="3"/>
      <c r="B838" s="4"/>
      <c r="C838" s="4"/>
      <c r="E838" s="4"/>
      <c r="F838" s="5"/>
      <c r="G838" s="6"/>
      <c r="H838" s="6"/>
      <c r="I838" s="6"/>
      <c r="J838" s="6"/>
    </row>
    <row r="839" spans="1:10">
      <c r="A839" s="3"/>
      <c r="B839" s="4"/>
      <c r="C839" s="4"/>
      <c r="E839" s="4"/>
      <c r="F839" s="5"/>
      <c r="G839" s="6"/>
      <c r="H839" s="6"/>
      <c r="I839" s="6"/>
      <c r="J839" s="6"/>
    </row>
    <row r="840" spans="1:10">
      <c r="A840" s="3"/>
      <c r="B840" s="4"/>
      <c r="C840" s="4"/>
      <c r="E840" s="4"/>
      <c r="F840" s="5"/>
      <c r="G840" s="6"/>
      <c r="H840" s="6"/>
      <c r="I840" s="6"/>
      <c r="J840" s="6"/>
    </row>
    <row r="841" spans="1:10">
      <c r="A841" s="3"/>
      <c r="B841" s="4"/>
      <c r="C841" s="4"/>
      <c r="E841" s="4"/>
      <c r="F841" s="5"/>
      <c r="G841" s="6"/>
      <c r="H841" s="6"/>
      <c r="I841" s="6"/>
      <c r="J841" s="6"/>
    </row>
    <row r="842" spans="1:10">
      <c r="A842" s="3"/>
      <c r="B842" s="4"/>
      <c r="C842" s="4"/>
      <c r="E842" s="4"/>
      <c r="F842" s="5"/>
      <c r="G842" s="6"/>
      <c r="H842" s="6"/>
      <c r="I842" s="6"/>
      <c r="J842" s="6"/>
    </row>
    <row r="843" spans="1:10">
      <c r="A843" s="3"/>
      <c r="B843" s="4"/>
      <c r="C843" s="4"/>
      <c r="E843" s="4"/>
      <c r="F843" s="5"/>
      <c r="G843" s="6"/>
      <c r="H843" s="6"/>
      <c r="I843" s="6"/>
      <c r="J843" s="6"/>
    </row>
    <row r="844" spans="1:10">
      <c r="A844" s="3"/>
      <c r="B844" s="4"/>
      <c r="C844" s="4"/>
      <c r="E844" s="4"/>
      <c r="F844" s="5"/>
      <c r="G844" s="6"/>
      <c r="H844" s="6"/>
      <c r="I844" s="6"/>
      <c r="J844" s="6"/>
    </row>
    <row r="845" spans="1:10">
      <c r="A845" s="3"/>
      <c r="B845" s="4"/>
      <c r="C845" s="4"/>
      <c r="E845" s="4"/>
      <c r="F845" s="5"/>
      <c r="G845" s="6"/>
      <c r="H845" s="6"/>
      <c r="I845" s="6"/>
      <c r="J845" s="6"/>
    </row>
    <row r="846" spans="1:10">
      <c r="A846" s="3"/>
      <c r="B846" s="4"/>
      <c r="C846" s="4"/>
      <c r="E846" s="4"/>
      <c r="F846" s="5"/>
      <c r="G846" s="6"/>
      <c r="H846" s="6"/>
      <c r="I846" s="6"/>
      <c r="J846" s="6"/>
    </row>
    <row r="847" spans="1:10">
      <c r="A847" s="3"/>
      <c r="B847" s="4"/>
      <c r="C847" s="4"/>
      <c r="E847" s="4"/>
      <c r="F847" s="5"/>
      <c r="G847" s="6"/>
      <c r="H847" s="6"/>
      <c r="I847" s="6"/>
      <c r="J847" s="6"/>
    </row>
    <row r="848" spans="1:10">
      <c r="A848" s="3"/>
      <c r="B848" s="4"/>
      <c r="C848" s="4"/>
      <c r="E848" s="4"/>
      <c r="F848" s="5"/>
      <c r="G848" s="6"/>
      <c r="H848" s="6"/>
      <c r="I848" s="6"/>
      <c r="J848" s="6"/>
    </row>
    <row r="849" spans="1:10">
      <c r="A849" s="3"/>
      <c r="B849" s="4"/>
      <c r="C849" s="4"/>
      <c r="E849" s="4"/>
      <c r="F849" s="5"/>
      <c r="G849" s="6"/>
      <c r="H849" s="6"/>
      <c r="I849" s="6"/>
      <c r="J849" s="6"/>
    </row>
    <row r="850" spans="1:10">
      <c r="A850" s="3"/>
      <c r="B850" s="4"/>
      <c r="C850" s="4"/>
      <c r="E850" s="4"/>
      <c r="F850" s="5"/>
      <c r="G850" s="6"/>
      <c r="H850" s="6"/>
      <c r="I850" s="6"/>
      <c r="J850" s="6"/>
    </row>
    <row r="851" spans="1:10">
      <c r="A851" s="3"/>
      <c r="B851" s="4"/>
      <c r="C851" s="4"/>
      <c r="E851" s="4"/>
      <c r="F851" s="5"/>
      <c r="G851" s="6"/>
      <c r="H851" s="6"/>
      <c r="I851" s="6"/>
      <c r="J851" s="6"/>
    </row>
    <row r="852" spans="1:10">
      <c r="A852" s="3"/>
      <c r="B852" s="4"/>
      <c r="C852" s="4"/>
      <c r="E852" s="4"/>
      <c r="F852" s="5"/>
      <c r="G852" s="6"/>
      <c r="H852" s="6"/>
      <c r="I852" s="6"/>
      <c r="J852" s="6"/>
    </row>
    <row r="853" spans="1:10">
      <c r="A853" s="3"/>
      <c r="B853" s="4"/>
      <c r="C853" s="4"/>
      <c r="E853" s="4"/>
      <c r="F853" s="5"/>
      <c r="G853" s="6"/>
      <c r="H853" s="6"/>
      <c r="I853" s="6"/>
      <c r="J853" s="6"/>
    </row>
    <row r="854" spans="1:10">
      <c r="A854" s="3"/>
      <c r="B854" s="4"/>
      <c r="C854" s="4"/>
      <c r="E854" s="4"/>
      <c r="F854" s="5"/>
      <c r="G854" s="6"/>
      <c r="H854" s="6"/>
      <c r="I854" s="6"/>
      <c r="J854" s="6"/>
    </row>
    <row r="855" spans="1:10">
      <c r="A855" s="3"/>
      <c r="B855" s="4"/>
      <c r="C855" s="4"/>
      <c r="E855" s="4"/>
      <c r="F855" s="5"/>
      <c r="G855" s="6"/>
      <c r="H855" s="6"/>
      <c r="I855" s="6"/>
      <c r="J855" s="6"/>
    </row>
    <row r="856" spans="1:10">
      <c r="A856" s="3"/>
      <c r="B856" s="4"/>
      <c r="C856" s="4"/>
      <c r="E856" s="4"/>
      <c r="F856" s="5"/>
      <c r="G856" s="6"/>
      <c r="H856" s="6"/>
      <c r="I856" s="6"/>
      <c r="J856" s="6"/>
    </row>
    <row r="857" spans="1:10">
      <c r="A857" s="3"/>
      <c r="B857" s="4"/>
      <c r="C857" s="4"/>
      <c r="E857" s="4"/>
      <c r="F857" s="5"/>
      <c r="G857" s="6"/>
      <c r="H857" s="6"/>
      <c r="I857" s="6"/>
      <c r="J857" s="6"/>
    </row>
    <row r="858" spans="1:10">
      <c r="A858" s="3"/>
      <c r="B858" s="4"/>
      <c r="C858" s="4"/>
      <c r="E858" s="4"/>
      <c r="F858" s="5"/>
      <c r="G858" s="6"/>
      <c r="H858" s="6"/>
      <c r="I858" s="6"/>
      <c r="J858" s="6"/>
    </row>
    <row r="859" spans="1:10">
      <c r="A859" s="3"/>
      <c r="B859" s="4"/>
      <c r="C859" s="4"/>
      <c r="E859" s="4"/>
      <c r="F859" s="5"/>
      <c r="G859" s="6"/>
      <c r="H859" s="6"/>
      <c r="I859" s="6"/>
      <c r="J859" s="6"/>
    </row>
    <row r="860" spans="1:10">
      <c r="A860" s="3"/>
      <c r="B860" s="4"/>
      <c r="C860" s="4"/>
      <c r="E860" s="4"/>
      <c r="F860" s="5"/>
      <c r="G860" s="6"/>
      <c r="H860" s="6"/>
      <c r="I860" s="6"/>
      <c r="J860" s="6"/>
    </row>
    <row r="861" spans="1:10">
      <c r="A861" s="3"/>
      <c r="B861" s="4"/>
      <c r="C861" s="4"/>
      <c r="E861" s="4"/>
      <c r="F861" s="5"/>
      <c r="G861" s="6"/>
      <c r="H861" s="6"/>
      <c r="I861" s="6"/>
      <c r="J861" s="6"/>
    </row>
    <row r="862" spans="1:10">
      <c r="A862" s="3"/>
      <c r="B862" s="4"/>
      <c r="C862" s="4"/>
      <c r="E862" s="4"/>
      <c r="F862" s="5"/>
      <c r="G862" s="6"/>
      <c r="H862" s="6"/>
      <c r="I862" s="6"/>
      <c r="J862" s="6"/>
    </row>
    <row r="863" spans="1:10">
      <c r="A863" s="3"/>
      <c r="B863" s="4"/>
      <c r="C863" s="4"/>
      <c r="E863" s="4"/>
      <c r="F863" s="5"/>
      <c r="G863" s="6"/>
      <c r="H863" s="6"/>
      <c r="I863" s="6"/>
      <c r="J863" s="6"/>
    </row>
    <row r="864" spans="1:10">
      <c r="A864" s="3"/>
      <c r="B864" s="4"/>
      <c r="C864" s="4"/>
      <c r="E864" s="4"/>
      <c r="F864" s="5"/>
      <c r="G864" s="6"/>
      <c r="H864" s="6"/>
      <c r="I864" s="6"/>
      <c r="J864" s="6"/>
    </row>
    <row r="865" spans="1:10">
      <c r="A865" s="3"/>
      <c r="B865" s="4"/>
      <c r="C865" s="4"/>
      <c r="E865" s="4"/>
      <c r="F865" s="5"/>
      <c r="G865" s="6"/>
      <c r="H865" s="6"/>
      <c r="I865" s="6"/>
      <c r="J865" s="6"/>
    </row>
    <row r="866" spans="1:10">
      <c r="A866" s="3"/>
      <c r="B866" s="4"/>
      <c r="C866" s="4"/>
      <c r="E866" s="4"/>
      <c r="F866" s="5"/>
      <c r="G866" s="6"/>
      <c r="H866" s="6"/>
      <c r="I866" s="6"/>
      <c r="J866" s="6"/>
    </row>
    <row r="867" spans="1:10">
      <c r="A867" s="3"/>
      <c r="B867" s="4"/>
      <c r="C867" s="4"/>
      <c r="E867" s="4"/>
      <c r="F867" s="5"/>
      <c r="G867" s="6"/>
      <c r="H867" s="6"/>
      <c r="I867" s="6"/>
      <c r="J867" s="6"/>
    </row>
    <row r="868" spans="1:10">
      <c r="A868" s="3"/>
      <c r="B868" s="4"/>
      <c r="C868" s="4"/>
      <c r="E868" s="4"/>
      <c r="F868" s="5"/>
      <c r="G868" s="6"/>
      <c r="H868" s="6"/>
      <c r="I868" s="6"/>
      <c r="J868" s="6"/>
    </row>
    <row r="869" spans="1:10">
      <c r="A869" s="3"/>
      <c r="B869" s="4"/>
      <c r="C869" s="4"/>
      <c r="E869" s="4"/>
      <c r="F869" s="5"/>
      <c r="G869" s="6"/>
      <c r="H869" s="6"/>
      <c r="I869" s="6"/>
      <c r="J869" s="6"/>
    </row>
    <row r="870" spans="1:10">
      <c r="A870" s="3"/>
      <c r="B870" s="4"/>
      <c r="C870" s="4"/>
      <c r="E870" s="4"/>
      <c r="F870" s="5"/>
      <c r="G870" s="6"/>
      <c r="H870" s="6"/>
      <c r="I870" s="6"/>
      <c r="J870" s="6"/>
    </row>
    <row r="871" spans="1:10">
      <c r="A871" s="3"/>
      <c r="B871" s="4"/>
      <c r="C871" s="4"/>
      <c r="E871" s="4"/>
      <c r="F871" s="5"/>
      <c r="G871" s="6"/>
      <c r="H871" s="6"/>
      <c r="I871" s="6"/>
      <c r="J871" s="6"/>
    </row>
    <row r="872" spans="1:10">
      <c r="A872" s="3"/>
      <c r="B872" s="4"/>
      <c r="C872" s="4"/>
      <c r="E872" s="4"/>
      <c r="F872" s="5"/>
      <c r="G872" s="6"/>
      <c r="H872" s="6"/>
      <c r="I872" s="6"/>
      <c r="J872" s="6"/>
    </row>
    <row r="873" spans="1:10">
      <c r="A873" s="3"/>
      <c r="B873" s="4"/>
      <c r="C873" s="4"/>
      <c r="E873" s="4"/>
      <c r="F873" s="5"/>
      <c r="G873" s="6"/>
      <c r="H873" s="6"/>
      <c r="I873" s="6"/>
      <c r="J873" s="6"/>
    </row>
    <row r="874" spans="1:10">
      <c r="A874" s="3"/>
      <c r="B874" s="4"/>
      <c r="C874" s="4"/>
      <c r="E874" s="4"/>
      <c r="F874" s="5"/>
      <c r="G874" s="6"/>
      <c r="H874" s="6"/>
      <c r="I874" s="6"/>
      <c r="J874" s="6"/>
    </row>
    <row r="875" spans="1:10">
      <c r="A875" s="3"/>
      <c r="B875" s="4"/>
      <c r="C875" s="4"/>
      <c r="E875" s="4"/>
      <c r="F875" s="5"/>
      <c r="G875" s="6"/>
      <c r="H875" s="6"/>
      <c r="I875" s="6"/>
      <c r="J875" s="6"/>
    </row>
    <row r="876" spans="1:10">
      <c r="A876" s="3"/>
      <c r="B876" s="4"/>
      <c r="C876" s="4"/>
      <c r="E876" s="4"/>
      <c r="F876" s="5"/>
      <c r="G876" s="6"/>
      <c r="H876" s="6"/>
      <c r="I876" s="6"/>
      <c r="J876" s="6"/>
    </row>
    <row r="877" spans="1:10">
      <c r="A877" s="3"/>
      <c r="B877" s="4"/>
      <c r="C877" s="4"/>
      <c r="E877" s="4"/>
      <c r="F877" s="5"/>
      <c r="G877" s="6"/>
      <c r="H877" s="6"/>
      <c r="I877" s="6"/>
      <c r="J877" s="6"/>
    </row>
    <row r="878" spans="1:10">
      <c r="A878" s="3"/>
      <c r="B878" s="4"/>
      <c r="C878" s="4"/>
      <c r="E878" s="4"/>
      <c r="F878" s="5"/>
      <c r="G878" s="6"/>
      <c r="H878" s="6"/>
      <c r="I878" s="6"/>
      <c r="J878" s="6"/>
    </row>
    <row r="879" spans="1:10">
      <c r="A879" s="3"/>
      <c r="B879" s="4"/>
      <c r="C879" s="4"/>
      <c r="E879" s="4"/>
      <c r="F879" s="5"/>
      <c r="G879" s="6"/>
      <c r="H879" s="6"/>
      <c r="I879" s="6"/>
      <c r="J879" s="6"/>
    </row>
    <row r="880" spans="1:10">
      <c r="A880" s="3"/>
      <c r="B880" s="4"/>
      <c r="C880" s="4"/>
      <c r="E880" s="4"/>
      <c r="F880" s="5"/>
      <c r="G880" s="6"/>
      <c r="H880" s="6"/>
      <c r="I880" s="6"/>
      <c r="J880" s="6"/>
    </row>
    <row r="881" spans="1:10">
      <c r="A881" s="3"/>
      <c r="B881" s="4"/>
      <c r="C881" s="4"/>
      <c r="E881" s="4"/>
      <c r="F881" s="5"/>
      <c r="G881" s="6"/>
      <c r="H881" s="6"/>
      <c r="I881" s="6"/>
      <c r="J881" s="6"/>
    </row>
    <row r="882" spans="1:10">
      <c r="A882" s="3"/>
      <c r="B882" s="4"/>
      <c r="C882" s="4"/>
      <c r="E882" s="4"/>
      <c r="F882" s="5"/>
      <c r="G882" s="6"/>
      <c r="H882" s="6"/>
      <c r="I882" s="6"/>
      <c r="J882" s="6"/>
    </row>
    <row r="883" spans="1:10">
      <c r="A883" s="3"/>
      <c r="B883" s="4"/>
      <c r="C883" s="4"/>
      <c r="E883" s="4"/>
      <c r="F883" s="5"/>
      <c r="G883" s="6"/>
      <c r="H883" s="6"/>
      <c r="I883" s="6"/>
      <c r="J883" s="6"/>
    </row>
    <row r="884" spans="1:10">
      <c r="A884" s="3"/>
      <c r="B884" s="4"/>
      <c r="C884" s="4"/>
      <c r="E884" s="4"/>
      <c r="F884" s="5"/>
      <c r="G884" s="6"/>
      <c r="H884" s="6"/>
      <c r="I884" s="6"/>
      <c r="J884" s="6"/>
    </row>
    <row r="885" spans="1:10">
      <c r="A885" s="3"/>
      <c r="B885" s="4"/>
      <c r="C885" s="4"/>
      <c r="E885" s="4"/>
      <c r="F885" s="5"/>
      <c r="G885" s="6"/>
      <c r="H885" s="6"/>
      <c r="I885" s="6"/>
      <c r="J885" s="6"/>
    </row>
    <row r="886" spans="1:10">
      <c r="A886" s="3"/>
      <c r="B886" s="4"/>
      <c r="C886" s="4"/>
      <c r="E886" s="4"/>
      <c r="F886" s="5"/>
      <c r="G886" s="6"/>
      <c r="H886" s="6"/>
      <c r="I886" s="6"/>
      <c r="J886" s="6"/>
    </row>
    <row r="887" spans="1:10">
      <c r="A887" s="3"/>
      <c r="B887" s="4"/>
      <c r="C887" s="4"/>
      <c r="E887" s="4"/>
      <c r="F887" s="5"/>
      <c r="G887" s="6"/>
      <c r="H887" s="6"/>
      <c r="I887" s="6"/>
      <c r="J887" s="6"/>
    </row>
    <row r="888" spans="1:10">
      <c r="A888" s="3"/>
      <c r="B888" s="4"/>
      <c r="C888" s="4"/>
      <c r="E888" s="4"/>
      <c r="F888" s="5"/>
      <c r="G888" s="6"/>
      <c r="H888" s="6"/>
      <c r="I888" s="6"/>
      <c r="J888" s="6"/>
    </row>
    <row r="889" spans="1:10">
      <c r="A889" s="3"/>
      <c r="B889" s="4"/>
      <c r="C889" s="4"/>
      <c r="E889" s="4"/>
      <c r="F889" s="5"/>
      <c r="G889" s="6"/>
      <c r="H889" s="6"/>
      <c r="I889" s="6"/>
      <c r="J889" s="6"/>
    </row>
    <row r="890" spans="1:10">
      <c r="A890" s="3"/>
      <c r="B890" s="4"/>
      <c r="C890" s="4"/>
      <c r="E890" s="4"/>
      <c r="F890" s="5"/>
      <c r="G890" s="6"/>
      <c r="H890" s="6"/>
      <c r="I890" s="6"/>
      <c r="J890" s="6"/>
    </row>
    <row r="891" spans="1:10">
      <c r="A891" s="3"/>
      <c r="B891" s="4"/>
      <c r="C891" s="4"/>
      <c r="E891" s="4"/>
      <c r="F891" s="5"/>
      <c r="G891" s="6"/>
      <c r="H891" s="6"/>
      <c r="I891" s="6"/>
      <c r="J891" s="6"/>
    </row>
    <row r="892" spans="1:10">
      <c r="A892" s="3"/>
      <c r="B892" s="4"/>
      <c r="C892" s="4"/>
      <c r="E892" s="4"/>
      <c r="F892" s="5"/>
      <c r="G892" s="6"/>
      <c r="H892" s="6"/>
      <c r="I892" s="6"/>
      <c r="J892" s="6"/>
    </row>
    <row r="893" spans="1:10">
      <c r="A893" s="3"/>
      <c r="B893" s="4"/>
      <c r="C893" s="4"/>
      <c r="E893" s="4"/>
      <c r="F893" s="5"/>
      <c r="G893" s="6"/>
      <c r="H893" s="6"/>
      <c r="I893" s="6"/>
      <c r="J893" s="6"/>
    </row>
    <row r="894" spans="1:10">
      <c r="A894" s="3"/>
      <c r="B894" s="4"/>
      <c r="C894" s="4"/>
      <c r="E894" s="4"/>
      <c r="F894" s="5"/>
      <c r="G894" s="6"/>
      <c r="H894" s="6"/>
      <c r="I894" s="6"/>
      <c r="J894" s="6"/>
    </row>
    <row r="895" spans="1:10">
      <c r="A895" s="3"/>
      <c r="B895" s="4"/>
      <c r="C895" s="4"/>
      <c r="E895" s="4"/>
      <c r="F895" s="5"/>
      <c r="G895" s="6"/>
      <c r="H895" s="6"/>
      <c r="I895" s="6"/>
      <c r="J895" s="6"/>
    </row>
    <row r="896" spans="1:10">
      <c r="A896" s="3"/>
      <c r="B896" s="4"/>
      <c r="C896" s="4"/>
      <c r="E896" s="4"/>
      <c r="F896" s="5"/>
      <c r="G896" s="6"/>
      <c r="H896" s="6"/>
      <c r="I896" s="6"/>
      <c r="J896" s="6"/>
    </row>
    <row r="897" spans="1:10">
      <c r="A897" s="3"/>
      <c r="B897" s="4"/>
      <c r="C897" s="4"/>
      <c r="E897" s="4"/>
      <c r="F897" s="5"/>
      <c r="G897" s="6"/>
      <c r="H897" s="6"/>
      <c r="I897" s="6"/>
      <c r="J897" s="6"/>
    </row>
    <row r="898" spans="1:10">
      <c r="A898" s="3"/>
      <c r="B898" s="4"/>
      <c r="C898" s="4"/>
      <c r="E898" s="4"/>
      <c r="F898" s="5"/>
      <c r="G898" s="6"/>
      <c r="H898" s="6"/>
      <c r="I898" s="6"/>
      <c r="J898" s="6"/>
    </row>
    <row r="899" spans="1:10">
      <c r="A899" s="3"/>
      <c r="B899" s="4"/>
      <c r="C899" s="4"/>
      <c r="E899" s="4"/>
      <c r="F899" s="5"/>
      <c r="G899" s="6"/>
      <c r="H899" s="6"/>
      <c r="I899" s="6"/>
      <c r="J899" s="6"/>
    </row>
    <row r="900" spans="1:10">
      <c r="A900" s="3"/>
      <c r="B900" s="4"/>
      <c r="C900" s="4"/>
      <c r="E900" s="4"/>
      <c r="F900" s="5"/>
      <c r="G900" s="6"/>
      <c r="H900" s="6"/>
      <c r="I900" s="6"/>
      <c r="J900" s="6"/>
    </row>
    <row r="901" spans="1:10">
      <c r="A901" s="3"/>
      <c r="B901" s="4"/>
      <c r="C901" s="4"/>
      <c r="E901" s="4"/>
      <c r="F901" s="5"/>
      <c r="G901" s="6"/>
      <c r="H901" s="6"/>
      <c r="I901" s="6"/>
      <c r="J901" s="6"/>
    </row>
    <row r="902" spans="1:10">
      <c r="A902" s="3"/>
      <c r="B902" s="4"/>
      <c r="C902" s="4"/>
      <c r="E902" s="4"/>
      <c r="F902" s="5"/>
      <c r="G902" s="6"/>
      <c r="H902" s="6"/>
      <c r="I902" s="6"/>
      <c r="J902" s="6"/>
    </row>
    <row r="903" spans="1:10">
      <c r="A903" s="3"/>
      <c r="B903" s="4"/>
      <c r="C903" s="4"/>
      <c r="E903" s="4"/>
      <c r="F903" s="5"/>
      <c r="G903" s="6"/>
      <c r="H903" s="6"/>
      <c r="I903" s="6"/>
      <c r="J903" s="6"/>
    </row>
    <row r="904" spans="1:10">
      <c r="A904" s="3"/>
      <c r="B904" s="4"/>
      <c r="C904" s="4"/>
      <c r="E904" s="4"/>
      <c r="F904" s="5"/>
      <c r="G904" s="6"/>
      <c r="H904" s="6"/>
      <c r="I904" s="6"/>
      <c r="J904" s="6"/>
    </row>
    <row r="905" spans="1:10">
      <c r="A905" s="3"/>
      <c r="B905" s="4"/>
      <c r="C905" s="4"/>
      <c r="E905" s="4"/>
      <c r="F905" s="5"/>
      <c r="G905" s="6"/>
      <c r="H905" s="6"/>
      <c r="I905" s="6"/>
      <c r="J905" s="6"/>
    </row>
    <row r="906" spans="1:10">
      <c r="A906" s="3"/>
      <c r="B906" s="4"/>
      <c r="C906" s="4"/>
      <c r="E906" s="4"/>
      <c r="F906" s="5"/>
      <c r="G906" s="6"/>
      <c r="H906" s="6"/>
      <c r="I906" s="6"/>
      <c r="J906" s="6"/>
    </row>
    <row r="907" spans="1:10">
      <c r="A907" s="3"/>
      <c r="B907" s="4"/>
      <c r="C907" s="4"/>
      <c r="E907" s="4"/>
      <c r="F907" s="5"/>
      <c r="G907" s="6"/>
      <c r="H907" s="6"/>
      <c r="I907" s="6"/>
      <c r="J907" s="6"/>
    </row>
    <row r="908" spans="1:10">
      <c r="A908" s="3"/>
      <c r="B908" s="4"/>
      <c r="C908" s="4"/>
      <c r="E908" s="4"/>
      <c r="F908" s="5"/>
      <c r="G908" s="6"/>
      <c r="H908" s="6"/>
      <c r="I908" s="6"/>
      <c r="J908" s="6"/>
    </row>
    <row r="909" spans="1:10">
      <c r="A909" s="3"/>
      <c r="B909" s="4"/>
      <c r="C909" s="4"/>
      <c r="E909" s="4"/>
      <c r="F909" s="5"/>
      <c r="G909" s="6"/>
      <c r="H909" s="6"/>
      <c r="I909" s="6"/>
      <c r="J909" s="6"/>
    </row>
    <row r="910" spans="1:10">
      <c r="A910" s="3"/>
      <c r="B910" s="4"/>
      <c r="C910" s="4"/>
      <c r="E910" s="4"/>
      <c r="F910" s="5"/>
      <c r="G910" s="6"/>
      <c r="H910" s="6"/>
      <c r="I910" s="6"/>
      <c r="J910" s="6"/>
    </row>
    <row r="911" spans="1:10">
      <c r="A911" s="3"/>
      <c r="B911" s="4"/>
      <c r="C911" s="4"/>
      <c r="E911" s="4"/>
      <c r="F911" s="5"/>
      <c r="G911" s="6"/>
      <c r="H911" s="6"/>
      <c r="I911" s="6"/>
      <c r="J911" s="6"/>
    </row>
    <row r="912" spans="1:10">
      <c r="A912" s="3"/>
      <c r="B912" s="4"/>
      <c r="C912" s="4"/>
      <c r="E912" s="4"/>
      <c r="F912" s="5"/>
      <c r="G912" s="6"/>
      <c r="H912" s="6"/>
      <c r="I912" s="6"/>
      <c r="J912" s="6"/>
    </row>
    <row r="913" spans="1:10">
      <c r="A913" s="3"/>
      <c r="B913" s="4"/>
      <c r="C913" s="4"/>
      <c r="E913" s="4"/>
      <c r="F913" s="5"/>
      <c r="G913" s="6"/>
      <c r="H913" s="6"/>
      <c r="I913" s="6"/>
      <c r="J913" s="6"/>
    </row>
    <row r="914" spans="1:10">
      <c r="A914" s="3"/>
      <c r="B914" s="4"/>
      <c r="C914" s="4"/>
      <c r="E914" s="4"/>
      <c r="F914" s="5"/>
      <c r="G914" s="6"/>
      <c r="H914" s="6"/>
      <c r="I914" s="6"/>
      <c r="J914" s="6"/>
    </row>
    <row r="915" spans="1:10">
      <c r="A915" s="3"/>
      <c r="B915" s="4"/>
      <c r="C915" s="4"/>
      <c r="E915" s="4"/>
      <c r="F915" s="5"/>
      <c r="G915" s="6"/>
      <c r="H915" s="6"/>
      <c r="I915" s="6"/>
      <c r="J915" s="6"/>
    </row>
    <row r="916" spans="1:10">
      <c r="A916" s="3"/>
      <c r="B916" s="4"/>
      <c r="C916" s="4"/>
      <c r="E916" s="4"/>
      <c r="F916" s="5"/>
      <c r="G916" s="6"/>
      <c r="H916" s="6"/>
      <c r="I916" s="6"/>
      <c r="J916" s="6"/>
    </row>
    <row r="917" spans="1:10">
      <c r="A917" s="3"/>
      <c r="B917" s="4"/>
      <c r="C917" s="4"/>
      <c r="E917" s="4"/>
      <c r="F917" s="5"/>
      <c r="G917" s="6"/>
      <c r="H917" s="6"/>
      <c r="I917" s="6"/>
      <c r="J917" s="6"/>
    </row>
    <row r="918" spans="1:10">
      <c r="A918" s="3"/>
      <c r="B918" s="4"/>
      <c r="C918" s="4"/>
      <c r="E918" s="4"/>
      <c r="F918" s="5"/>
      <c r="G918" s="6"/>
      <c r="H918" s="6"/>
      <c r="I918" s="6"/>
      <c r="J918" s="6"/>
    </row>
    <row r="919" spans="1:10">
      <c r="A919" s="3"/>
      <c r="B919" s="4"/>
      <c r="C919" s="4"/>
      <c r="E919" s="4"/>
      <c r="F919" s="5"/>
      <c r="G919" s="6"/>
      <c r="H919" s="6"/>
      <c r="I919" s="6"/>
      <c r="J919" s="6"/>
    </row>
    <row r="920" spans="1:10">
      <c r="A920" s="3"/>
      <c r="B920" s="4"/>
      <c r="C920" s="4"/>
      <c r="E920" s="4"/>
      <c r="F920" s="5"/>
      <c r="G920" s="6"/>
      <c r="H920" s="6"/>
      <c r="I920" s="6"/>
      <c r="J920" s="6"/>
    </row>
    <row r="921" spans="1:10">
      <c r="A921" s="3"/>
      <c r="B921" s="4"/>
      <c r="C921" s="4"/>
      <c r="E921" s="4"/>
      <c r="F921" s="5"/>
      <c r="G921" s="6"/>
      <c r="H921" s="6"/>
      <c r="I921" s="6"/>
      <c r="J921" s="6"/>
    </row>
    <row r="922" spans="1:10">
      <c r="A922" s="3"/>
      <c r="B922" s="4"/>
      <c r="C922" s="4"/>
      <c r="E922" s="4"/>
      <c r="F922" s="5"/>
      <c r="G922" s="6"/>
      <c r="H922" s="6"/>
      <c r="I922" s="6"/>
      <c r="J922" s="6"/>
    </row>
    <row r="923" spans="1:10">
      <c r="A923" s="3"/>
      <c r="B923" s="4"/>
      <c r="C923" s="4"/>
      <c r="E923" s="4"/>
      <c r="F923" s="5"/>
      <c r="G923" s="6"/>
      <c r="H923" s="6"/>
      <c r="I923" s="6"/>
      <c r="J923" s="6"/>
    </row>
    <row r="924" spans="1:10">
      <c r="A924" s="3"/>
      <c r="B924" s="4"/>
      <c r="C924" s="4"/>
      <c r="E924" s="4"/>
      <c r="F924" s="5"/>
      <c r="G924" s="6"/>
      <c r="H924" s="6"/>
      <c r="I924" s="6"/>
      <c r="J924" s="6"/>
    </row>
    <row r="925" spans="1:10">
      <c r="A925" s="3"/>
      <c r="B925" s="4"/>
      <c r="C925" s="4"/>
      <c r="E925" s="4"/>
      <c r="F925" s="5"/>
      <c r="G925" s="6"/>
      <c r="H925" s="6"/>
      <c r="I925" s="6"/>
      <c r="J925" s="6"/>
    </row>
    <row r="926" spans="1:10">
      <c r="A926" s="3"/>
      <c r="B926" s="4"/>
      <c r="C926" s="4"/>
      <c r="E926" s="4"/>
      <c r="F926" s="5"/>
      <c r="G926" s="6"/>
      <c r="H926" s="6"/>
      <c r="I926" s="6"/>
      <c r="J926" s="6"/>
    </row>
    <row r="927" spans="1:10">
      <c r="A927" s="3"/>
      <c r="B927" s="4"/>
      <c r="C927" s="4"/>
      <c r="E927" s="4"/>
      <c r="F927" s="5"/>
      <c r="G927" s="6"/>
      <c r="H927" s="6"/>
      <c r="I927" s="6"/>
      <c r="J927" s="6"/>
    </row>
    <row r="928" spans="1:10">
      <c r="A928" s="3"/>
      <c r="B928" s="4"/>
      <c r="C928" s="4"/>
      <c r="E928" s="4"/>
      <c r="F928" s="5"/>
      <c r="G928" s="6"/>
      <c r="H928" s="6"/>
      <c r="I928" s="6"/>
      <c r="J928" s="6"/>
    </row>
    <row r="929" spans="1:10">
      <c r="A929" s="3"/>
      <c r="B929" s="4"/>
      <c r="C929" s="4"/>
      <c r="E929" s="4"/>
      <c r="F929" s="5"/>
      <c r="G929" s="6"/>
      <c r="H929" s="6"/>
      <c r="I929" s="6"/>
      <c r="J929" s="6"/>
    </row>
    <row r="930" spans="1:10">
      <c r="A930" s="3"/>
      <c r="B930" s="4"/>
      <c r="C930" s="4"/>
      <c r="E930" s="4"/>
      <c r="F930" s="5"/>
      <c r="G930" s="6"/>
      <c r="H930" s="6"/>
      <c r="I930" s="6"/>
      <c r="J930" s="6"/>
    </row>
    <row r="931" spans="1:10">
      <c r="A931" s="3"/>
      <c r="B931" s="4"/>
      <c r="C931" s="4"/>
      <c r="E931" s="4"/>
      <c r="F931" s="5"/>
      <c r="G931" s="6"/>
      <c r="H931" s="6"/>
      <c r="I931" s="6"/>
      <c r="J931" s="6"/>
    </row>
    <row r="932" spans="1:10">
      <c r="A932" s="3"/>
      <c r="B932" s="4"/>
      <c r="C932" s="4"/>
      <c r="E932" s="4"/>
      <c r="F932" s="5"/>
      <c r="G932" s="6"/>
      <c r="H932" s="6"/>
      <c r="I932" s="6"/>
      <c r="J932" s="6"/>
    </row>
    <row r="933" spans="1:10">
      <c r="A933" s="3"/>
      <c r="B933" s="4"/>
      <c r="C933" s="4"/>
      <c r="E933" s="4"/>
      <c r="F933" s="5"/>
      <c r="G933" s="6"/>
      <c r="H933" s="6"/>
      <c r="I933" s="6"/>
      <c r="J933" s="6"/>
    </row>
    <row r="934" spans="1:10">
      <c r="A934" s="3"/>
      <c r="B934" s="4"/>
      <c r="C934" s="4"/>
      <c r="E934" s="4"/>
      <c r="F934" s="5"/>
      <c r="G934" s="6"/>
      <c r="H934" s="6"/>
      <c r="I934" s="6"/>
      <c r="J934" s="6"/>
    </row>
    <row r="935" spans="1:10">
      <c r="A935" s="3"/>
      <c r="B935" s="4"/>
      <c r="C935" s="4"/>
      <c r="E935" s="4"/>
      <c r="F935" s="5"/>
      <c r="G935" s="6"/>
      <c r="H935" s="6"/>
      <c r="I935" s="6"/>
      <c r="J935" s="6"/>
    </row>
    <row r="936" spans="1:10">
      <c r="A936" s="3"/>
      <c r="B936" s="4"/>
      <c r="C936" s="4"/>
      <c r="E936" s="4"/>
      <c r="F936" s="5"/>
      <c r="G936" s="6"/>
      <c r="H936" s="6"/>
      <c r="I936" s="6"/>
      <c r="J936" s="6"/>
    </row>
    <row r="937" spans="1:10">
      <c r="A937" s="3"/>
      <c r="B937" s="4"/>
      <c r="C937" s="4"/>
      <c r="E937" s="4"/>
      <c r="F937" s="5"/>
      <c r="G937" s="6"/>
      <c r="H937" s="6"/>
      <c r="I937" s="6"/>
      <c r="J937" s="6"/>
    </row>
    <row r="938" spans="1:10">
      <c r="A938" s="3"/>
      <c r="B938" s="4"/>
      <c r="C938" s="4"/>
      <c r="E938" s="4"/>
      <c r="F938" s="5"/>
      <c r="G938" s="6"/>
      <c r="H938" s="6"/>
      <c r="I938" s="6"/>
      <c r="J938" s="6"/>
    </row>
    <row r="939" spans="1:10">
      <c r="A939" s="3"/>
      <c r="B939" s="4"/>
      <c r="C939" s="4"/>
      <c r="E939" s="4"/>
      <c r="F939" s="5"/>
      <c r="G939" s="6"/>
      <c r="H939" s="6"/>
      <c r="I939" s="6"/>
      <c r="J939" s="6"/>
    </row>
    <row r="940" spans="1:10">
      <c r="A940" s="3"/>
      <c r="B940" s="4"/>
      <c r="C940" s="4"/>
      <c r="E940" s="4"/>
      <c r="F940" s="5"/>
      <c r="G940" s="6"/>
      <c r="H940" s="6"/>
      <c r="I940" s="6"/>
      <c r="J940" s="6"/>
    </row>
    <row r="941" spans="1:10">
      <c r="A941" s="3"/>
      <c r="B941" s="4"/>
      <c r="C941" s="4"/>
      <c r="E941" s="4"/>
      <c r="F941" s="5"/>
      <c r="G941" s="6"/>
      <c r="H941" s="6"/>
      <c r="I941" s="6"/>
      <c r="J941" s="6"/>
    </row>
    <row r="942" spans="1:10">
      <c r="A942" s="3"/>
      <c r="B942" s="4"/>
      <c r="C942" s="4"/>
      <c r="E942" s="4"/>
      <c r="F942" s="5"/>
      <c r="G942" s="6"/>
      <c r="H942" s="6"/>
      <c r="I942" s="6"/>
      <c r="J942" s="6"/>
    </row>
    <row r="943" spans="1:10">
      <c r="A943" s="3"/>
      <c r="B943" s="4"/>
      <c r="C943" s="4"/>
      <c r="E943" s="4"/>
      <c r="F943" s="5"/>
      <c r="G943" s="6"/>
      <c r="H943" s="6"/>
      <c r="I943" s="6"/>
      <c r="J943" s="6"/>
    </row>
    <row r="944" spans="1:10">
      <c r="A944" s="3"/>
      <c r="B944" s="4"/>
      <c r="C944" s="4"/>
      <c r="E944" s="4"/>
      <c r="F944" s="5"/>
      <c r="G944" s="6"/>
      <c r="H944" s="6"/>
      <c r="I944" s="6"/>
      <c r="J944" s="6"/>
    </row>
    <row r="945" spans="1:10">
      <c r="A945" s="3"/>
      <c r="B945" s="4"/>
      <c r="C945" s="4"/>
      <c r="E945" s="4"/>
      <c r="F945" s="5"/>
      <c r="G945" s="6"/>
      <c r="H945" s="6"/>
      <c r="I945" s="6"/>
      <c r="J945" s="6"/>
    </row>
    <row r="946" spans="1:10">
      <c r="A946" s="3"/>
      <c r="B946" s="4"/>
      <c r="C946" s="4"/>
      <c r="E946" s="4"/>
      <c r="F946" s="5"/>
      <c r="G946" s="6"/>
      <c r="H946" s="6"/>
      <c r="I946" s="6"/>
      <c r="J946" s="6"/>
    </row>
    <row r="947" spans="1:10">
      <c r="A947" s="3"/>
      <c r="B947" s="4"/>
      <c r="C947" s="4"/>
      <c r="E947" s="4"/>
      <c r="F947" s="5"/>
      <c r="G947" s="6"/>
      <c r="H947" s="6"/>
      <c r="I947" s="6"/>
      <c r="J947" s="6"/>
    </row>
    <row r="948" spans="1:10">
      <c r="A948" s="3"/>
      <c r="B948" s="4"/>
      <c r="C948" s="4"/>
      <c r="E948" s="4"/>
      <c r="F948" s="5"/>
      <c r="G948" s="6"/>
      <c r="H948" s="6"/>
      <c r="I948" s="6"/>
      <c r="J948" s="6"/>
    </row>
    <row r="949" spans="1:10">
      <c r="A949" s="3"/>
      <c r="B949" s="4"/>
      <c r="C949" s="4"/>
      <c r="E949" s="4"/>
      <c r="F949" s="5"/>
      <c r="G949" s="6"/>
      <c r="H949" s="6"/>
      <c r="I949" s="6"/>
      <c r="J949" s="6"/>
    </row>
    <row r="950" spans="1:10">
      <c r="A950" s="3"/>
      <c r="B950" s="4"/>
      <c r="C950" s="4"/>
      <c r="E950" s="4"/>
      <c r="F950" s="5"/>
      <c r="G950" s="6"/>
      <c r="H950" s="6"/>
      <c r="I950" s="6"/>
      <c r="J950" s="6"/>
    </row>
    <row r="951" spans="1:10">
      <c r="A951" s="3"/>
      <c r="B951" s="4"/>
      <c r="C951" s="4"/>
      <c r="E951" s="4"/>
      <c r="F951" s="5"/>
      <c r="G951" s="6"/>
      <c r="H951" s="6"/>
      <c r="I951" s="6"/>
      <c r="J951" s="6"/>
    </row>
    <row r="952" spans="1:10">
      <c r="A952" s="3"/>
      <c r="B952" s="4"/>
      <c r="C952" s="4"/>
      <c r="E952" s="4"/>
      <c r="F952" s="5"/>
      <c r="G952" s="6"/>
      <c r="H952" s="6"/>
      <c r="I952" s="6"/>
      <c r="J952" s="6"/>
    </row>
    <row r="953" spans="1:10">
      <c r="A953" s="3"/>
      <c r="B953" s="4"/>
      <c r="C953" s="4"/>
      <c r="E953" s="4"/>
      <c r="F953" s="5"/>
      <c r="G953" s="6"/>
      <c r="H953" s="6"/>
      <c r="I953" s="6"/>
      <c r="J953" s="6"/>
    </row>
    <row r="954" spans="1:10">
      <c r="A954" s="3"/>
      <c r="B954" s="4"/>
      <c r="C954" s="4"/>
      <c r="E954" s="4"/>
      <c r="F954" s="5"/>
      <c r="G954" s="6"/>
      <c r="H954" s="6"/>
      <c r="I954" s="6"/>
      <c r="J954" s="6"/>
    </row>
    <row r="955" spans="1:10">
      <c r="A955" s="3"/>
      <c r="B955" s="4"/>
      <c r="C955" s="4"/>
      <c r="E955" s="4"/>
      <c r="F955" s="5"/>
      <c r="G955" s="6"/>
      <c r="H955" s="6"/>
      <c r="I955" s="6"/>
      <c r="J955" s="6"/>
    </row>
    <row r="956" spans="1:10">
      <c r="A956" s="3"/>
      <c r="B956" s="4"/>
      <c r="C956" s="4"/>
      <c r="E956" s="4"/>
      <c r="F956" s="5"/>
      <c r="G956" s="6"/>
      <c r="H956" s="6"/>
      <c r="I956" s="6"/>
      <c r="J956" s="6"/>
    </row>
    <row r="957" spans="1:10">
      <c r="A957" s="3"/>
      <c r="B957" s="4"/>
      <c r="C957" s="4"/>
      <c r="E957" s="4"/>
      <c r="F957" s="5"/>
      <c r="G957" s="6"/>
      <c r="H957" s="6"/>
      <c r="I957" s="6"/>
      <c r="J957" s="6"/>
    </row>
    <row r="958" spans="1:10">
      <c r="A958" s="3"/>
      <c r="B958" s="4"/>
      <c r="C958" s="4"/>
      <c r="E958" s="4"/>
      <c r="F958" s="5"/>
      <c r="G958" s="6"/>
      <c r="H958" s="6"/>
      <c r="I958" s="6"/>
      <c r="J958" s="6"/>
    </row>
    <row r="959" spans="1:10">
      <c r="A959" s="3"/>
      <c r="B959" s="4"/>
      <c r="C959" s="4"/>
      <c r="E959" s="4"/>
      <c r="F959" s="5"/>
      <c r="G959" s="6"/>
      <c r="H959" s="6"/>
      <c r="I959" s="6"/>
      <c r="J959" s="6"/>
    </row>
    <row r="960" spans="1:10">
      <c r="A960" s="3"/>
      <c r="B960" s="4"/>
      <c r="C960" s="4"/>
      <c r="E960" s="4"/>
      <c r="F960" s="5"/>
      <c r="G960" s="6"/>
      <c r="H960" s="6"/>
      <c r="I960" s="6"/>
      <c r="J960" s="6"/>
    </row>
    <row r="961" spans="1:10">
      <c r="A961" s="3"/>
      <c r="B961" s="4"/>
      <c r="C961" s="4"/>
      <c r="E961" s="4"/>
      <c r="F961" s="5"/>
      <c r="G961" s="6"/>
      <c r="H961" s="6"/>
      <c r="I961" s="6"/>
      <c r="J961" s="6"/>
    </row>
    <row r="962" spans="1:10">
      <c r="A962" s="3"/>
      <c r="B962" s="4"/>
      <c r="C962" s="4"/>
      <c r="E962" s="4"/>
      <c r="F962" s="5"/>
      <c r="G962" s="6"/>
      <c r="H962" s="6"/>
      <c r="I962" s="6"/>
      <c r="J962" s="6"/>
    </row>
    <row r="963" spans="1:10">
      <c r="A963" s="3"/>
      <c r="B963" s="4"/>
      <c r="C963" s="4"/>
      <c r="E963" s="4"/>
      <c r="F963" s="5"/>
      <c r="G963" s="6"/>
      <c r="H963" s="6"/>
      <c r="I963" s="6"/>
      <c r="J963" s="6"/>
    </row>
    <row r="964" spans="1:10">
      <c r="A964" s="3"/>
      <c r="B964" s="4"/>
      <c r="C964" s="4"/>
      <c r="E964" s="4"/>
      <c r="F964" s="5"/>
      <c r="G964" s="6"/>
      <c r="H964" s="6"/>
      <c r="I964" s="6"/>
      <c r="J964" s="6"/>
    </row>
    <row r="965" spans="1:10">
      <c r="A965" s="3"/>
      <c r="B965" s="4"/>
      <c r="C965" s="4"/>
      <c r="E965" s="4"/>
      <c r="F965" s="5"/>
      <c r="G965" s="6"/>
      <c r="H965" s="6"/>
      <c r="I965" s="6"/>
      <c r="J965" s="6"/>
    </row>
    <row r="966" spans="1:10">
      <c r="A966" s="3"/>
      <c r="B966" s="4"/>
      <c r="C966" s="4"/>
      <c r="E966" s="4"/>
      <c r="F966" s="5"/>
      <c r="G966" s="6"/>
      <c r="H966" s="6"/>
      <c r="I966" s="6"/>
      <c r="J966" s="6"/>
    </row>
    <row r="967" spans="1:10">
      <c r="A967" s="3"/>
      <c r="B967" s="4"/>
      <c r="C967" s="4"/>
      <c r="E967" s="4"/>
      <c r="F967" s="5"/>
      <c r="G967" s="6"/>
      <c r="H967" s="6"/>
      <c r="I967" s="6"/>
      <c r="J967" s="6"/>
    </row>
    <row r="968" spans="1:10">
      <c r="A968" s="3"/>
      <c r="B968" s="4"/>
      <c r="C968" s="4"/>
      <c r="E968" s="4"/>
      <c r="F968" s="5"/>
      <c r="G968" s="6"/>
      <c r="H968" s="6"/>
      <c r="I968" s="6"/>
      <c r="J968" s="6"/>
    </row>
    <row r="969" spans="1:10">
      <c r="A969" s="3"/>
      <c r="B969" s="4"/>
      <c r="C969" s="4"/>
      <c r="E969" s="4"/>
      <c r="F969" s="5"/>
      <c r="G969" s="6"/>
      <c r="H969" s="6"/>
      <c r="I969" s="6"/>
      <c r="J969" s="6"/>
    </row>
    <row r="970" spans="1:10">
      <c r="A970" s="3"/>
      <c r="B970" s="4"/>
      <c r="C970" s="4"/>
      <c r="E970" s="4"/>
      <c r="F970" s="5"/>
      <c r="G970" s="6"/>
      <c r="H970" s="6"/>
      <c r="I970" s="6"/>
      <c r="J970" s="6"/>
    </row>
    <row r="971" spans="1:10">
      <c r="A971" s="3"/>
      <c r="B971" s="4"/>
      <c r="C971" s="4"/>
      <c r="E971" s="4"/>
      <c r="F971" s="5"/>
      <c r="G971" s="6"/>
      <c r="H971" s="6"/>
      <c r="I971" s="6"/>
      <c r="J971" s="6"/>
    </row>
    <row r="972" spans="1:10">
      <c r="A972" s="3"/>
      <c r="B972" s="4"/>
      <c r="C972" s="4"/>
      <c r="E972" s="4"/>
      <c r="F972" s="5"/>
      <c r="G972" s="6"/>
      <c r="H972" s="6"/>
      <c r="I972" s="6"/>
      <c r="J972" s="6"/>
    </row>
    <row r="973" spans="1:10">
      <c r="A973" s="3"/>
      <c r="B973" s="4"/>
      <c r="C973" s="4"/>
      <c r="E973" s="4"/>
      <c r="F973" s="5"/>
      <c r="G973" s="6"/>
      <c r="H973" s="6"/>
      <c r="I973" s="6"/>
      <c r="J973" s="6"/>
    </row>
    <row r="974" spans="1:10">
      <c r="A974" s="3"/>
      <c r="B974" s="4"/>
      <c r="C974" s="4"/>
      <c r="E974" s="4"/>
      <c r="F974" s="5"/>
      <c r="G974" s="6"/>
      <c r="H974" s="6"/>
      <c r="I974" s="6"/>
      <c r="J974" s="6"/>
    </row>
    <row r="975" spans="1:10">
      <c r="A975" s="3"/>
      <c r="B975" s="4"/>
      <c r="C975" s="4"/>
      <c r="E975" s="4"/>
      <c r="F975" s="5"/>
      <c r="G975" s="6"/>
      <c r="H975" s="6"/>
      <c r="I975" s="6"/>
      <c r="J975" s="6"/>
    </row>
    <row r="976" spans="1:10">
      <c r="A976" s="3"/>
      <c r="B976" s="4"/>
      <c r="C976" s="4"/>
      <c r="E976" s="4"/>
      <c r="F976" s="5"/>
      <c r="G976" s="6"/>
      <c r="H976" s="6"/>
      <c r="I976" s="6"/>
      <c r="J976" s="6"/>
    </row>
    <row r="977" spans="1:10">
      <c r="A977" s="3"/>
      <c r="B977" s="4"/>
      <c r="C977" s="4"/>
      <c r="E977" s="4"/>
      <c r="F977" s="5"/>
      <c r="G977" s="6"/>
      <c r="H977" s="6"/>
      <c r="I977" s="6"/>
      <c r="J977" s="6"/>
    </row>
    <row r="978" spans="1:10">
      <c r="A978" s="3"/>
      <c r="B978" s="4"/>
      <c r="C978" s="4"/>
      <c r="E978" s="4"/>
      <c r="F978" s="5"/>
      <c r="G978" s="6"/>
      <c r="H978" s="6"/>
      <c r="I978" s="6"/>
      <c r="J978" s="6"/>
    </row>
    <row r="979" spans="1:10">
      <c r="A979" s="3"/>
      <c r="B979" s="4"/>
      <c r="C979" s="4"/>
      <c r="E979" s="4"/>
      <c r="F979" s="5"/>
      <c r="G979" s="6"/>
      <c r="H979" s="6"/>
      <c r="I979" s="6"/>
      <c r="J979" s="6"/>
    </row>
    <row r="980" spans="1:10">
      <c r="A980" s="3"/>
      <c r="B980" s="4"/>
      <c r="C980" s="4"/>
      <c r="E980" s="4"/>
      <c r="F980" s="5"/>
      <c r="G980" s="6"/>
      <c r="H980" s="6"/>
      <c r="I980" s="6"/>
      <c r="J980" s="6"/>
    </row>
    <row r="981" spans="1:10">
      <c r="A981" s="3"/>
      <c r="B981" s="4"/>
      <c r="C981" s="4"/>
      <c r="E981" s="4"/>
      <c r="F981" s="5"/>
      <c r="G981" s="6"/>
      <c r="H981" s="6"/>
      <c r="I981" s="6"/>
      <c r="J981" s="6"/>
    </row>
    <row r="982" spans="1:10">
      <c r="A982" s="3"/>
      <c r="B982" s="4"/>
      <c r="C982" s="4"/>
      <c r="E982" s="4"/>
      <c r="F982" s="5"/>
      <c r="G982" s="6"/>
      <c r="H982" s="6"/>
      <c r="I982" s="6"/>
      <c r="J982" s="6"/>
    </row>
    <row r="983" spans="1:10">
      <c r="A983" s="3"/>
      <c r="B983" s="4"/>
      <c r="C983" s="4"/>
      <c r="E983" s="4"/>
      <c r="F983" s="5"/>
      <c r="G983" s="6"/>
      <c r="H983" s="6"/>
      <c r="I983" s="6"/>
      <c r="J983" s="6"/>
    </row>
    <row r="984" spans="1:10">
      <c r="A984" s="3"/>
      <c r="B984" s="4"/>
      <c r="C984" s="4"/>
      <c r="E984" s="4"/>
      <c r="F984" s="5"/>
      <c r="G984" s="6"/>
      <c r="H984" s="6"/>
      <c r="I984" s="6"/>
      <c r="J984" s="6"/>
    </row>
    <row r="985" spans="1:10">
      <c r="A985" s="3"/>
      <c r="B985" s="4"/>
      <c r="C985" s="4"/>
      <c r="E985" s="4"/>
      <c r="F985" s="5"/>
      <c r="G985" s="6"/>
      <c r="H985" s="6"/>
      <c r="I985" s="6"/>
      <c r="J985" s="6"/>
    </row>
    <row r="986" spans="1:10">
      <c r="A986" s="3"/>
      <c r="B986" s="4"/>
      <c r="C986" s="4"/>
      <c r="E986" s="4"/>
      <c r="F986" s="5"/>
      <c r="G986" s="6"/>
      <c r="H986" s="6"/>
      <c r="I986" s="6"/>
      <c r="J986" s="6"/>
    </row>
    <row r="987" spans="1:10">
      <c r="A987" s="3"/>
      <c r="B987" s="4"/>
      <c r="C987" s="4"/>
      <c r="E987" s="4"/>
      <c r="F987" s="5"/>
      <c r="G987" s="6"/>
      <c r="H987" s="6"/>
      <c r="I987" s="6"/>
      <c r="J987" s="6"/>
    </row>
    <row r="988" spans="1:10">
      <c r="A988" s="3"/>
      <c r="B988" s="4"/>
      <c r="C988" s="4"/>
      <c r="E988" s="4"/>
      <c r="F988" s="5"/>
      <c r="G988" s="6"/>
      <c r="H988" s="6"/>
      <c r="I988" s="6"/>
      <c r="J988" s="6"/>
    </row>
    <row r="989" spans="1:10">
      <c r="A989" s="3"/>
      <c r="B989" s="4"/>
      <c r="C989" s="4"/>
      <c r="E989" s="4"/>
      <c r="F989" s="5"/>
      <c r="G989" s="6"/>
      <c r="H989" s="6"/>
      <c r="I989" s="6"/>
      <c r="J989" s="6"/>
    </row>
    <row r="990" spans="1:10">
      <c r="A990" s="3"/>
      <c r="B990" s="4"/>
      <c r="C990" s="4"/>
      <c r="E990" s="4"/>
      <c r="F990" s="5"/>
      <c r="G990" s="6"/>
      <c r="H990" s="6"/>
      <c r="I990" s="6"/>
      <c r="J990" s="6"/>
    </row>
    <row r="991" spans="1:10">
      <c r="A991" s="3"/>
      <c r="B991" s="4"/>
      <c r="C991" s="4"/>
      <c r="E991" s="4"/>
      <c r="F991" s="5"/>
      <c r="G991" s="6"/>
      <c r="H991" s="6"/>
      <c r="I991" s="6"/>
      <c r="J991" s="6"/>
    </row>
    <row r="992" spans="1:10">
      <c r="A992" s="3"/>
      <c r="B992" s="4"/>
      <c r="C992" s="4"/>
      <c r="E992" s="4"/>
      <c r="F992" s="5"/>
      <c r="G992" s="6"/>
      <c r="H992" s="6"/>
      <c r="I992" s="6"/>
      <c r="J992" s="6"/>
    </row>
    <row r="993" spans="1:10">
      <c r="A993" s="3"/>
      <c r="B993" s="4"/>
      <c r="C993" s="4"/>
      <c r="E993" s="4"/>
      <c r="F993" s="5"/>
      <c r="G993" s="6"/>
      <c r="H993" s="6"/>
      <c r="I993" s="6"/>
      <c r="J993" s="6"/>
    </row>
    <row r="994" spans="1:10">
      <c r="A994" s="3"/>
      <c r="B994" s="4"/>
      <c r="C994" s="4"/>
      <c r="E994" s="4"/>
      <c r="F994" s="5"/>
      <c r="G994" s="6"/>
      <c r="H994" s="6"/>
      <c r="I994" s="6"/>
      <c r="J994" s="6"/>
    </row>
    <row r="995" spans="1:10">
      <c r="A995" s="3"/>
      <c r="B995" s="4"/>
      <c r="C995" s="4"/>
      <c r="E995" s="4"/>
      <c r="F995" s="5"/>
      <c r="G995" s="6"/>
      <c r="H995" s="6"/>
      <c r="I995" s="6"/>
      <c r="J995" s="6"/>
    </row>
    <row r="996" spans="1:10">
      <c r="A996" s="3"/>
      <c r="B996" s="4"/>
      <c r="C996" s="4"/>
      <c r="E996" s="4"/>
      <c r="F996" s="5"/>
      <c r="G996" s="6"/>
      <c r="H996" s="6"/>
      <c r="I996" s="6"/>
      <c r="J996" s="6"/>
    </row>
    <row r="997" spans="1:10">
      <c r="A997" s="3"/>
      <c r="B997" s="4"/>
      <c r="C997" s="4"/>
      <c r="E997" s="4"/>
      <c r="F997" s="5"/>
      <c r="G997" s="6"/>
      <c r="H997" s="6"/>
      <c r="I997" s="6"/>
      <c r="J997" s="6"/>
    </row>
    <row r="998" spans="1:10">
      <c r="A998" s="3"/>
      <c r="B998" s="4"/>
      <c r="C998" s="4"/>
      <c r="E998" s="4"/>
      <c r="F998" s="5"/>
      <c r="G998" s="6"/>
      <c r="H998" s="6"/>
      <c r="I998" s="6"/>
      <c r="J998" s="6"/>
    </row>
    <row r="999" spans="1:10">
      <c r="A999" s="3"/>
      <c r="B999" s="4"/>
      <c r="C999" s="4"/>
      <c r="E999" s="4"/>
      <c r="F999" s="5"/>
      <c r="G999" s="6"/>
      <c r="H999" s="6"/>
      <c r="I999" s="6"/>
      <c r="J999" s="6"/>
    </row>
    <row r="1000" spans="1:10">
      <c r="A1000" s="3"/>
      <c r="B1000" s="4"/>
      <c r="C1000" s="4"/>
      <c r="E1000" s="4"/>
      <c r="F1000" s="5"/>
      <c r="G1000" s="6"/>
      <c r="H1000" s="6"/>
      <c r="I1000" s="6"/>
      <c r="J1000" s="6"/>
    </row>
    <row r="1001" spans="1:10">
      <c r="A1001" s="3"/>
      <c r="B1001" s="4"/>
      <c r="C1001" s="4"/>
      <c r="E1001" s="4"/>
      <c r="F1001" s="5"/>
      <c r="G1001" s="6"/>
      <c r="H1001" s="6"/>
      <c r="I1001" s="6"/>
      <c r="J1001" s="6"/>
    </row>
    <row r="1002" spans="1:10">
      <c r="A1002" s="3"/>
      <c r="B1002" s="4"/>
      <c r="C1002" s="4"/>
      <c r="E1002" s="4"/>
      <c r="F1002" s="5"/>
      <c r="G1002" s="6"/>
      <c r="H1002" s="6"/>
      <c r="I1002" s="6"/>
      <c r="J1002" s="6"/>
    </row>
    <row r="1003" spans="1:10">
      <c r="A1003" s="3"/>
      <c r="B1003" s="4"/>
      <c r="C1003" s="4"/>
      <c r="E1003" s="4"/>
      <c r="F1003" s="5"/>
      <c r="G1003" s="6"/>
      <c r="H1003" s="6"/>
      <c r="I1003" s="6"/>
      <c r="J1003" s="6"/>
    </row>
  </sheetData>
  <autoFilter ref="A1:K35" xr:uid="{C85F357F-E13D-7A4E-AE1D-4434F1D70A5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2">
    <mergeCell ref="A1:K1"/>
    <mergeCell ref="G2:K2"/>
  </mergeCells>
  <phoneticPr fontId="5" type="noConversion"/>
  <hyperlinks>
    <hyperlink ref="G34" r:id="rId1" xr:uid="{45168493-1B0D-4E96-9A1A-2F39CF61964A}"/>
    <hyperlink ref="G5" r:id="rId2" xr:uid="{9D199B64-D527-484B-818B-01C6222CA58C}"/>
    <hyperlink ref="H5" r:id="rId3" xr:uid="{3237B876-976E-4A49-A716-26B6F4F0692A}"/>
    <hyperlink ref="G7" r:id="rId4" xr:uid="{D80FC0AB-8B46-491B-AC6B-AB90D230058D}"/>
    <hyperlink ref="G11" r:id="rId5" xr:uid="{1E1F523C-F7B3-4A3B-B263-1CDF9B43E4AE}"/>
    <hyperlink ref="G10" r:id="rId6" xr:uid="{72BEBEF2-A4C5-4552-B73A-595DB4B1F961}"/>
    <hyperlink ref="G15" r:id="rId7" xr:uid="{9D444F3A-74E0-4BA4-9A31-8A059C78C47B}"/>
    <hyperlink ref="G14" r:id="rId8" xr:uid="{73D61A36-7C7D-4399-9CEB-2FD807E94C43}"/>
    <hyperlink ref="H14" r:id="rId9" xr:uid="{B6100DC5-B0F0-4A8A-8435-AA42A4E694F2}"/>
    <hyperlink ref="G13" r:id="rId10" xr:uid="{03792219-747A-40AF-B756-E4F250DD55B2}"/>
    <hyperlink ref="H13" r:id="rId11" xr:uid="{27D4ACB8-63AE-4CE4-83A2-1D8FCDAC7228}"/>
    <hyperlink ref="G19" r:id="rId12" xr:uid="{97244DDD-86A5-4322-96DD-179B1462F7E5}"/>
    <hyperlink ref="G21" r:id="rId13" xr:uid="{F1F3F26A-EFA9-449F-97DC-BB878BB9ACD0}"/>
    <hyperlink ref="G22" r:id="rId14" display="0720" xr:uid="{6ABFEF6F-D8FB-427F-8A8D-BF536AFC7A67}"/>
    <hyperlink ref="G17" r:id="rId15" xr:uid="{A05B4B75-D858-2E44-B4C5-23264BB24A7C}"/>
    <hyperlink ref="H17" r:id="rId16" xr:uid="{24EFC847-84BD-C744-B254-5F5C373D4E30}"/>
    <hyperlink ref="G20" r:id="rId17" xr:uid="{4478B1EE-FD4F-B24F-A065-9C1B2DBB97C6}"/>
    <hyperlink ref="G24" r:id="rId18" xr:uid="{A5705D3B-F014-E14E-B37A-637B4FFA1EF5}"/>
    <hyperlink ref="H24" r:id="rId19" xr:uid="{92D29524-7C9D-3049-BABB-B3C38A83E58D}"/>
    <hyperlink ref="I24" r:id="rId20" xr:uid="{FB8081C9-4F52-3146-84E4-51B7B2698ABE}"/>
    <hyperlink ref="H34" r:id="rId21" display="0716" xr:uid="{25AA5D5B-1F36-4341-8517-F0786ADDBB38}"/>
    <hyperlink ref="G26" r:id="rId22" xr:uid="{30736C5A-4A26-164E-B3C0-1D350BDDB1B5}"/>
    <hyperlink ref="G32" r:id="rId23" xr:uid="{2C481AD8-F443-AC42-9560-1FE94C1E1631}"/>
    <hyperlink ref="H32" r:id="rId24" xr:uid="{6A60E149-9AE5-3940-8525-F9650AAE01EB}"/>
    <hyperlink ref="G31" r:id="rId25" xr:uid="{63BC6A2E-E7EB-EC4E-AA49-6A7A9E8D5444}"/>
    <hyperlink ref="H31" r:id="rId26" xr:uid="{BC802D5F-C70A-8E4D-A8CC-C97FBC780726}"/>
    <hyperlink ref="G30" r:id="rId27" xr:uid="{F77E1B1B-9716-514A-A577-5A3D256BBF36}"/>
    <hyperlink ref="H30" r:id="rId28" xr:uid="{756DE36C-5910-A449-90DA-060147670C0C}"/>
  </hyperlinks>
  <pageMargins left="0" right="0" top="0" bottom="0" header="0" footer="0"/>
  <pageSetup paperSize="9" scale="74" orientation="portrait" r:id="rId2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753F-90FC-4BA9-AC12-88CBA50B8C96}">
  <sheetPr>
    <outlinePr summaryBelow="0" summaryRight="0"/>
  </sheetPr>
  <dimension ref="A1:Z1002"/>
  <sheetViews>
    <sheetView zoomScaleNormal="100" zoomScaleSheetLayoutView="83" workbookViewId="0">
      <pane ySplit="2" topLeftCell="A3" activePane="bottomLeft" state="frozen"/>
      <selection activeCell="B1" sqref="B1"/>
      <selection pane="bottomLeft" activeCell="K4" sqref="K4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1.6640625" style="13" customWidth="1"/>
    <col min="7" max="7" width="10.33203125" style="13" bestFit="1" customWidth="1"/>
    <col min="8" max="8" width="12.109375" style="13" customWidth="1"/>
    <col min="9" max="9" width="8.33203125" style="13" customWidth="1"/>
    <col min="10" max="10" width="12.33203125" style="13" customWidth="1"/>
    <col min="11" max="12" width="11.33203125" style="13" bestFit="1" customWidth="1"/>
    <col min="13" max="13" width="15.109375" style="13" customWidth="1"/>
    <col min="14" max="16384" width="12.33203125" style="13"/>
  </cols>
  <sheetData>
    <row r="1" spans="1:26" ht="28.2" customHeight="1">
      <c r="A1" s="98" t="s">
        <v>0</v>
      </c>
      <c r="B1" s="99"/>
      <c r="C1" s="99"/>
      <c r="D1" s="99"/>
      <c r="E1" s="99"/>
      <c r="F1" s="99"/>
      <c r="G1" s="99"/>
      <c r="H1" s="100"/>
      <c r="J1" s="101"/>
      <c r="K1" s="102"/>
      <c r="L1" s="102"/>
      <c r="M1" s="102"/>
      <c r="N1" s="102"/>
    </row>
    <row r="2" spans="1:26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9" t="s">
        <v>8</v>
      </c>
      <c r="I2" s="30"/>
      <c r="J2" s="31"/>
      <c r="K2" s="67" t="s">
        <v>9</v>
      </c>
      <c r="L2" s="32" t="s">
        <v>10</v>
      </c>
      <c r="M2" s="32" t="s">
        <v>11</v>
      </c>
      <c r="N2" s="33" t="s">
        <v>12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4">
        <v>45444</v>
      </c>
      <c r="B3" s="60">
        <v>7595</v>
      </c>
      <c r="C3" s="60">
        <v>7222</v>
      </c>
      <c r="D3" s="60">
        <v>315</v>
      </c>
      <c r="E3" s="60">
        <v>50</v>
      </c>
      <c r="F3" s="60">
        <v>65</v>
      </c>
      <c r="G3" s="35">
        <f>'2406費用明細憑證'!E3</f>
        <v>0</v>
      </c>
      <c r="H3" s="36">
        <f>(B3-D3-E3-F3-G3-C3)</f>
        <v>-57</v>
      </c>
      <c r="I3" s="37"/>
      <c r="J3" s="38" t="s">
        <v>13</v>
      </c>
      <c r="K3" s="39">
        <f>C4+C5+C6+C8+C9+C11+C13+C15+C16+C19+C22+C23+C25+C26+C27+C29+C31+C32</f>
        <v>88731</v>
      </c>
      <c r="L3" s="40">
        <f>9153+30000+5000</f>
        <v>44153</v>
      </c>
      <c r="M3" s="39">
        <f>K3-L3</f>
        <v>44578</v>
      </c>
      <c r="N3" s="41">
        <f>M3-G34</f>
        <v>19432.333333333332</v>
      </c>
    </row>
    <row r="4" spans="1:26">
      <c r="A4" s="68">
        <v>45445</v>
      </c>
      <c r="B4" s="47">
        <v>5955</v>
      </c>
      <c r="C4" s="47">
        <v>5400</v>
      </c>
      <c r="D4" s="47">
        <v>520</v>
      </c>
      <c r="E4" s="47">
        <v>0</v>
      </c>
      <c r="F4" s="47">
        <v>0</v>
      </c>
      <c r="G4" s="69">
        <f>'2406費用明細憑證'!E4</f>
        <v>0</v>
      </c>
      <c r="H4" s="36">
        <f>(B4-D4-E4-F4-G4-C4)</f>
        <v>35</v>
      </c>
      <c r="I4" s="37"/>
      <c r="J4" s="38" t="s">
        <v>14</v>
      </c>
      <c r="K4" s="39">
        <f>C3+C7+C10+C12+C14+C17+C18+C21+C24+C28+C30</f>
        <v>70803</v>
      </c>
      <c r="L4" s="40">
        <f>2774+427+30000+13790+999+10680+3570</f>
        <v>62240</v>
      </c>
      <c r="M4" s="39">
        <f>K4-L4</f>
        <v>8563</v>
      </c>
      <c r="N4" s="41">
        <f>M4+M6-G34</f>
        <v>713.33333333333212</v>
      </c>
    </row>
    <row r="5" spans="1:26">
      <c r="A5" s="34">
        <v>45446</v>
      </c>
      <c r="B5" s="70">
        <v>6115</v>
      </c>
      <c r="C5" s="70">
        <v>4400</v>
      </c>
      <c r="D5" s="70">
        <v>685</v>
      </c>
      <c r="E5" s="70">
        <v>125</v>
      </c>
      <c r="F5" s="70">
        <v>0</v>
      </c>
      <c r="G5" s="35">
        <f>'2406費用明細憑證'!E5</f>
        <v>957</v>
      </c>
      <c r="H5" s="36">
        <f t="shared" ref="H5:H32" si="0">(B5-D5-E5-F5-G5-C5)</f>
        <v>-52</v>
      </c>
      <c r="I5" s="37"/>
      <c r="J5" s="38" t="s">
        <v>15</v>
      </c>
      <c r="K5" s="39">
        <v>5000</v>
      </c>
      <c r="L5" s="39"/>
      <c r="M5" s="39">
        <f>K5-L5</f>
        <v>5000</v>
      </c>
      <c r="N5" s="42">
        <f>M5-G35</f>
        <v>5000</v>
      </c>
    </row>
    <row r="6" spans="1:26">
      <c r="A6" s="34">
        <v>45447</v>
      </c>
      <c r="B6" s="35">
        <v>5710</v>
      </c>
      <c r="C6" s="35">
        <v>5100</v>
      </c>
      <c r="D6" s="35">
        <v>620</v>
      </c>
      <c r="E6" s="35">
        <v>185</v>
      </c>
      <c r="F6" s="35">
        <v>0</v>
      </c>
      <c r="G6" s="35">
        <f>'2406費用明細憑證'!E6</f>
        <v>0</v>
      </c>
      <c r="H6" s="36">
        <f t="shared" si="0"/>
        <v>-195</v>
      </c>
      <c r="I6" s="37"/>
      <c r="J6" s="43" t="s">
        <v>16</v>
      </c>
      <c r="K6" s="44">
        <v>17296</v>
      </c>
      <c r="L6" s="44"/>
      <c r="M6" s="44">
        <f>K6-L6</f>
        <v>17296</v>
      </c>
      <c r="N6" s="45"/>
    </row>
    <row r="7" spans="1:26">
      <c r="A7" s="34">
        <v>45448</v>
      </c>
      <c r="B7" s="35">
        <v>5680</v>
      </c>
      <c r="C7" s="35">
        <v>5091</v>
      </c>
      <c r="D7" s="35">
        <v>365</v>
      </c>
      <c r="E7" s="35">
        <v>255</v>
      </c>
      <c r="F7" s="35">
        <v>0</v>
      </c>
      <c r="G7" s="35">
        <f>'2406費用明細憑證'!E7</f>
        <v>2774</v>
      </c>
      <c r="H7" s="36">
        <f>(B7-D7-E7-F7-G7-C7)+2774</f>
        <v>-31</v>
      </c>
      <c r="I7" s="37"/>
      <c r="J7" s="46" t="s">
        <v>17</v>
      </c>
      <c r="K7" s="47"/>
      <c r="L7" s="47"/>
      <c r="M7" s="48">
        <f>'2406費用明細憑證'!E33</f>
        <v>3570</v>
      </c>
      <c r="N7" s="49"/>
    </row>
    <row r="8" spans="1:26">
      <c r="A8" s="34">
        <v>45449</v>
      </c>
      <c r="B8" s="35">
        <v>5435</v>
      </c>
      <c r="C8" s="35">
        <v>1600</v>
      </c>
      <c r="D8" s="35">
        <v>425</v>
      </c>
      <c r="E8" s="35">
        <v>135</v>
      </c>
      <c r="F8" s="35">
        <v>0</v>
      </c>
      <c r="G8" s="69">
        <f>'2406費用明細憑證'!E8</f>
        <v>3650</v>
      </c>
      <c r="H8" s="36">
        <f>(B8-D8-E8-F8-G8-C8)</f>
        <v>-375</v>
      </c>
      <c r="I8" s="37"/>
      <c r="J8" s="50" t="s">
        <v>18</v>
      </c>
      <c r="K8" s="51"/>
      <c r="L8" s="51"/>
      <c r="M8" s="51">
        <f>SUM(M3:M6)+L7</f>
        <v>75437</v>
      </c>
      <c r="N8" s="52"/>
    </row>
    <row r="9" spans="1:26">
      <c r="A9" s="34">
        <v>45450</v>
      </c>
      <c r="B9" s="35">
        <v>6930</v>
      </c>
      <c r="C9" s="35">
        <v>5300</v>
      </c>
      <c r="D9" s="35">
        <v>770</v>
      </c>
      <c r="E9" s="35">
        <v>525</v>
      </c>
      <c r="F9" s="35">
        <v>0</v>
      </c>
      <c r="G9" s="35">
        <f>'2406費用明細憑證'!E9</f>
        <v>530</v>
      </c>
      <c r="H9" s="36">
        <f>(B9-D9-E9-F9-G9-C9)</f>
        <v>-195</v>
      </c>
      <c r="I9" s="37"/>
      <c r="J9" s="38" t="s">
        <v>19</v>
      </c>
      <c r="K9" s="39"/>
      <c r="L9" s="39"/>
      <c r="M9" s="39">
        <v>15000</v>
      </c>
      <c r="N9" s="53"/>
    </row>
    <row r="10" spans="1:26">
      <c r="A10" s="34">
        <v>45451</v>
      </c>
      <c r="B10" s="54">
        <v>7408</v>
      </c>
      <c r="C10" s="54">
        <v>6952</v>
      </c>
      <c r="D10" s="54">
        <v>185</v>
      </c>
      <c r="E10" s="54">
        <v>150</v>
      </c>
      <c r="F10" s="54">
        <v>370</v>
      </c>
      <c r="G10" s="35">
        <f>'2406費用明細憑證'!E10</f>
        <v>0</v>
      </c>
      <c r="H10" s="36">
        <f t="shared" si="0"/>
        <v>-249</v>
      </c>
      <c r="I10" s="37"/>
      <c r="J10" s="55" t="s">
        <v>20</v>
      </c>
      <c r="K10" s="56"/>
      <c r="L10" s="56"/>
      <c r="M10" s="56">
        <f>SUM(M8:M9)</f>
        <v>90437</v>
      </c>
      <c r="N10" s="57"/>
    </row>
    <row r="11" spans="1:26">
      <c r="A11" s="34">
        <v>45452</v>
      </c>
      <c r="B11" s="54">
        <v>5195</v>
      </c>
      <c r="C11" s="54">
        <v>4810</v>
      </c>
      <c r="D11" s="54">
        <v>490</v>
      </c>
      <c r="E11" s="54">
        <v>215</v>
      </c>
      <c r="F11" s="54">
        <v>320</v>
      </c>
      <c r="G11" s="35">
        <f>'2406費用明細憑證'!E11</f>
        <v>0</v>
      </c>
      <c r="H11" s="36">
        <f>(B11-D11-E11-F11-G11-C11)</f>
        <v>-640</v>
      </c>
      <c r="I11" s="37"/>
    </row>
    <row r="12" spans="1:26">
      <c r="A12" s="34">
        <v>45453</v>
      </c>
      <c r="B12" s="54">
        <v>7023</v>
      </c>
      <c r="C12" s="54">
        <v>5137</v>
      </c>
      <c r="D12" s="54">
        <v>315</v>
      </c>
      <c r="E12" s="54">
        <v>90</v>
      </c>
      <c r="F12" s="54">
        <f>250+210</f>
        <v>460</v>
      </c>
      <c r="G12" s="69">
        <f>'2406費用明細憑證'!E12</f>
        <v>1030</v>
      </c>
      <c r="H12" s="36">
        <f t="shared" si="0"/>
        <v>-9</v>
      </c>
      <c r="I12" s="37"/>
    </row>
    <row r="13" spans="1:26">
      <c r="A13" s="34">
        <v>45454</v>
      </c>
      <c r="B13" s="54">
        <v>6135</v>
      </c>
      <c r="C13" s="54">
        <v>3550</v>
      </c>
      <c r="D13" s="54">
        <v>870</v>
      </c>
      <c r="E13" s="54">
        <v>305</v>
      </c>
      <c r="F13" s="54">
        <v>0</v>
      </c>
      <c r="G13" s="35">
        <f>'2406費用明細憑證'!E13</f>
        <v>1180</v>
      </c>
      <c r="H13" s="36">
        <f t="shared" si="0"/>
        <v>230</v>
      </c>
      <c r="I13" s="37"/>
    </row>
    <row r="14" spans="1:26">
      <c r="A14" s="34">
        <v>45455</v>
      </c>
      <c r="B14" s="54">
        <f>5558+110</f>
        <v>5668</v>
      </c>
      <c r="C14" s="54">
        <v>5298</v>
      </c>
      <c r="D14" s="54">
        <v>420</v>
      </c>
      <c r="E14" s="54">
        <v>45</v>
      </c>
      <c r="F14" s="54">
        <v>0</v>
      </c>
      <c r="G14" s="35">
        <f>'2406費用明細憑證'!E14</f>
        <v>0</v>
      </c>
      <c r="H14" s="36">
        <f t="shared" si="0"/>
        <v>-95</v>
      </c>
      <c r="I14" s="37"/>
    </row>
    <row r="15" spans="1:26">
      <c r="A15" s="34">
        <v>45456</v>
      </c>
      <c r="B15" s="54">
        <v>5860</v>
      </c>
      <c r="C15" s="54">
        <v>6200</v>
      </c>
      <c r="D15" s="54">
        <v>335</v>
      </c>
      <c r="E15" s="54">
        <v>175</v>
      </c>
      <c r="F15" s="54">
        <v>220</v>
      </c>
      <c r="G15" s="35">
        <f>'2406費用明細憑證'!E15</f>
        <v>0</v>
      </c>
      <c r="H15" s="36">
        <f t="shared" si="0"/>
        <v>-1070</v>
      </c>
      <c r="I15" s="37"/>
    </row>
    <row r="16" spans="1:26">
      <c r="A16" s="34">
        <v>45457</v>
      </c>
      <c r="B16" s="54">
        <v>7720</v>
      </c>
      <c r="C16" s="54">
        <v>6600</v>
      </c>
      <c r="D16" s="54">
        <v>1005</v>
      </c>
      <c r="E16" s="54">
        <v>0</v>
      </c>
      <c r="F16" s="54">
        <v>0</v>
      </c>
      <c r="G16" s="69">
        <f>'2406費用明細憑證'!E16</f>
        <v>10110</v>
      </c>
      <c r="H16" s="36">
        <f>(B16-D16-E16-F16-G16-C16)+9580</f>
        <v>-415</v>
      </c>
      <c r="I16" s="37"/>
    </row>
    <row r="17" spans="1:9">
      <c r="A17" s="34">
        <v>45458</v>
      </c>
      <c r="B17" s="54">
        <v>8200</v>
      </c>
      <c r="C17" s="54">
        <v>8023</v>
      </c>
      <c r="D17" s="54">
        <v>500</v>
      </c>
      <c r="E17" s="54">
        <v>100</v>
      </c>
      <c r="F17" s="54">
        <f>165+173</f>
        <v>338</v>
      </c>
      <c r="G17" s="35">
        <f>'2406費用明細憑證'!E17</f>
        <v>60000</v>
      </c>
      <c r="H17" s="36">
        <f>(B17-D17-E17-F17-G17-C17)+60000</f>
        <v>-761</v>
      </c>
      <c r="I17" s="37"/>
    </row>
    <row r="18" spans="1:9">
      <c r="A18" s="34">
        <v>45459</v>
      </c>
      <c r="B18" s="54">
        <v>9300</v>
      </c>
      <c r="C18" s="54">
        <v>7650</v>
      </c>
      <c r="D18" s="54">
        <v>760</v>
      </c>
      <c r="E18" s="54">
        <v>215</v>
      </c>
      <c r="F18" s="54">
        <v>320</v>
      </c>
      <c r="G18" s="35">
        <f>'2406費用明細憑證'!E18</f>
        <v>376</v>
      </c>
      <c r="H18" s="36">
        <f t="shared" si="0"/>
        <v>-21</v>
      </c>
    </row>
    <row r="19" spans="1:9">
      <c r="A19" s="34">
        <v>45460</v>
      </c>
      <c r="B19" s="54">
        <v>4840</v>
      </c>
      <c r="C19" s="54">
        <v>4510</v>
      </c>
      <c r="D19" s="54">
        <v>420</v>
      </c>
      <c r="E19" s="54">
        <v>150</v>
      </c>
      <c r="F19" s="54">
        <v>0</v>
      </c>
      <c r="G19" s="35">
        <f>'2406費用明細憑證'!E19</f>
        <v>15319</v>
      </c>
      <c r="H19" s="36">
        <f>(B19-D19-E19-F19-G19-C19)+14789</f>
        <v>-770</v>
      </c>
    </row>
    <row r="20" spans="1:9">
      <c r="A20" s="34">
        <v>45461</v>
      </c>
      <c r="B20" s="54">
        <v>6830</v>
      </c>
      <c r="C20" s="54">
        <v>5220</v>
      </c>
      <c r="D20" s="54">
        <v>660</v>
      </c>
      <c r="E20" s="54">
        <v>210</v>
      </c>
      <c r="F20" s="54">
        <v>0</v>
      </c>
      <c r="G20" s="69">
        <f>'2406費用明細憑證'!E20</f>
        <v>1000</v>
      </c>
      <c r="H20" s="36">
        <f t="shared" si="0"/>
        <v>-260</v>
      </c>
    </row>
    <row r="21" spans="1:9">
      <c r="A21" s="34">
        <v>45462</v>
      </c>
      <c r="B21" s="54">
        <v>7388</v>
      </c>
      <c r="C21" s="54">
        <v>6663</v>
      </c>
      <c r="D21" s="54">
        <v>215</v>
      </c>
      <c r="E21" s="54">
        <v>85</v>
      </c>
      <c r="F21" s="54">
        <v>0</v>
      </c>
      <c r="G21" s="35">
        <f>'2406費用明細憑證'!E21</f>
        <v>530</v>
      </c>
      <c r="H21" s="36">
        <f t="shared" si="0"/>
        <v>-105</v>
      </c>
    </row>
    <row r="22" spans="1:9">
      <c r="A22" s="34">
        <v>45463</v>
      </c>
      <c r="B22" s="54">
        <v>8490</v>
      </c>
      <c r="C22" s="54">
        <v>6500</v>
      </c>
      <c r="D22" s="54">
        <v>1145</v>
      </c>
      <c r="E22" s="54">
        <v>110</v>
      </c>
      <c r="F22" s="54">
        <v>0</v>
      </c>
      <c r="G22" s="35">
        <f>'2406費用明細憑證'!E22</f>
        <v>764</v>
      </c>
      <c r="H22" s="36">
        <f t="shared" si="0"/>
        <v>-29</v>
      </c>
    </row>
    <row r="23" spans="1:9">
      <c r="A23" s="34">
        <v>45464</v>
      </c>
      <c r="B23" s="54">
        <v>5490</v>
      </c>
      <c r="C23" s="54">
        <v>3700</v>
      </c>
      <c r="D23" s="54">
        <v>835</v>
      </c>
      <c r="E23" s="54">
        <v>320</v>
      </c>
      <c r="F23" s="54">
        <v>185</v>
      </c>
      <c r="G23" s="35">
        <f>'2406費用明細憑證'!E23</f>
        <v>530</v>
      </c>
      <c r="H23" s="36">
        <f t="shared" si="0"/>
        <v>-80</v>
      </c>
    </row>
    <row r="24" spans="1:9">
      <c r="A24" s="34">
        <v>45465</v>
      </c>
      <c r="B24" s="54">
        <v>7359</v>
      </c>
      <c r="C24" s="54">
        <v>6335</v>
      </c>
      <c r="D24" s="54">
        <v>435</v>
      </c>
      <c r="E24" s="54">
        <v>255</v>
      </c>
      <c r="F24" s="54">
        <f>110+224</f>
        <v>334</v>
      </c>
      <c r="G24" s="69">
        <f>'2406費用明細憑證'!E24</f>
        <v>1000</v>
      </c>
      <c r="H24" s="36">
        <f>(B24-D24-E24-F24-G24-C24)</f>
        <v>-1000</v>
      </c>
    </row>
    <row r="25" spans="1:9">
      <c r="A25" s="34">
        <v>45466</v>
      </c>
      <c r="B25" s="54">
        <v>5705</v>
      </c>
      <c r="C25" s="54">
        <v>4700</v>
      </c>
      <c r="D25" s="54">
        <v>550</v>
      </c>
      <c r="E25" s="54">
        <v>220</v>
      </c>
      <c r="F25" s="54">
        <v>0</v>
      </c>
      <c r="G25" s="35">
        <f>'2406費用明細憑證'!E25</f>
        <v>0</v>
      </c>
      <c r="H25" s="36">
        <f t="shared" si="0"/>
        <v>235</v>
      </c>
    </row>
    <row r="26" spans="1:9">
      <c r="A26" s="34">
        <v>45467</v>
      </c>
      <c r="B26" s="54">
        <v>5955</v>
      </c>
      <c r="C26" s="54">
        <v>4300</v>
      </c>
      <c r="D26" s="54">
        <v>810</v>
      </c>
      <c r="E26" s="54">
        <v>160</v>
      </c>
      <c r="F26" s="54">
        <v>225</v>
      </c>
      <c r="G26" s="35">
        <f>'2406費用明細憑證'!E26</f>
        <v>530</v>
      </c>
      <c r="H26" s="36">
        <f t="shared" si="0"/>
        <v>-70</v>
      </c>
    </row>
    <row r="27" spans="1:9">
      <c r="A27" s="34">
        <v>45468</v>
      </c>
      <c r="B27" s="54">
        <v>5905</v>
      </c>
      <c r="C27" s="54">
        <v>5300</v>
      </c>
      <c r="D27" s="54">
        <v>560</v>
      </c>
      <c r="E27" s="54">
        <v>95</v>
      </c>
      <c r="F27" s="54">
        <v>0</v>
      </c>
      <c r="G27" s="35">
        <f>'2406費用明細憑證'!E27</f>
        <v>200</v>
      </c>
      <c r="H27" s="36">
        <f t="shared" si="0"/>
        <v>-250</v>
      </c>
    </row>
    <row r="28" spans="1:9">
      <c r="A28" s="34">
        <v>45469</v>
      </c>
      <c r="B28" s="54">
        <v>7340</v>
      </c>
      <c r="C28" s="54">
        <v>6220</v>
      </c>
      <c r="D28" s="54">
        <v>385</v>
      </c>
      <c r="E28" s="54">
        <v>205</v>
      </c>
      <c r="F28" s="54">
        <v>0</v>
      </c>
      <c r="G28" s="69">
        <f>'2406費用明細憑證'!E28</f>
        <v>530</v>
      </c>
      <c r="H28" s="36">
        <f t="shared" si="0"/>
        <v>0</v>
      </c>
    </row>
    <row r="29" spans="1:9">
      <c r="A29" s="34">
        <v>45470</v>
      </c>
      <c r="B29" s="54">
        <v>5360</v>
      </c>
      <c r="C29" s="54">
        <v>5010</v>
      </c>
      <c r="D29" s="54">
        <v>380</v>
      </c>
      <c r="E29" s="54">
        <v>65</v>
      </c>
      <c r="F29" s="54">
        <v>0</v>
      </c>
      <c r="G29" s="35">
        <f>'2406費用明細憑證'!E29</f>
        <v>10680</v>
      </c>
      <c r="H29" s="36">
        <f>(B29-D29-E29-F29-G29-C29)+10680</f>
        <v>-95</v>
      </c>
    </row>
    <row r="30" spans="1:9">
      <c r="A30" s="34">
        <v>45471</v>
      </c>
      <c r="B30" s="54">
        <v>7080</v>
      </c>
      <c r="C30" s="54">
        <v>6212</v>
      </c>
      <c r="D30" s="54">
        <v>485</v>
      </c>
      <c r="E30" s="54">
        <v>0</v>
      </c>
      <c r="F30" s="54">
        <v>65</v>
      </c>
      <c r="G30" s="35">
        <f>'2406費用明細憑證'!E30</f>
        <v>530</v>
      </c>
      <c r="H30" s="36">
        <f>(B30-D30-E30-F30-G30-C30)</f>
        <v>-212</v>
      </c>
    </row>
    <row r="31" spans="1:9">
      <c r="A31" s="34">
        <v>45472</v>
      </c>
      <c r="B31" s="54">
        <v>5811</v>
      </c>
      <c r="C31" s="54">
        <v>5551</v>
      </c>
      <c r="D31" s="54">
        <v>65</v>
      </c>
      <c r="E31" s="54">
        <v>85</v>
      </c>
      <c r="F31" s="54">
        <v>110</v>
      </c>
      <c r="G31" s="35">
        <f>'2406費用明細憑證'!E31</f>
        <v>0</v>
      </c>
      <c r="H31" s="36">
        <f t="shared" si="0"/>
        <v>0</v>
      </c>
    </row>
    <row r="32" spans="1:9">
      <c r="A32" s="34">
        <v>45473</v>
      </c>
      <c r="B32" s="54">
        <v>6783</v>
      </c>
      <c r="C32" s="54">
        <v>6200</v>
      </c>
      <c r="D32" s="54">
        <v>150</v>
      </c>
      <c r="E32" s="54">
        <v>0</v>
      </c>
      <c r="F32" s="54">
        <v>0</v>
      </c>
      <c r="G32" s="69">
        <f>'2406費用明細憑證'!E32</f>
        <v>150</v>
      </c>
      <c r="H32" s="36">
        <f t="shared" si="0"/>
        <v>283</v>
      </c>
    </row>
    <row r="33" spans="1:9">
      <c r="A33" s="62" t="s">
        <v>21</v>
      </c>
      <c r="B33" s="63" t="s">
        <v>22</v>
      </c>
      <c r="C33" s="63" t="s">
        <v>23</v>
      </c>
      <c r="D33" s="63" t="s">
        <v>24</v>
      </c>
      <c r="E33" s="63"/>
      <c r="F33" s="63" t="s">
        <v>25</v>
      </c>
      <c r="G33" s="103" t="s">
        <v>26</v>
      </c>
      <c r="H33" s="104"/>
      <c r="I33" s="37"/>
    </row>
    <row r="34" spans="1:9">
      <c r="A34" s="64" t="s">
        <v>27</v>
      </c>
      <c r="B34" s="65">
        <f>SUM(B3:B32)</f>
        <v>196265</v>
      </c>
      <c r="C34" s="65">
        <f>SUM(G3:G32)</f>
        <v>112370</v>
      </c>
      <c r="D34" s="65">
        <f>B34-C34</f>
        <v>83895</v>
      </c>
      <c r="E34" s="65"/>
      <c r="F34" s="66">
        <f>SUM(H3:H32)</f>
        <v>-6253</v>
      </c>
      <c r="G34" s="105">
        <f>M8/3</f>
        <v>25145.666666666668</v>
      </c>
      <c r="H34" s="106"/>
      <c r="I34" s="37"/>
    </row>
    <row r="35" spans="1:9">
      <c r="A35" s="25"/>
    </row>
    <row r="36" spans="1:9">
      <c r="A36" s="25"/>
    </row>
    <row r="37" spans="1:9">
      <c r="A37" s="25"/>
    </row>
    <row r="38" spans="1:9">
      <c r="A38" s="25"/>
    </row>
    <row r="39" spans="1:9">
      <c r="A39" s="25"/>
    </row>
    <row r="40" spans="1:9">
      <c r="A40" s="25"/>
    </row>
    <row r="41" spans="1:9">
      <c r="A41" s="25"/>
    </row>
    <row r="42" spans="1:9">
      <c r="A42" s="25"/>
    </row>
    <row r="43" spans="1:9">
      <c r="A43" s="25"/>
    </row>
    <row r="44" spans="1:9">
      <c r="A44" s="25"/>
    </row>
    <row r="45" spans="1:9">
      <c r="A45" s="25"/>
    </row>
    <row r="46" spans="1:9">
      <c r="A46" s="25"/>
    </row>
    <row r="47" spans="1:9">
      <c r="A47" s="25"/>
    </row>
    <row r="48" spans="1:9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</sheetData>
  <mergeCells count="4">
    <mergeCell ref="A1:H1"/>
    <mergeCell ref="J1:N1"/>
    <mergeCell ref="G33:H33"/>
    <mergeCell ref="G34:H34"/>
  </mergeCells>
  <phoneticPr fontId="5" type="noConversion"/>
  <dataValidations count="1">
    <dataValidation type="list" allowBlank="1" showErrorMessage="1" sqref="J2" xr:uid="{067DB545-1910-4766-BA0A-D57BFC77AAC6}">
      <formula1>"江政隆,吳献堂,林權松"</formula1>
    </dataValidation>
  </dataValidations>
  <pageMargins left="0" right="0" top="0" bottom="0" header="0" footer="0"/>
  <pageSetup paperSize="9" scale="75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581E-6001-4F99-B30D-A09864FC5FCB}">
  <sheetPr>
    <outlinePr summaryBelow="0" summaryRight="0"/>
  </sheetPr>
  <dimension ref="A1:Z1002"/>
  <sheetViews>
    <sheetView topLeftCell="E1" zoomScale="77" zoomScaleNormal="77" zoomScaleSheetLayoutView="55" workbookViewId="0">
      <pane ySplit="2" topLeftCell="A3" activePane="bottomLeft" state="frozen"/>
      <selection activeCell="F1" sqref="F1"/>
      <selection pane="bottomLeft" sqref="A1:K1"/>
    </sheetView>
  </sheetViews>
  <sheetFormatPr defaultColWidth="12.33203125" defaultRowHeight="15.6"/>
  <cols>
    <col min="1" max="1" width="16" style="13" bestFit="1" customWidth="1"/>
    <col min="2" max="3" width="11.33203125" style="13" bestFit="1" customWidth="1"/>
    <col min="4" max="4" width="11.33203125" style="16" bestFit="1" customWidth="1"/>
    <col min="5" max="5" width="11.33203125" style="13" bestFit="1" customWidth="1"/>
    <col min="6" max="6" width="25.6640625" style="13" customWidth="1"/>
    <col min="7" max="7" width="13.6640625" style="13" bestFit="1" customWidth="1"/>
    <col min="8" max="8" width="14.77734375" style="13" bestFit="1" customWidth="1"/>
    <col min="9" max="10" width="12.33203125" style="13" bestFit="1" customWidth="1"/>
    <col min="11" max="11" width="12.33203125" style="13"/>
    <col min="12" max="12" width="15" style="13" bestFit="1" customWidth="1"/>
    <col min="13" max="16384" width="12.33203125" style="13"/>
  </cols>
  <sheetData>
    <row r="1" spans="1:26" s="11" customFormat="1" ht="23.4">
      <c r="A1" s="102" t="s">
        <v>219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4">
        <v>45444</v>
      </c>
      <c r="B3" s="15"/>
      <c r="C3" s="15"/>
      <c r="E3" s="15">
        <f>SUM(B3:D3)</f>
        <v>0</v>
      </c>
      <c r="F3" s="17"/>
      <c r="G3" s="18"/>
      <c r="H3" s="18"/>
      <c r="I3" s="18"/>
      <c r="J3" s="18"/>
      <c r="K3" s="73"/>
      <c r="L3" s="74"/>
    </row>
    <row r="4" spans="1:26">
      <c r="A4" s="14">
        <v>45445</v>
      </c>
      <c r="B4" s="15"/>
      <c r="C4" s="15"/>
      <c r="E4" s="15">
        <f>SUM(B4:D4)</f>
        <v>0</v>
      </c>
      <c r="F4" s="17"/>
      <c r="G4" s="18"/>
      <c r="H4" s="18"/>
      <c r="I4" s="18"/>
      <c r="J4" s="18"/>
      <c r="K4" s="73"/>
      <c r="L4" s="74"/>
    </row>
    <row r="5" spans="1:26" ht="31.2">
      <c r="A5" s="14">
        <v>45446</v>
      </c>
      <c r="B5" s="15">
        <v>530</v>
      </c>
      <c r="C5" s="15"/>
      <c r="D5" s="16">
        <v>427</v>
      </c>
      <c r="E5" s="15">
        <f>SUM(B5:D5)</f>
        <v>957</v>
      </c>
      <c r="F5" s="20" t="s">
        <v>60</v>
      </c>
      <c r="G5" s="71" t="s">
        <v>61</v>
      </c>
      <c r="H5" s="71"/>
      <c r="I5" s="18"/>
      <c r="J5" s="18"/>
      <c r="K5" s="73"/>
      <c r="L5" s="74"/>
    </row>
    <row r="6" spans="1:26">
      <c r="A6" s="14">
        <v>45447</v>
      </c>
      <c r="B6" s="15"/>
      <c r="C6" s="15"/>
      <c r="E6" s="15">
        <f t="shared" ref="E6:E33" si="0">SUM(B6:D6)</f>
        <v>0</v>
      </c>
      <c r="H6" s="18"/>
      <c r="I6" s="18"/>
      <c r="J6" s="18"/>
      <c r="K6" s="73"/>
      <c r="L6" s="74"/>
    </row>
    <row r="7" spans="1:26">
      <c r="A7" s="14">
        <v>45448</v>
      </c>
      <c r="B7" s="15"/>
      <c r="C7" s="15"/>
      <c r="D7" s="16">
        <f>2774</f>
        <v>2774</v>
      </c>
      <c r="E7" s="15">
        <f t="shared" ref="E7:E12" si="1">SUM(B7:D7)</f>
        <v>2774</v>
      </c>
      <c r="F7" s="20" t="s">
        <v>62</v>
      </c>
      <c r="G7" s="71" t="s">
        <v>63</v>
      </c>
      <c r="H7" s="71" t="s">
        <v>64</v>
      </c>
      <c r="I7" s="71" t="s">
        <v>65</v>
      </c>
      <c r="J7" s="71" t="s">
        <v>66</v>
      </c>
      <c r="K7" s="71" t="s">
        <v>67</v>
      </c>
      <c r="L7" s="71" t="s">
        <v>68</v>
      </c>
    </row>
    <row r="8" spans="1:26" ht="31.2">
      <c r="A8" s="14">
        <v>45449</v>
      </c>
      <c r="B8" s="15"/>
      <c r="C8" s="15"/>
      <c r="D8" s="16">
        <f>1250+2400</f>
        <v>3650</v>
      </c>
      <c r="E8" s="15">
        <f t="shared" si="1"/>
        <v>3650</v>
      </c>
      <c r="F8" s="20" t="s">
        <v>69</v>
      </c>
      <c r="G8" s="71" t="s">
        <v>70</v>
      </c>
      <c r="H8" s="71" t="s">
        <v>71</v>
      </c>
      <c r="I8" s="18"/>
      <c r="J8" s="18"/>
      <c r="K8" s="73"/>
      <c r="L8" s="74"/>
    </row>
    <row r="9" spans="1:26">
      <c r="A9" s="14">
        <v>45450</v>
      </c>
      <c r="B9" s="15">
        <v>530</v>
      </c>
      <c r="C9" s="15"/>
      <c r="E9" s="15">
        <f t="shared" si="1"/>
        <v>530</v>
      </c>
      <c r="F9" s="13" t="s">
        <v>40</v>
      </c>
      <c r="G9" s="71" t="s">
        <v>72</v>
      </c>
      <c r="H9" s="21"/>
      <c r="I9" s="23"/>
      <c r="J9" s="21"/>
      <c r="K9" s="21"/>
    </row>
    <row r="10" spans="1:26">
      <c r="A10" s="14">
        <v>45451</v>
      </c>
      <c r="B10" s="15"/>
      <c r="C10" s="15"/>
      <c r="E10" s="15">
        <f t="shared" si="0"/>
        <v>0</v>
      </c>
      <c r="F10" s="20"/>
      <c r="G10" s="21"/>
      <c r="H10" s="21"/>
      <c r="I10" s="18"/>
      <c r="J10" s="18"/>
      <c r="K10" s="19"/>
    </row>
    <row r="11" spans="1:26">
      <c r="A11" s="14">
        <v>45452</v>
      </c>
      <c r="B11" s="15"/>
      <c r="C11" s="15"/>
      <c r="E11" s="15">
        <f>SUM(B11:D11)</f>
        <v>0</v>
      </c>
      <c r="F11" s="20"/>
      <c r="G11" s="22"/>
      <c r="H11" s="18"/>
      <c r="I11" s="18"/>
      <c r="J11" s="18"/>
      <c r="K11" s="19"/>
    </row>
    <row r="12" spans="1:26" ht="31.2">
      <c r="A12" s="14">
        <v>45453</v>
      </c>
      <c r="B12" s="15">
        <f>500+530</f>
        <v>1030</v>
      </c>
      <c r="C12" s="15"/>
      <c r="E12" s="15">
        <f t="shared" si="1"/>
        <v>1030</v>
      </c>
      <c r="F12" s="20" t="s">
        <v>73</v>
      </c>
      <c r="G12" s="71" t="s">
        <v>74</v>
      </c>
      <c r="H12" s="18"/>
      <c r="I12" s="18"/>
      <c r="J12" s="18"/>
      <c r="K12" s="19"/>
    </row>
    <row r="13" spans="1:26">
      <c r="A13" s="14">
        <v>45454</v>
      </c>
      <c r="B13" s="15">
        <v>1180</v>
      </c>
      <c r="C13" s="15"/>
      <c r="E13" s="15">
        <f t="shared" si="0"/>
        <v>1180</v>
      </c>
      <c r="F13" s="17" t="s">
        <v>75</v>
      </c>
      <c r="G13" s="71" t="s">
        <v>76</v>
      </c>
      <c r="H13" s="18"/>
      <c r="I13" s="18"/>
      <c r="J13" s="18"/>
      <c r="K13" s="19"/>
    </row>
    <row r="14" spans="1:26">
      <c r="A14" s="14">
        <v>45455</v>
      </c>
      <c r="B14" s="15"/>
      <c r="C14" s="15"/>
      <c r="E14" s="15">
        <f t="shared" si="0"/>
        <v>0</v>
      </c>
      <c r="F14" s="17"/>
      <c r="G14" s="18"/>
      <c r="H14" s="18"/>
      <c r="I14" s="18"/>
      <c r="J14" s="18"/>
      <c r="K14" s="19"/>
    </row>
    <row r="15" spans="1:26">
      <c r="A15" s="14">
        <v>45456</v>
      </c>
      <c r="B15" s="15"/>
      <c r="C15" s="15"/>
      <c r="E15" s="15">
        <f t="shared" si="0"/>
        <v>0</v>
      </c>
      <c r="F15" s="20"/>
      <c r="G15" s="22"/>
      <c r="H15" s="22"/>
      <c r="I15" s="18"/>
      <c r="J15" s="18"/>
      <c r="K15" s="19"/>
    </row>
    <row r="16" spans="1:26" ht="54.75" customHeight="1">
      <c r="A16" s="14">
        <v>45457</v>
      </c>
      <c r="B16" s="15">
        <v>530</v>
      </c>
      <c r="C16" s="15"/>
      <c r="D16" s="16">
        <f>427+9153</f>
        <v>9580</v>
      </c>
      <c r="E16" s="15">
        <f t="shared" si="0"/>
        <v>10110</v>
      </c>
      <c r="F16" s="20" t="s">
        <v>77</v>
      </c>
      <c r="G16" s="71" t="s">
        <v>78</v>
      </c>
      <c r="H16" s="71" t="s">
        <v>79</v>
      </c>
      <c r="I16" s="71" t="s">
        <v>80</v>
      </c>
      <c r="J16" s="18"/>
      <c r="K16" s="19"/>
    </row>
    <row r="17" spans="1:11">
      <c r="A17" s="14">
        <v>45458</v>
      </c>
      <c r="B17" s="15"/>
      <c r="C17" s="15">
        <v>60000</v>
      </c>
      <c r="E17" s="15">
        <f t="shared" si="0"/>
        <v>60000</v>
      </c>
      <c r="F17" s="13" t="s">
        <v>81</v>
      </c>
      <c r="G17" s="71" t="s">
        <v>82</v>
      </c>
      <c r="H17" s="71" t="s">
        <v>83</v>
      </c>
      <c r="I17" s="24"/>
      <c r="J17" s="18"/>
      <c r="K17" s="19"/>
    </row>
    <row r="18" spans="1:11" ht="62.4">
      <c r="A18" s="14">
        <v>45459</v>
      </c>
      <c r="B18" s="15">
        <f>36+170</f>
        <v>206</v>
      </c>
      <c r="C18" s="15"/>
      <c r="D18" s="16">
        <f>150+20</f>
        <v>170</v>
      </c>
      <c r="E18" s="15">
        <f t="shared" si="0"/>
        <v>376</v>
      </c>
      <c r="F18" s="75" t="s">
        <v>84</v>
      </c>
      <c r="G18" s="76" t="s">
        <v>85</v>
      </c>
      <c r="H18" s="76" t="s">
        <v>86</v>
      </c>
      <c r="I18" s="71" t="s">
        <v>87</v>
      </c>
      <c r="J18" s="18"/>
      <c r="K18" s="19"/>
    </row>
    <row r="19" spans="1:11" ht="53.25" customHeight="1">
      <c r="A19" s="14">
        <v>45460</v>
      </c>
      <c r="B19" s="15">
        <f>13790+530</f>
        <v>14320</v>
      </c>
      <c r="C19" s="15"/>
      <c r="D19" s="16">
        <v>999</v>
      </c>
      <c r="E19" s="15">
        <f t="shared" si="0"/>
        <v>15319</v>
      </c>
      <c r="F19" s="20" t="s">
        <v>88</v>
      </c>
      <c r="G19" s="72" t="s">
        <v>89</v>
      </c>
      <c r="H19" s="71" t="s">
        <v>90</v>
      </c>
      <c r="I19" s="18"/>
      <c r="J19" s="18"/>
      <c r="K19" s="19"/>
    </row>
    <row r="20" spans="1:11" ht="31.2">
      <c r="A20" s="14">
        <v>45461</v>
      </c>
      <c r="B20" s="15">
        <v>150</v>
      </c>
      <c r="C20" s="15"/>
      <c r="D20" s="16">
        <v>850</v>
      </c>
      <c r="E20" s="15">
        <f t="shared" si="0"/>
        <v>1000</v>
      </c>
      <c r="F20" s="20" t="s">
        <v>91</v>
      </c>
      <c r="G20" s="71" t="s">
        <v>92</v>
      </c>
      <c r="H20" s="18"/>
      <c r="I20" s="18"/>
      <c r="J20" s="18"/>
      <c r="K20" s="19"/>
    </row>
    <row r="21" spans="1:11">
      <c r="A21" s="14">
        <v>45462</v>
      </c>
      <c r="B21" s="15">
        <v>530</v>
      </c>
      <c r="C21" s="15"/>
      <c r="E21" s="15">
        <f t="shared" si="0"/>
        <v>530</v>
      </c>
      <c r="F21" s="17" t="s">
        <v>40</v>
      </c>
      <c r="G21" s="71" t="s">
        <v>93</v>
      </c>
      <c r="H21" s="18"/>
      <c r="I21" s="18"/>
      <c r="J21" s="18"/>
      <c r="K21" s="19"/>
    </row>
    <row r="22" spans="1:11">
      <c r="A22" s="14">
        <v>45463</v>
      </c>
      <c r="B22" s="15">
        <v>764</v>
      </c>
      <c r="C22" s="15"/>
      <c r="E22" s="15">
        <f t="shared" si="0"/>
        <v>764</v>
      </c>
      <c r="F22" s="13" t="s">
        <v>94</v>
      </c>
      <c r="G22" s="71" t="s">
        <v>95</v>
      </c>
      <c r="H22" s="18"/>
      <c r="I22" s="18"/>
      <c r="J22" s="18"/>
      <c r="K22" s="19"/>
    </row>
    <row r="23" spans="1:11">
      <c r="A23" s="14">
        <v>45464</v>
      </c>
      <c r="B23" s="15">
        <v>530</v>
      </c>
      <c r="C23" s="15"/>
      <c r="E23" s="15">
        <f t="shared" si="0"/>
        <v>530</v>
      </c>
      <c r="F23" s="17" t="s">
        <v>40</v>
      </c>
      <c r="G23" s="71" t="s">
        <v>96</v>
      </c>
      <c r="H23" s="18"/>
      <c r="I23" s="18"/>
      <c r="J23" s="18"/>
      <c r="K23" s="19"/>
    </row>
    <row r="24" spans="1:11">
      <c r="A24" s="14">
        <v>45465</v>
      </c>
      <c r="B24" s="15"/>
      <c r="C24" s="15"/>
      <c r="D24" s="16">
        <v>1000</v>
      </c>
      <c r="E24" s="15">
        <f t="shared" si="0"/>
        <v>1000</v>
      </c>
      <c r="F24" s="20" t="s">
        <v>97</v>
      </c>
      <c r="G24" s="71" t="s">
        <v>98</v>
      </c>
      <c r="H24" s="22"/>
      <c r="I24" s="22"/>
      <c r="J24" s="18"/>
      <c r="K24" s="19"/>
    </row>
    <row r="25" spans="1:11">
      <c r="A25" s="14">
        <v>45466</v>
      </c>
      <c r="B25" s="15"/>
      <c r="C25" s="15"/>
      <c r="E25" s="15">
        <f t="shared" si="0"/>
        <v>0</v>
      </c>
      <c r="F25" s="17"/>
      <c r="G25" s="18"/>
      <c r="H25" s="18"/>
      <c r="I25" s="18"/>
      <c r="J25" s="18"/>
      <c r="K25" s="19"/>
    </row>
    <row r="26" spans="1:11">
      <c r="A26" s="14">
        <v>45467</v>
      </c>
      <c r="B26" s="15">
        <v>530</v>
      </c>
      <c r="C26" s="15"/>
      <c r="E26" s="15">
        <f t="shared" si="0"/>
        <v>530</v>
      </c>
      <c r="F26" s="17" t="s">
        <v>40</v>
      </c>
      <c r="G26" s="71" t="s">
        <v>99</v>
      </c>
      <c r="H26" s="18"/>
      <c r="I26" s="18"/>
      <c r="J26" s="18"/>
      <c r="K26" s="19"/>
    </row>
    <row r="27" spans="1:11">
      <c r="A27" s="14">
        <v>45468</v>
      </c>
      <c r="B27" s="15"/>
      <c r="C27" s="15"/>
      <c r="D27" s="16">
        <v>200</v>
      </c>
      <c r="E27" s="15">
        <f t="shared" si="0"/>
        <v>200</v>
      </c>
      <c r="F27" s="17" t="s">
        <v>100</v>
      </c>
      <c r="G27" s="18"/>
      <c r="H27" s="18"/>
      <c r="I27" s="18"/>
      <c r="J27" s="18"/>
      <c r="K27" s="19"/>
    </row>
    <row r="28" spans="1:11">
      <c r="A28" s="14">
        <v>45469</v>
      </c>
      <c r="B28" s="15">
        <v>530</v>
      </c>
      <c r="C28" s="15"/>
      <c r="E28" s="15">
        <f>SUM(B28:D28)</f>
        <v>530</v>
      </c>
      <c r="F28" s="17" t="s">
        <v>40</v>
      </c>
      <c r="G28" s="71" t="s">
        <v>101</v>
      </c>
      <c r="H28" s="18"/>
      <c r="I28" s="18"/>
      <c r="J28" s="18"/>
      <c r="K28" s="19"/>
    </row>
    <row r="29" spans="1:11">
      <c r="A29" s="14">
        <v>45470</v>
      </c>
      <c r="B29" s="15">
        <v>10680</v>
      </c>
      <c r="C29" s="15"/>
      <c r="E29" s="15">
        <f t="shared" si="0"/>
        <v>10680</v>
      </c>
      <c r="F29" s="17" t="s">
        <v>102</v>
      </c>
      <c r="G29" s="71" t="s">
        <v>103</v>
      </c>
      <c r="H29" s="18"/>
      <c r="I29" s="18"/>
      <c r="J29" s="18"/>
      <c r="K29" s="19"/>
    </row>
    <row r="30" spans="1:11">
      <c r="A30" s="14">
        <v>45471</v>
      </c>
      <c r="B30" s="15">
        <v>530</v>
      </c>
      <c r="C30" s="15"/>
      <c r="E30" s="15">
        <f t="shared" si="0"/>
        <v>530</v>
      </c>
      <c r="F30" s="20" t="s">
        <v>40</v>
      </c>
      <c r="G30" s="71" t="s">
        <v>104</v>
      </c>
      <c r="H30" s="18"/>
      <c r="I30" s="18"/>
      <c r="J30" s="18"/>
      <c r="K30" s="19"/>
    </row>
    <row r="31" spans="1:11">
      <c r="A31" s="14">
        <v>45472</v>
      </c>
      <c r="B31" s="15"/>
      <c r="C31" s="15"/>
      <c r="E31" s="15">
        <f t="shared" si="0"/>
        <v>0</v>
      </c>
      <c r="F31" s="17"/>
      <c r="G31" s="18"/>
      <c r="H31" s="18"/>
      <c r="I31" s="18"/>
      <c r="J31" s="18"/>
      <c r="K31" s="19"/>
    </row>
    <row r="32" spans="1:11">
      <c r="A32" s="14">
        <v>45473</v>
      </c>
      <c r="B32" s="15"/>
      <c r="C32" s="15"/>
      <c r="D32" s="16">
        <v>150</v>
      </c>
      <c r="E32" s="15">
        <f t="shared" si="0"/>
        <v>150</v>
      </c>
      <c r="F32" s="17" t="s">
        <v>105</v>
      </c>
      <c r="G32" s="18"/>
      <c r="H32" s="18"/>
      <c r="I32" s="18"/>
      <c r="J32" s="18"/>
      <c r="K32" s="19"/>
    </row>
    <row r="33" spans="1:11" ht="62.4">
      <c r="A33" s="14" t="s">
        <v>58</v>
      </c>
      <c r="B33" s="15">
        <v>3570</v>
      </c>
      <c r="C33" s="15"/>
      <c r="E33" s="15">
        <f t="shared" si="0"/>
        <v>3570</v>
      </c>
      <c r="F33" s="20" t="s">
        <v>106</v>
      </c>
      <c r="G33" s="71" t="s">
        <v>107</v>
      </c>
      <c r="H33" s="72" t="s">
        <v>108</v>
      </c>
      <c r="I33" s="71" t="s">
        <v>109</v>
      </c>
      <c r="J33" s="71" t="s">
        <v>110</v>
      </c>
      <c r="K33" s="19"/>
    </row>
    <row r="34" spans="1:11">
      <c r="A34" s="12" t="s">
        <v>27</v>
      </c>
      <c r="B34" s="15">
        <f>SUM(B3:B33)</f>
        <v>36140</v>
      </c>
      <c r="C34" s="15">
        <f>SUM(C3:C33)</f>
        <v>60000</v>
      </c>
      <c r="D34" s="15">
        <f>SUM(D3:D33)</f>
        <v>19800</v>
      </c>
      <c r="E34" s="15">
        <f>SUM(E3:E33)</f>
        <v>115940</v>
      </c>
      <c r="F34" s="17"/>
      <c r="G34" s="18"/>
      <c r="H34" s="18"/>
      <c r="I34" s="18"/>
      <c r="J34" s="18"/>
      <c r="K34" s="19"/>
    </row>
    <row r="35" spans="1:11">
      <c r="A35" s="25"/>
      <c r="B35" s="15"/>
      <c r="C35" s="15"/>
      <c r="E35" s="15"/>
      <c r="F35" s="17"/>
      <c r="G35" s="18"/>
      <c r="H35" s="18"/>
      <c r="I35" s="18"/>
      <c r="J35" s="18"/>
      <c r="K35" s="19"/>
    </row>
    <row r="36" spans="1:11">
      <c r="A36" s="25"/>
      <c r="B36" s="15"/>
      <c r="C36" s="15"/>
      <c r="E36" s="15"/>
      <c r="F36" s="17"/>
      <c r="G36" s="18"/>
      <c r="H36" s="18"/>
      <c r="I36" s="18"/>
      <c r="J36" s="18"/>
      <c r="K36" s="19"/>
    </row>
    <row r="37" spans="1:11">
      <c r="A37" s="25"/>
      <c r="B37" s="15"/>
      <c r="C37" s="15"/>
      <c r="E37" s="15"/>
      <c r="F37" s="17"/>
      <c r="G37" s="18"/>
      <c r="H37" s="18"/>
      <c r="I37" s="18"/>
      <c r="J37" s="18"/>
      <c r="K37" s="19"/>
    </row>
    <row r="38" spans="1:11">
      <c r="A38" s="25"/>
      <c r="B38" s="15"/>
      <c r="C38" s="15"/>
      <c r="E38" s="15"/>
      <c r="F38" s="17"/>
      <c r="G38" s="18"/>
      <c r="H38" s="18"/>
      <c r="I38" s="18"/>
      <c r="J38" s="18"/>
      <c r="K38" s="19"/>
    </row>
    <row r="39" spans="1:11">
      <c r="A39" s="25"/>
      <c r="B39" s="15"/>
      <c r="C39" s="15"/>
      <c r="E39" s="15"/>
      <c r="F39" s="17"/>
      <c r="G39" s="18"/>
      <c r="H39" s="18"/>
      <c r="I39" s="18"/>
      <c r="J39" s="18"/>
      <c r="K39" s="19"/>
    </row>
    <row r="40" spans="1:11">
      <c r="A40" s="25"/>
      <c r="B40" s="15"/>
      <c r="C40" s="15"/>
      <c r="E40" s="15"/>
      <c r="F40" s="17"/>
      <c r="G40" s="18"/>
      <c r="H40" s="18"/>
      <c r="I40" s="18"/>
      <c r="J40" s="18"/>
      <c r="K40" s="19"/>
    </row>
    <row r="41" spans="1:11">
      <c r="A41" s="25"/>
      <c r="B41" s="15"/>
      <c r="C41" s="15"/>
      <c r="E41" s="15"/>
      <c r="F41" s="17"/>
      <c r="G41" s="18"/>
      <c r="H41" s="18"/>
      <c r="I41" s="18"/>
      <c r="J41" s="18"/>
      <c r="K41" s="19"/>
    </row>
    <row r="42" spans="1:11">
      <c r="A42" s="25"/>
      <c r="B42" s="15"/>
      <c r="C42" s="15"/>
      <c r="E42" s="15"/>
      <c r="F42" s="17"/>
      <c r="G42" s="18"/>
      <c r="H42" s="18"/>
      <c r="I42" s="18"/>
      <c r="J42" s="18"/>
      <c r="K42" s="19"/>
    </row>
    <row r="43" spans="1:11">
      <c r="A43" s="25"/>
      <c r="B43" s="15"/>
      <c r="C43" s="15"/>
      <c r="E43" s="15"/>
      <c r="F43" s="17"/>
      <c r="G43" s="18"/>
      <c r="H43" s="18"/>
      <c r="I43" s="18"/>
      <c r="J43" s="18"/>
      <c r="K43" s="19"/>
    </row>
    <row r="44" spans="1:11">
      <c r="A44" s="25"/>
      <c r="B44" s="15"/>
      <c r="C44" s="15"/>
      <c r="E44" s="15"/>
      <c r="F44" s="17"/>
      <c r="G44" s="18"/>
      <c r="H44" s="18"/>
      <c r="I44" s="18"/>
      <c r="J44" s="18"/>
      <c r="K44" s="19"/>
    </row>
    <row r="45" spans="1:11">
      <c r="A45" s="25"/>
      <c r="B45" s="15"/>
      <c r="C45" s="15"/>
      <c r="E45" s="15"/>
      <c r="F45" s="17"/>
      <c r="G45" s="18"/>
      <c r="H45" s="18"/>
      <c r="I45" s="18"/>
      <c r="J45" s="18"/>
      <c r="K45" s="19"/>
    </row>
    <row r="46" spans="1:11">
      <c r="A46" s="25"/>
      <c r="B46" s="15"/>
      <c r="C46" s="15"/>
      <c r="E46" s="15"/>
      <c r="F46" s="17"/>
      <c r="G46" s="18"/>
      <c r="H46" s="18"/>
      <c r="I46" s="18"/>
      <c r="J46" s="18"/>
      <c r="K46" s="19"/>
    </row>
    <row r="47" spans="1:11">
      <c r="A47" s="25"/>
      <c r="B47" s="15"/>
      <c r="C47" s="15"/>
      <c r="E47" s="15"/>
      <c r="F47" s="17"/>
      <c r="G47" s="18"/>
      <c r="H47" s="18"/>
      <c r="I47" s="18"/>
      <c r="J47" s="18"/>
      <c r="K47" s="19"/>
    </row>
    <row r="48" spans="1:11">
      <c r="A48" s="25"/>
      <c r="B48" s="15"/>
      <c r="C48" s="15"/>
      <c r="E48" s="15"/>
      <c r="F48" s="17"/>
      <c r="G48" s="18"/>
      <c r="H48" s="18"/>
      <c r="I48" s="18"/>
      <c r="J48" s="18"/>
      <c r="K48" s="19"/>
    </row>
    <row r="49" spans="1:11">
      <c r="A49" s="25"/>
      <c r="B49" s="15"/>
      <c r="C49" s="15"/>
      <c r="E49" s="15"/>
      <c r="F49" s="17"/>
      <c r="G49" s="18"/>
      <c r="H49" s="18"/>
      <c r="I49" s="18"/>
      <c r="J49" s="18"/>
      <c r="K49" s="19"/>
    </row>
    <row r="50" spans="1:11">
      <c r="A50" s="25"/>
      <c r="B50" s="15"/>
      <c r="C50" s="15"/>
      <c r="E50" s="15"/>
      <c r="F50" s="17"/>
      <c r="G50" s="18"/>
      <c r="H50" s="18"/>
      <c r="I50" s="18"/>
      <c r="J50" s="18"/>
      <c r="K50" s="19"/>
    </row>
    <row r="51" spans="1:11">
      <c r="A51" s="25"/>
      <c r="B51" s="15"/>
      <c r="C51" s="15"/>
      <c r="E51" s="15"/>
      <c r="F51" s="17"/>
      <c r="G51" s="18"/>
      <c r="H51" s="18"/>
      <c r="I51" s="18"/>
      <c r="J51" s="18"/>
      <c r="K51" s="19"/>
    </row>
    <row r="52" spans="1:11">
      <c r="A52" s="25"/>
      <c r="B52" s="15"/>
      <c r="C52" s="15"/>
      <c r="E52" s="15"/>
      <c r="F52" s="17"/>
      <c r="G52" s="18"/>
      <c r="H52" s="18"/>
      <c r="I52" s="18"/>
      <c r="J52" s="18"/>
      <c r="K52" s="19"/>
    </row>
    <row r="53" spans="1:11">
      <c r="A53" s="25"/>
      <c r="B53" s="15"/>
      <c r="C53" s="15"/>
      <c r="E53" s="15"/>
      <c r="F53" s="17"/>
      <c r="G53" s="18"/>
      <c r="H53" s="18"/>
      <c r="I53" s="18"/>
      <c r="J53" s="18"/>
      <c r="K53" s="19"/>
    </row>
    <row r="54" spans="1:11">
      <c r="A54" s="25"/>
      <c r="B54" s="15"/>
      <c r="C54" s="15"/>
      <c r="E54" s="15"/>
      <c r="F54" s="17"/>
      <c r="G54" s="18"/>
      <c r="H54" s="18"/>
      <c r="I54" s="18"/>
      <c r="J54" s="18"/>
      <c r="K54" s="19"/>
    </row>
    <row r="55" spans="1:11">
      <c r="A55" s="25"/>
      <c r="B55" s="15"/>
      <c r="C55" s="15"/>
      <c r="E55" s="15"/>
      <c r="F55" s="17"/>
      <c r="G55" s="18"/>
      <c r="H55" s="18"/>
      <c r="I55" s="18"/>
      <c r="J55" s="18"/>
      <c r="K55" s="19"/>
    </row>
    <row r="56" spans="1:11">
      <c r="A56" s="25"/>
      <c r="B56" s="15"/>
      <c r="C56" s="15"/>
      <c r="E56" s="15"/>
      <c r="F56" s="17"/>
      <c r="G56" s="18"/>
      <c r="H56" s="18"/>
      <c r="I56" s="18"/>
      <c r="J56" s="18"/>
      <c r="K56" s="19"/>
    </row>
    <row r="57" spans="1:11">
      <c r="A57" s="25"/>
      <c r="B57" s="15"/>
      <c r="C57" s="15"/>
      <c r="E57" s="15"/>
      <c r="F57" s="17"/>
      <c r="G57" s="26"/>
      <c r="H57" s="26"/>
      <c r="I57" s="26"/>
      <c r="J57" s="26"/>
    </row>
    <row r="58" spans="1:11">
      <c r="A58" s="25"/>
      <c r="B58" s="15"/>
      <c r="C58" s="15"/>
      <c r="E58" s="15"/>
      <c r="F58" s="17"/>
      <c r="G58" s="26"/>
      <c r="H58" s="26"/>
      <c r="I58" s="26"/>
      <c r="J58" s="26"/>
    </row>
    <row r="59" spans="1:11">
      <c r="A59" s="25"/>
      <c r="B59" s="15"/>
      <c r="C59" s="15"/>
      <c r="E59" s="15"/>
      <c r="F59" s="17"/>
      <c r="G59" s="26"/>
      <c r="H59" s="26"/>
      <c r="I59" s="26"/>
      <c r="J59" s="26"/>
    </row>
    <row r="60" spans="1:11">
      <c r="A60" s="25"/>
      <c r="B60" s="15"/>
      <c r="C60" s="15"/>
      <c r="E60" s="15"/>
      <c r="F60" s="17"/>
      <c r="G60" s="26"/>
      <c r="H60" s="26"/>
      <c r="I60" s="26"/>
      <c r="J60" s="26"/>
    </row>
    <row r="61" spans="1:11">
      <c r="A61" s="25"/>
      <c r="B61" s="15"/>
      <c r="C61" s="15"/>
      <c r="E61" s="15"/>
      <c r="F61" s="17"/>
      <c r="G61" s="26"/>
      <c r="H61" s="26"/>
      <c r="I61" s="26"/>
      <c r="J61" s="26"/>
    </row>
    <row r="62" spans="1:11">
      <c r="A62" s="25"/>
      <c r="B62" s="15"/>
      <c r="C62" s="15"/>
      <c r="E62" s="15"/>
      <c r="F62" s="17"/>
      <c r="G62" s="26"/>
      <c r="H62" s="26"/>
      <c r="I62" s="26"/>
      <c r="J62" s="26"/>
    </row>
    <row r="63" spans="1:11">
      <c r="A63" s="25"/>
      <c r="B63" s="15"/>
      <c r="C63" s="15"/>
      <c r="E63" s="15"/>
      <c r="F63" s="17"/>
      <c r="G63" s="26"/>
      <c r="H63" s="26"/>
      <c r="I63" s="26"/>
      <c r="J63" s="26"/>
    </row>
    <row r="64" spans="1:11">
      <c r="A64" s="25"/>
      <c r="B64" s="15"/>
      <c r="C64" s="15"/>
      <c r="E64" s="15"/>
      <c r="F64" s="17"/>
      <c r="G64" s="26"/>
      <c r="H64" s="26"/>
      <c r="I64" s="26"/>
      <c r="J64" s="26"/>
    </row>
    <row r="65" spans="1:10">
      <c r="A65" s="25"/>
      <c r="B65" s="15"/>
      <c r="C65" s="15"/>
      <c r="E65" s="15"/>
      <c r="F65" s="17"/>
      <c r="G65" s="26"/>
      <c r="H65" s="26"/>
      <c r="I65" s="26"/>
      <c r="J65" s="26"/>
    </row>
    <row r="66" spans="1:10">
      <c r="A66" s="25"/>
      <c r="B66" s="15"/>
      <c r="C66" s="15"/>
      <c r="E66" s="15"/>
      <c r="F66" s="17"/>
      <c r="G66" s="26"/>
      <c r="H66" s="26"/>
      <c r="I66" s="26"/>
      <c r="J66" s="26"/>
    </row>
    <row r="67" spans="1:10">
      <c r="A67" s="25"/>
      <c r="B67" s="15"/>
      <c r="C67" s="15"/>
      <c r="E67" s="15"/>
      <c r="F67" s="17"/>
      <c r="G67" s="26"/>
      <c r="H67" s="26"/>
      <c r="I67" s="26"/>
      <c r="J67" s="26"/>
    </row>
    <row r="68" spans="1:10">
      <c r="A68" s="25"/>
      <c r="B68" s="15"/>
      <c r="C68" s="15"/>
      <c r="E68" s="15"/>
      <c r="F68" s="17"/>
      <c r="G68" s="26"/>
      <c r="H68" s="26"/>
      <c r="I68" s="26"/>
      <c r="J68" s="26"/>
    </row>
    <row r="69" spans="1:10">
      <c r="A69" s="25"/>
      <c r="B69" s="15"/>
      <c r="C69" s="15"/>
      <c r="E69" s="15"/>
      <c r="F69" s="17"/>
      <c r="G69" s="26"/>
      <c r="H69" s="26"/>
      <c r="I69" s="26"/>
      <c r="J69" s="26"/>
    </row>
    <row r="70" spans="1:10">
      <c r="A70" s="25"/>
      <c r="B70" s="15"/>
      <c r="C70" s="15"/>
      <c r="E70" s="15"/>
      <c r="F70" s="17"/>
      <c r="G70" s="26"/>
      <c r="H70" s="26"/>
      <c r="I70" s="26"/>
      <c r="J70" s="26"/>
    </row>
    <row r="71" spans="1:10">
      <c r="A71" s="25"/>
      <c r="B71" s="15"/>
      <c r="C71" s="15"/>
      <c r="E71" s="15"/>
      <c r="F71" s="17"/>
      <c r="G71" s="26"/>
      <c r="H71" s="26"/>
      <c r="I71" s="26"/>
      <c r="J71" s="26"/>
    </row>
    <row r="72" spans="1:10">
      <c r="A72" s="25"/>
      <c r="B72" s="15"/>
      <c r="C72" s="15"/>
      <c r="E72" s="15"/>
      <c r="F72" s="17"/>
      <c r="G72" s="26"/>
      <c r="H72" s="26"/>
      <c r="I72" s="26"/>
      <c r="J72" s="26"/>
    </row>
    <row r="73" spans="1:10">
      <c r="A73" s="25"/>
      <c r="B73" s="15"/>
      <c r="C73" s="15"/>
      <c r="E73" s="15"/>
      <c r="F73" s="17"/>
      <c r="G73" s="26"/>
      <c r="H73" s="26"/>
      <c r="I73" s="26"/>
      <c r="J73" s="26"/>
    </row>
    <row r="74" spans="1:10">
      <c r="A74" s="25"/>
      <c r="B74" s="15"/>
      <c r="C74" s="15"/>
      <c r="E74" s="15"/>
      <c r="F74" s="17"/>
      <c r="G74" s="26"/>
      <c r="H74" s="26"/>
      <c r="I74" s="26"/>
      <c r="J74" s="26"/>
    </row>
    <row r="75" spans="1:10">
      <c r="A75" s="25"/>
      <c r="B75" s="15"/>
      <c r="C75" s="15"/>
      <c r="E75" s="15"/>
      <c r="F75" s="17"/>
      <c r="G75" s="26"/>
      <c r="H75" s="26"/>
      <c r="I75" s="26"/>
      <c r="J75" s="26"/>
    </row>
    <row r="76" spans="1:10">
      <c r="A76" s="25"/>
      <c r="B76" s="15"/>
      <c r="C76" s="15"/>
      <c r="E76" s="15"/>
      <c r="F76" s="17"/>
      <c r="G76" s="26"/>
      <c r="H76" s="26"/>
      <c r="I76" s="26"/>
      <c r="J76" s="26"/>
    </row>
    <row r="77" spans="1:10">
      <c r="A77" s="25"/>
      <c r="B77" s="15"/>
      <c r="C77" s="15"/>
      <c r="E77" s="15"/>
      <c r="F77" s="17"/>
      <c r="G77" s="26"/>
      <c r="H77" s="26"/>
      <c r="I77" s="26"/>
      <c r="J77" s="26"/>
    </row>
    <row r="78" spans="1:10">
      <c r="A78" s="25"/>
      <c r="B78" s="15"/>
      <c r="C78" s="15"/>
      <c r="E78" s="15"/>
      <c r="F78" s="17"/>
      <c r="G78" s="26"/>
      <c r="H78" s="26"/>
      <c r="I78" s="26"/>
      <c r="J78" s="26"/>
    </row>
    <row r="79" spans="1:10">
      <c r="A79" s="25"/>
      <c r="B79" s="15"/>
      <c r="C79" s="15"/>
      <c r="E79" s="15"/>
      <c r="F79" s="17"/>
      <c r="G79" s="26"/>
      <c r="H79" s="26"/>
      <c r="I79" s="26"/>
      <c r="J79" s="26"/>
    </row>
    <row r="80" spans="1:10">
      <c r="A80" s="25"/>
      <c r="B80" s="15"/>
      <c r="C80" s="15"/>
      <c r="E80" s="15"/>
      <c r="F80" s="17"/>
      <c r="G80" s="26"/>
      <c r="H80" s="26"/>
      <c r="I80" s="26"/>
      <c r="J80" s="26"/>
    </row>
    <row r="81" spans="1:10">
      <c r="A81" s="25"/>
      <c r="B81" s="15"/>
      <c r="C81" s="15"/>
      <c r="E81" s="15"/>
      <c r="F81" s="17"/>
      <c r="G81" s="26"/>
      <c r="H81" s="26"/>
      <c r="I81" s="26"/>
      <c r="J81" s="26"/>
    </row>
    <row r="82" spans="1:10">
      <c r="A82" s="25"/>
      <c r="B82" s="15"/>
      <c r="C82" s="15"/>
      <c r="E82" s="15"/>
      <c r="F82" s="17"/>
      <c r="G82" s="26"/>
      <c r="H82" s="26"/>
      <c r="I82" s="26"/>
      <c r="J82" s="26"/>
    </row>
    <row r="83" spans="1:10">
      <c r="A83" s="25"/>
      <c r="B83" s="15"/>
      <c r="C83" s="15"/>
      <c r="E83" s="15"/>
      <c r="F83" s="17"/>
      <c r="G83" s="26"/>
      <c r="H83" s="26"/>
      <c r="I83" s="26"/>
      <c r="J83" s="26"/>
    </row>
    <row r="84" spans="1:10">
      <c r="A84" s="25"/>
      <c r="B84" s="15"/>
      <c r="C84" s="15"/>
      <c r="E84" s="15"/>
      <c r="F84" s="17"/>
      <c r="G84" s="26"/>
      <c r="H84" s="26"/>
      <c r="I84" s="26"/>
      <c r="J84" s="26"/>
    </row>
    <row r="85" spans="1:10">
      <c r="A85" s="25"/>
      <c r="B85" s="15"/>
      <c r="C85" s="15"/>
      <c r="E85" s="15"/>
      <c r="F85" s="17"/>
      <c r="G85" s="26"/>
      <c r="H85" s="26"/>
      <c r="I85" s="26"/>
      <c r="J85" s="26"/>
    </row>
    <row r="86" spans="1:10">
      <c r="A86" s="25"/>
      <c r="B86" s="15"/>
      <c r="C86" s="15"/>
      <c r="E86" s="15"/>
      <c r="F86" s="17"/>
      <c r="G86" s="26"/>
      <c r="H86" s="26"/>
      <c r="I86" s="26"/>
      <c r="J86" s="26"/>
    </row>
    <row r="87" spans="1:10">
      <c r="A87" s="25"/>
      <c r="B87" s="15"/>
      <c r="C87" s="15"/>
      <c r="E87" s="15"/>
      <c r="F87" s="17"/>
      <c r="G87" s="26"/>
      <c r="H87" s="26"/>
      <c r="I87" s="26"/>
      <c r="J87" s="26"/>
    </row>
    <row r="88" spans="1:10">
      <c r="A88" s="25"/>
      <c r="B88" s="15"/>
      <c r="C88" s="15"/>
      <c r="E88" s="15"/>
      <c r="F88" s="17"/>
      <c r="G88" s="26"/>
      <c r="H88" s="26"/>
      <c r="I88" s="26"/>
      <c r="J88" s="26"/>
    </row>
    <row r="89" spans="1:10">
      <c r="A89" s="25"/>
      <c r="B89" s="15"/>
      <c r="C89" s="15"/>
      <c r="E89" s="15"/>
      <c r="F89" s="17"/>
      <c r="G89" s="26"/>
      <c r="H89" s="26"/>
      <c r="I89" s="26"/>
      <c r="J89" s="26"/>
    </row>
    <row r="90" spans="1:10">
      <c r="A90" s="25"/>
      <c r="B90" s="15"/>
      <c r="C90" s="15"/>
      <c r="E90" s="15"/>
      <c r="F90" s="17"/>
      <c r="G90" s="26"/>
      <c r="H90" s="26"/>
      <c r="I90" s="26"/>
      <c r="J90" s="26"/>
    </row>
    <row r="91" spans="1:10">
      <c r="A91" s="25"/>
      <c r="B91" s="15"/>
      <c r="C91" s="15"/>
      <c r="E91" s="15"/>
      <c r="F91" s="17"/>
      <c r="G91" s="26"/>
      <c r="H91" s="26"/>
      <c r="I91" s="26"/>
      <c r="J91" s="26"/>
    </row>
    <row r="92" spans="1:10">
      <c r="A92" s="25"/>
      <c r="B92" s="15"/>
      <c r="C92" s="15"/>
      <c r="E92" s="15"/>
      <c r="F92" s="17"/>
      <c r="G92" s="26"/>
      <c r="H92" s="26"/>
      <c r="I92" s="26"/>
      <c r="J92" s="26"/>
    </row>
    <row r="93" spans="1:10">
      <c r="A93" s="25"/>
      <c r="B93" s="15"/>
      <c r="C93" s="15"/>
      <c r="E93" s="15"/>
      <c r="F93" s="17"/>
      <c r="G93" s="26"/>
      <c r="H93" s="26"/>
      <c r="I93" s="26"/>
      <c r="J93" s="26"/>
    </row>
    <row r="94" spans="1:10">
      <c r="A94" s="25"/>
      <c r="B94" s="15"/>
      <c r="C94" s="15"/>
      <c r="E94" s="15"/>
      <c r="F94" s="17"/>
      <c r="G94" s="26"/>
      <c r="H94" s="26"/>
      <c r="I94" s="26"/>
      <c r="J94" s="26"/>
    </row>
    <row r="95" spans="1:10">
      <c r="A95" s="25"/>
      <c r="B95" s="15"/>
      <c r="C95" s="15"/>
      <c r="E95" s="15"/>
      <c r="F95" s="17"/>
      <c r="G95" s="26"/>
      <c r="H95" s="26"/>
      <c r="I95" s="26"/>
      <c r="J95" s="26"/>
    </row>
    <row r="96" spans="1:10">
      <c r="A96" s="25"/>
      <c r="B96" s="15"/>
      <c r="C96" s="15"/>
      <c r="E96" s="15"/>
      <c r="F96" s="17"/>
      <c r="G96" s="26"/>
      <c r="H96" s="26"/>
      <c r="I96" s="26"/>
      <c r="J96" s="26"/>
    </row>
    <row r="97" spans="1:10">
      <c r="A97" s="25"/>
      <c r="B97" s="15"/>
      <c r="C97" s="15"/>
      <c r="E97" s="15"/>
      <c r="F97" s="17"/>
      <c r="G97" s="26"/>
      <c r="H97" s="26"/>
      <c r="I97" s="26"/>
      <c r="J97" s="26"/>
    </row>
    <row r="98" spans="1:10">
      <c r="A98" s="25"/>
      <c r="B98" s="15"/>
      <c r="C98" s="15"/>
      <c r="E98" s="15"/>
      <c r="F98" s="17"/>
      <c r="G98" s="26"/>
      <c r="H98" s="26"/>
      <c r="I98" s="26"/>
      <c r="J98" s="26"/>
    </row>
    <row r="99" spans="1:10">
      <c r="A99" s="25"/>
      <c r="B99" s="15"/>
      <c r="C99" s="15"/>
      <c r="E99" s="15"/>
      <c r="F99" s="17"/>
      <c r="G99" s="26"/>
      <c r="H99" s="26"/>
      <c r="I99" s="26"/>
      <c r="J99" s="26"/>
    </row>
    <row r="100" spans="1:10">
      <c r="A100" s="25"/>
      <c r="B100" s="15"/>
      <c r="C100" s="15"/>
      <c r="E100" s="15"/>
      <c r="F100" s="17"/>
      <c r="G100" s="26"/>
      <c r="H100" s="26"/>
      <c r="I100" s="26"/>
      <c r="J100" s="26"/>
    </row>
    <row r="101" spans="1:10">
      <c r="A101" s="25"/>
      <c r="B101" s="15"/>
      <c r="C101" s="15"/>
      <c r="E101" s="15"/>
      <c r="F101" s="17"/>
      <c r="G101" s="26"/>
      <c r="H101" s="26"/>
      <c r="I101" s="26"/>
      <c r="J101" s="26"/>
    </row>
    <row r="102" spans="1:10">
      <c r="A102" s="25"/>
      <c r="B102" s="15"/>
      <c r="C102" s="15"/>
      <c r="E102" s="15"/>
      <c r="F102" s="17"/>
      <c r="G102" s="26"/>
      <c r="H102" s="26"/>
      <c r="I102" s="26"/>
      <c r="J102" s="26"/>
    </row>
    <row r="103" spans="1:10">
      <c r="A103" s="25"/>
      <c r="B103" s="15"/>
      <c r="C103" s="15"/>
      <c r="E103" s="15"/>
      <c r="F103" s="17"/>
      <c r="G103" s="26"/>
      <c r="H103" s="26"/>
      <c r="I103" s="26"/>
      <c r="J103" s="26"/>
    </row>
    <row r="104" spans="1:10">
      <c r="A104" s="25"/>
      <c r="B104" s="15"/>
      <c r="C104" s="15"/>
      <c r="E104" s="15"/>
      <c r="F104" s="17"/>
      <c r="G104" s="26"/>
      <c r="H104" s="26"/>
      <c r="I104" s="26"/>
      <c r="J104" s="26"/>
    </row>
    <row r="105" spans="1:10">
      <c r="A105" s="25"/>
      <c r="B105" s="15"/>
      <c r="C105" s="15"/>
      <c r="E105" s="15"/>
      <c r="F105" s="17"/>
      <c r="G105" s="26"/>
      <c r="H105" s="26"/>
      <c r="I105" s="26"/>
      <c r="J105" s="26"/>
    </row>
    <row r="106" spans="1:10">
      <c r="A106" s="25"/>
      <c r="B106" s="15"/>
      <c r="C106" s="15"/>
      <c r="E106" s="15"/>
      <c r="F106" s="17"/>
      <c r="G106" s="26"/>
      <c r="H106" s="26"/>
      <c r="I106" s="26"/>
      <c r="J106" s="26"/>
    </row>
    <row r="107" spans="1:10">
      <c r="A107" s="25"/>
      <c r="B107" s="15"/>
      <c r="C107" s="15"/>
      <c r="E107" s="15"/>
      <c r="F107" s="17"/>
      <c r="G107" s="26"/>
      <c r="H107" s="26"/>
      <c r="I107" s="26"/>
      <c r="J107" s="26"/>
    </row>
    <row r="108" spans="1:10">
      <c r="A108" s="25"/>
      <c r="B108" s="15"/>
      <c r="C108" s="15"/>
      <c r="E108" s="15"/>
      <c r="F108" s="17"/>
      <c r="G108" s="26"/>
      <c r="H108" s="26"/>
      <c r="I108" s="26"/>
      <c r="J108" s="26"/>
    </row>
    <row r="109" spans="1:10">
      <c r="A109" s="25"/>
      <c r="B109" s="15"/>
      <c r="C109" s="15"/>
      <c r="E109" s="15"/>
      <c r="F109" s="17"/>
      <c r="G109" s="26"/>
      <c r="H109" s="26"/>
      <c r="I109" s="26"/>
      <c r="J109" s="26"/>
    </row>
    <row r="110" spans="1:10">
      <c r="A110" s="25"/>
      <c r="B110" s="15"/>
      <c r="C110" s="15"/>
      <c r="E110" s="15"/>
      <c r="F110" s="17"/>
      <c r="G110" s="26"/>
      <c r="H110" s="26"/>
      <c r="I110" s="26"/>
      <c r="J110" s="26"/>
    </row>
    <row r="111" spans="1:10">
      <c r="A111" s="25"/>
      <c r="B111" s="15"/>
      <c r="C111" s="15"/>
      <c r="E111" s="15"/>
      <c r="F111" s="17"/>
      <c r="G111" s="26"/>
      <c r="H111" s="26"/>
      <c r="I111" s="26"/>
      <c r="J111" s="26"/>
    </row>
    <row r="112" spans="1:10">
      <c r="A112" s="25"/>
      <c r="B112" s="15"/>
      <c r="C112" s="15"/>
      <c r="E112" s="15"/>
      <c r="F112" s="17"/>
      <c r="G112" s="26"/>
      <c r="H112" s="26"/>
      <c r="I112" s="26"/>
      <c r="J112" s="26"/>
    </row>
    <row r="113" spans="1:10">
      <c r="A113" s="25"/>
      <c r="B113" s="15"/>
      <c r="C113" s="15"/>
      <c r="E113" s="15"/>
      <c r="F113" s="17"/>
      <c r="G113" s="26"/>
      <c r="H113" s="26"/>
      <c r="I113" s="26"/>
      <c r="J113" s="26"/>
    </row>
    <row r="114" spans="1:10">
      <c r="A114" s="25"/>
      <c r="B114" s="15"/>
      <c r="C114" s="15"/>
      <c r="E114" s="15"/>
      <c r="F114" s="17"/>
      <c r="G114" s="26"/>
      <c r="H114" s="26"/>
      <c r="I114" s="26"/>
      <c r="J114" s="26"/>
    </row>
    <row r="115" spans="1:10">
      <c r="A115" s="25"/>
      <c r="B115" s="15"/>
      <c r="C115" s="15"/>
      <c r="E115" s="15"/>
      <c r="F115" s="17"/>
      <c r="G115" s="26"/>
      <c r="H115" s="26"/>
      <c r="I115" s="26"/>
      <c r="J115" s="26"/>
    </row>
    <row r="116" spans="1:10">
      <c r="A116" s="25"/>
      <c r="B116" s="15"/>
      <c r="C116" s="15"/>
      <c r="E116" s="15"/>
      <c r="F116" s="17"/>
      <c r="G116" s="26"/>
      <c r="H116" s="26"/>
      <c r="I116" s="26"/>
      <c r="J116" s="26"/>
    </row>
    <row r="117" spans="1:10">
      <c r="A117" s="25"/>
      <c r="B117" s="15"/>
      <c r="C117" s="15"/>
      <c r="E117" s="15"/>
      <c r="F117" s="17"/>
      <c r="G117" s="26"/>
      <c r="H117" s="26"/>
      <c r="I117" s="26"/>
      <c r="J117" s="26"/>
    </row>
    <row r="118" spans="1:10">
      <c r="A118" s="25"/>
      <c r="B118" s="15"/>
      <c r="C118" s="15"/>
      <c r="E118" s="15"/>
      <c r="F118" s="17"/>
      <c r="G118" s="26"/>
      <c r="H118" s="26"/>
      <c r="I118" s="26"/>
      <c r="J118" s="26"/>
    </row>
    <row r="119" spans="1:10">
      <c r="A119" s="25"/>
      <c r="B119" s="15"/>
      <c r="C119" s="15"/>
      <c r="E119" s="15"/>
      <c r="F119" s="17"/>
      <c r="G119" s="26"/>
      <c r="H119" s="26"/>
      <c r="I119" s="26"/>
      <c r="J119" s="26"/>
    </row>
    <row r="120" spans="1:10">
      <c r="A120" s="25"/>
      <c r="B120" s="15"/>
      <c r="C120" s="15"/>
      <c r="E120" s="15"/>
      <c r="F120" s="17"/>
      <c r="G120" s="26"/>
      <c r="H120" s="26"/>
      <c r="I120" s="26"/>
      <c r="J120" s="26"/>
    </row>
    <row r="121" spans="1:10">
      <c r="A121" s="25"/>
      <c r="B121" s="15"/>
      <c r="C121" s="15"/>
      <c r="E121" s="15"/>
      <c r="F121" s="17"/>
      <c r="G121" s="26"/>
      <c r="H121" s="26"/>
      <c r="I121" s="26"/>
      <c r="J121" s="26"/>
    </row>
    <row r="122" spans="1:10">
      <c r="A122" s="25"/>
      <c r="B122" s="15"/>
      <c r="C122" s="15"/>
      <c r="E122" s="15"/>
      <c r="F122" s="17"/>
      <c r="G122" s="26"/>
      <c r="H122" s="26"/>
      <c r="I122" s="26"/>
      <c r="J122" s="26"/>
    </row>
    <row r="123" spans="1:10">
      <c r="A123" s="25"/>
      <c r="B123" s="15"/>
      <c r="C123" s="15"/>
      <c r="E123" s="15"/>
      <c r="F123" s="17"/>
      <c r="G123" s="26"/>
      <c r="H123" s="26"/>
      <c r="I123" s="26"/>
      <c r="J123" s="26"/>
    </row>
    <row r="124" spans="1:10">
      <c r="A124" s="25"/>
      <c r="B124" s="15"/>
      <c r="C124" s="15"/>
      <c r="E124" s="15"/>
      <c r="F124" s="17"/>
      <c r="G124" s="26"/>
      <c r="H124" s="26"/>
      <c r="I124" s="26"/>
      <c r="J124" s="26"/>
    </row>
    <row r="125" spans="1:10">
      <c r="A125" s="25"/>
      <c r="B125" s="15"/>
      <c r="C125" s="15"/>
      <c r="E125" s="15"/>
      <c r="F125" s="17"/>
      <c r="G125" s="26"/>
      <c r="H125" s="26"/>
      <c r="I125" s="26"/>
      <c r="J125" s="26"/>
    </row>
    <row r="126" spans="1:10">
      <c r="A126" s="25"/>
      <c r="B126" s="15"/>
      <c r="C126" s="15"/>
      <c r="E126" s="15"/>
      <c r="F126" s="17"/>
      <c r="G126" s="26"/>
      <c r="H126" s="26"/>
      <c r="I126" s="26"/>
      <c r="J126" s="26"/>
    </row>
    <row r="127" spans="1:10">
      <c r="A127" s="25"/>
      <c r="B127" s="15"/>
      <c r="C127" s="15"/>
      <c r="E127" s="15"/>
      <c r="F127" s="17"/>
      <c r="G127" s="26"/>
      <c r="H127" s="26"/>
      <c r="I127" s="26"/>
      <c r="J127" s="26"/>
    </row>
    <row r="128" spans="1:10">
      <c r="A128" s="25"/>
      <c r="B128" s="15"/>
      <c r="C128" s="15"/>
      <c r="E128" s="15"/>
      <c r="F128" s="17"/>
      <c r="G128" s="26"/>
      <c r="H128" s="26"/>
      <c r="I128" s="26"/>
      <c r="J128" s="26"/>
    </row>
    <row r="129" spans="1:10">
      <c r="A129" s="25"/>
      <c r="B129" s="15"/>
      <c r="C129" s="15"/>
      <c r="E129" s="15"/>
      <c r="F129" s="17"/>
      <c r="G129" s="26"/>
      <c r="H129" s="26"/>
      <c r="I129" s="26"/>
      <c r="J129" s="26"/>
    </row>
    <row r="130" spans="1:10">
      <c r="A130" s="25"/>
      <c r="B130" s="15"/>
      <c r="C130" s="15"/>
      <c r="E130" s="15"/>
      <c r="F130" s="17"/>
      <c r="G130" s="26"/>
      <c r="H130" s="26"/>
      <c r="I130" s="26"/>
      <c r="J130" s="26"/>
    </row>
    <row r="131" spans="1:10">
      <c r="A131" s="25"/>
      <c r="B131" s="15"/>
      <c r="C131" s="15"/>
      <c r="E131" s="15"/>
      <c r="F131" s="17"/>
      <c r="G131" s="26"/>
      <c r="H131" s="26"/>
      <c r="I131" s="26"/>
      <c r="J131" s="26"/>
    </row>
    <row r="132" spans="1:10">
      <c r="A132" s="25"/>
      <c r="B132" s="15"/>
      <c r="C132" s="15"/>
      <c r="E132" s="15"/>
      <c r="F132" s="17"/>
      <c r="G132" s="26"/>
      <c r="H132" s="26"/>
      <c r="I132" s="26"/>
      <c r="J132" s="26"/>
    </row>
    <row r="133" spans="1:10">
      <c r="A133" s="25"/>
      <c r="B133" s="15"/>
      <c r="C133" s="15"/>
      <c r="E133" s="15"/>
      <c r="F133" s="17"/>
      <c r="G133" s="26"/>
      <c r="H133" s="26"/>
      <c r="I133" s="26"/>
      <c r="J133" s="26"/>
    </row>
    <row r="134" spans="1:10">
      <c r="A134" s="25"/>
      <c r="B134" s="15"/>
      <c r="C134" s="15"/>
      <c r="E134" s="15"/>
      <c r="F134" s="17"/>
      <c r="G134" s="26"/>
      <c r="H134" s="26"/>
      <c r="I134" s="26"/>
      <c r="J134" s="26"/>
    </row>
    <row r="135" spans="1:10">
      <c r="A135" s="25"/>
      <c r="B135" s="15"/>
      <c r="C135" s="15"/>
      <c r="E135" s="15"/>
      <c r="F135" s="17"/>
      <c r="G135" s="26"/>
      <c r="H135" s="26"/>
      <c r="I135" s="26"/>
      <c r="J135" s="26"/>
    </row>
    <row r="136" spans="1:10">
      <c r="A136" s="25"/>
      <c r="B136" s="15"/>
      <c r="C136" s="15"/>
      <c r="E136" s="15"/>
      <c r="F136" s="17"/>
      <c r="G136" s="26"/>
      <c r="H136" s="26"/>
      <c r="I136" s="26"/>
      <c r="J136" s="26"/>
    </row>
    <row r="137" spans="1:10">
      <c r="A137" s="25"/>
      <c r="B137" s="15"/>
      <c r="C137" s="15"/>
      <c r="E137" s="15"/>
      <c r="F137" s="17"/>
      <c r="G137" s="26"/>
      <c r="H137" s="26"/>
      <c r="I137" s="26"/>
      <c r="J137" s="26"/>
    </row>
    <row r="138" spans="1:10">
      <c r="A138" s="25"/>
      <c r="B138" s="15"/>
      <c r="C138" s="15"/>
      <c r="E138" s="15"/>
      <c r="F138" s="17"/>
      <c r="G138" s="26"/>
      <c r="H138" s="26"/>
      <c r="I138" s="26"/>
      <c r="J138" s="26"/>
    </row>
    <row r="139" spans="1:10">
      <c r="A139" s="25"/>
      <c r="B139" s="15"/>
      <c r="C139" s="15"/>
      <c r="E139" s="15"/>
      <c r="F139" s="17"/>
      <c r="G139" s="26"/>
      <c r="H139" s="26"/>
      <c r="I139" s="26"/>
      <c r="J139" s="26"/>
    </row>
    <row r="140" spans="1:10">
      <c r="A140" s="25"/>
      <c r="B140" s="15"/>
      <c r="C140" s="15"/>
      <c r="E140" s="15"/>
      <c r="F140" s="17"/>
      <c r="G140" s="26"/>
      <c r="H140" s="26"/>
      <c r="I140" s="26"/>
      <c r="J140" s="26"/>
    </row>
    <row r="141" spans="1:10">
      <c r="A141" s="25"/>
      <c r="B141" s="15"/>
      <c r="C141" s="15"/>
      <c r="E141" s="15"/>
      <c r="F141" s="17"/>
      <c r="G141" s="26"/>
      <c r="H141" s="26"/>
      <c r="I141" s="26"/>
      <c r="J141" s="26"/>
    </row>
    <row r="142" spans="1:10">
      <c r="A142" s="25"/>
      <c r="B142" s="15"/>
      <c r="C142" s="15"/>
      <c r="E142" s="15"/>
      <c r="F142" s="17"/>
      <c r="G142" s="26"/>
      <c r="H142" s="26"/>
      <c r="I142" s="26"/>
      <c r="J142" s="26"/>
    </row>
    <row r="143" spans="1:10">
      <c r="A143" s="25"/>
      <c r="B143" s="15"/>
      <c r="C143" s="15"/>
      <c r="E143" s="15"/>
      <c r="F143" s="17"/>
      <c r="G143" s="26"/>
      <c r="H143" s="26"/>
      <c r="I143" s="26"/>
      <c r="J143" s="26"/>
    </row>
    <row r="144" spans="1:10">
      <c r="A144" s="25"/>
      <c r="B144" s="15"/>
      <c r="C144" s="15"/>
      <c r="E144" s="15"/>
      <c r="F144" s="17"/>
      <c r="G144" s="26"/>
      <c r="H144" s="26"/>
      <c r="I144" s="26"/>
      <c r="J144" s="26"/>
    </row>
    <row r="145" spans="1:10">
      <c r="A145" s="25"/>
      <c r="B145" s="15"/>
      <c r="C145" s="15"/>
      <c r="E145" s="15"/>
      <c r="F145" s="17"/>
      <c r="G145" s="26"/>
      <c r="H145" s="26"/>
      <c r="I145" s="26"/>
      <c r="J145" s="26"/>
    </row>
    <row r="146" spans="1:10">
      <c r="A146" s="25"/>
      <c r="B146" s="15"/>
      <c r="C146" s="15"/>
      <c r="E146" s="15"/>
      <c r="F146" s="17"/>
      <c r="G146" s="26"/>
      <c r="H146" s="26"/>
      <c r="I146" s="26"/>
      <c r="J146" s="26"/>
    </row>
    <row r="147" spans="1:10">
      <c r="A147" s="25"/>
      <c r="B147" s="15"/>
      <c r="C147" s="15"/>
      <c r="E147" s="15"/>
      <c r="F147" s="17"/>
      <c r="G147" s="26"/>
      <c r="H147" s="26"/>
      <c r="I147" s="26"/>
      <c r="J147" s="26"/>
    </row>
    <row r="148" spans="1:10">
      <c r="A148" s="25"/>
      <c r="B148" s="15"/>
      <c r="C148" s="15"/>
      <c r="E148" s="15"/>
      <c r="F148" s="17"/>
      <c r="G148" s="26"/>
      <c r="H148" s="26"/>
      <c r="I148" s="26"/>
      <c r="J148" s="26"/>
    </row>
    <row r="149" spans="1:10">
      <c r="A149" s="25"/>
      <c r="B149" s="15"/>
      <c r="C149" s="15"/>
      <c r="E149" s="15"/>
      <c r="F149" s="17"/>
      <c r="G149" s="26"/>
      <c r="H149" s="26"/>
      <c r="I149" s="26"/>
      <c r="J149" s="26"/>
    </row>
    <row r="150" spans="1:10">
      <c r="A150" s="25"/>
      <c r="B150" s="15"/>
      <c r="C150" s="15"/>
      <c r="E150" s="15"/>
      <c r="F150" s="17"/>
      <c r="G150" s="26"/>
      <c r="H150" s="26"/>
      <c r="I150" s="26"/>
      <c r="J150" s="26"/>
    </row>
    <row r="151" spans="1:10">
      <c r="A151" s="25"/>
      <c r="B151" s="15"/>
      <c r="C151" s="15"/>
      <c r="E151" s="15"/>
      <c r="F151" s="17"/>
      <c r="G151" s="26"/>
      <c r="H151" s="26"/>
      <c r="I151" s="26"/>
      <c r="J151" s="26"/>
    </row>
    <row r="152" spans="1:10">
      <c r="A152" s="25"/>
      <c r="B152" s="15"/>
      <c r="C152" s="15"/>
      <c r="E152" s="15"/>
      <c r="F152" s="17"/>
      <c r="G152" s="26"/>
      <c r="H152" s="26"/>
      <c r="I152" s="26"/>
      <c r="J152" s="26"/>
    </row>
    <row r="153" spans="1:10">
      <c r="A153" s="25"/>
      <c r="B153" s="15"/>
      <c r="C153" s="15"/>
      <c r="E153" s="15"/>
      <c r="F153" s="17"/>
      <c r="G153" s="26"/>
      <c r="H153" s="26"/>
      <c r="I153" s="26"/>
      <c r="J153" s="26"/>
    </row>
    <row r="154" spans="1:10">
      <c r="A154" s="25"/>
      <c r="B154" s="15"/>
      <c r="C154" s="15"/>
      <c r="E154" s="15"/>
      <c r="F154" s="17"/>
      <c r="G154" s="26"/>
      <c r="H154" s="26"/>
      <c r="I154" s="26"/>
      <c r="J154" s="26"/>
    </row>
    <row r="155" spans="1:10">
      <c r="A155" s="25"/>
      <c r="B155" s="15"/>
      <c r="C155" s="15"/>
      <c r="E155" s="15"/>
      <c r="F155" s="17"/>
      <c r="G155" s="26"/>
      <c r="H155" s="26"/>
      <c r="I155" s="26"/>
      <c r="J155" s="26"/>
    </row>
    <row r="156" spans="1:10">
      <c r="A156" s="25"/>
      <c r="B156" s="15"/>
      <c r="C156" s="15"/>
      <c r="E156" s="15"/>
      <c r="F156" s="17"/>
      <c r="G156" s="26"/>
      <c r="H156" s="26"/>
      <c r="I156" s="26"/>
      <c r="J156" s="26"/>
    </row>
    <row r="157" spans="1:10">
      <c r="A157" s="25"/>
      <c r="B157" s="15"/>
      <c r="C157" s="15"/>
      <c r="E157" s="15"/>
      <c r="F157" s="17"/>
      <c r="G157" s="26"/>
      <c r="H157" s="26"/>
      <c r="I157" s="26"/>
      <c r="J157" s="26"/>
    </row>
    <row r="158" spans="1:10">
      <c r="A158" s="25"/>
      <c r="B158" s="15"/>
      <c r="C158" s="15"/>
      <c r="E158" s="15"/>
      <c r="F158" s="17"/>
      <c r="G158" s="26"/>
      <c r="H158" s="26"/>
      <c r="I158" s="26"/>
      <c r="J158" s="26"/>
    </row>
    <row r="159" spans="1:10">
      <c r="A159" s="25"/>
      <c r="B159" s="15"/>
      <c r="C159" s="15"/>
      <c r="E159" s="15"/>
      <c r="F159" s="17"/>
      <c r="G159" s="26"/>
      <c r="H159" s="26"/>
      <c r="I159" s="26"/>
      <c r="J159" s="26"/>
    </row>
    <row r="160" spans="1:10">
      <c r="A160" s="25"/>
      <c r="B160" s="15"/>
      <c r="C160" s="15"/>
      <c r="E160" s="15"/>
      <c r="F160" s="17"/>
      <c r="G160" s="26"/>
      <c r="H160" s="26"/>
      <c r="I160" s="26"/>
      <c r="J160" s="26"/>
    </row>
    <row r="161" spans="1:10">
      <c r="A161" s="25"/>
      <c r="B161" s="15"/>
      <c r="C161" s="15"/>
      <c r="E161" s="15"/>
      <c r="F161" s="17"/>
      <c r="G161" s="26"/>
      <c r="H161" s="26"/>
      <c r="I161" s="26"/>
      <c r="J161" s="26"/>
    </row>
    <row r="162" spans="1:10">
      <c r="A162" s="25"/>
      <c r="B162" s="15"/>
      <c r="C162" s="15"/>
      <c r="E162" s="15"/>
      <c r="F162" s="17"/>
      <c r="G162" s="26"/>
      <c r="H162" s="26"/>
      <c r="I162" s="26"/>
      <c r="J162" s="26"/>
    </row>
    <row r="163" spans="1:10">
      <c r="A163" s="25"/>
      <c r="B163" s="15"/>
      <c r="C163" s="15"/>
      <c r="E163" s="15"/>
      <c r="F163" s="17"/>
      <c r="G163" s="26"/>
      <c r="H163" s="26"/>
      <c r="I163" s="26"/>
      <c r="J163" s="26"/>
    </row>
    <row r="164" spans="1:10">
      <c r="A164" s="25"/>
      <c r="B164" s="15"/>
      <c r="C164" s="15"/>
      <c r="E164" s="15"/>
      <c r="F164" s="17"/>
      <c r="G164" s="26"/>
      <c r="H164" s="26"/>
      <c r="I164" s="26"/>
      <c r="J164" s="26"/>
    </row>
    <row r="165" spans="1:10">
      <c r="A165" s="25"/>
      <c r="B165" s="15"/>
      <c r="C165" s="15"/>
      <c r="E165" s="15"/>
      <c r="F165" s="17"/>
      <c r="G165" s="26"/>
      <c r="H165" s="26"/>
      <c r="I165" s="26"/>
      <c r="J165" s="26"/>
    </row>
    <row r="166" spans="1:10">
      <c r="A166" s="25"/>
      <c r="B166" s="15"/>
      <c r="C166" s="15"/>
      <c r="E166" s="15"/>
      <c r="F166" s="17"/>
      <c r="G166" s="26"/>
      <c r="H166" s="26"/>
      <c r="I166" s="26"/>
      <c r="J166" s="26"/>
    </row>
    <row r="167" spans="1:10">
      <c r="A167" s="25"/>
      <c r="B167" s="15"/>
      <c r="C167" s="15"/>
      <c r="E167" s="15"/>
      <c r="F167" s="17"/>
      <c r="G167" s="26"/>
      <c r="H167" s="26"/>
      <c r="I167" s="26"/>
      <c r="J167" s="26"/>
    </row>
    <row r="168" spans="1:10">
      <c r="A168" s="25"/>
      <c r="B168" s="15"/>
      <c r="C168" s="15"/>
      <c r="E168" s="15"/>
      <c r="F168" s="17"/>
      <c r="G168" s="26"/>
      <c r="H168" s="26"/>
      <c r="I168" s="26"/>
      <c r="J168" s="26"/>
    </row>
    <row r="169" spans="1:10">
      <c r="A169" s="25"/>
      <c r="B169" s="15"/>
      <c r="C169" s="15"/>
      <c r="E169" s="15"/>
      <c r="F169" s="17"/>
      <c r="G169" s="26"/>
      <c r="H169" s="26"/>
      <c r="I169" s="26"/>
      <c r="J169" s="26"/>
    </row>
    <row r="170" spans="1:10">
      <c r="A170" s="25"/>
      <c r="B170" s="15"/>
      <c r="C170" s="15"/>
      <c r="E170" s="15"/>
      <c r="F170" s="17"/>
      <c r="G170" s="26"/>
      <c r="H170" s="26"/>
      <c r="I170" s="26"/>
      <c r="J170" s="26"/>
    </row>
    <row r="171" spans="1:10">
      <c r="A171" s="25"/>
      <c r="B171" s="15"/>
      <c r="C171" s="15"/>
      <c r="E171" s="15"/>
      <c r="F171" s="17"/>
      <c r="G171" s="26"/>
      <c r="H171" s="26"/>
      <c r="I171" s="26"/>
      <c r="J171" s="26"/>
    </row>
    <row r="172" spans="1:10">
      <c r="A172" s="25"/>
      <c r="B172" s="15"/>
      <c r="C172" s="15"/>
      <c r="E172" s="15"/>
      <c r="F172" s="17"/>
      <c r="G172" s="26"/>
      <c r="H172" s="26"/>
      <c r="I172" s="26"/>
      <c r="J172" s="26"/>
    </row>
    <row r="173" spans="1:10">
      <c r="A173" s="25"/>
      <c r="B173" s="15"/>
      <c r="C173" s="15"/>
      <c r="E173" s="15"/>
      <c r="F173" s="17"/>
      <c r="G173" s="26"/>
      <c r="H173" s="26"/>
      <c r="I173" s="26"/>
      <c r="J173" s="26"/>
    </row>
    <row r="174" spans="1:10">
      <c r="A174" s="25"/>
      <c r="B174" s="15"/>
      <c r="C174" s="15"/>
      <c r="E174" s="15"/>
      <c r="F174" s="17"/>
      <c r="G174" s="26"/>
      <c r="H174" s="26"/>
      <c r="I174" s="26"/>
      <c r="J174" s="26"/>
    </row>
    <row r="175" spans="1:10">
      <c r="A175" s="25"/>
      <c r="B175" s="15"/>
      <c r="C175" s="15"/>
      <c r="E175" s="15"/>
      <c r="F175" s="17"/>
      <c r="G175" s="26"/>
      <c r="H175" s="26"/>
      <c r="I175" s="26"/>
      <c r="J175" s="26"/>
    </row>
    <row r="176" spans="1:10">
      <c r="A176" s="25"/>
      <c r="B176" s="15"/>
      <c r="C176" s="15"/>
      <c r="E176" s="15"/>
      <c r="F176" s="17"/>
      <c r="G176" s="26"/>
      <c r="H176" s="26"/>
      <c r="I176" s="26"/>
      <c r="J176" s="26"/>
    </row>
    <row r="177" spans="1:10">
      <c r="A177" s="25"/>
      <c r="B177" s="15"/>
      <c r="C177" s="15"/>
      <c r="E177" s="15"/>
      <c r="F177" s="17"/>
      <c r="G177" s="26"/>
      <c r="H177" s="26"/>
      <c r="I177" s="26"/>
      <c r="J177" s="26"/>
    </row>
    <row r="178" spans="1:10">
      <c r="A178" s="25"/>
      <c r="B178" s="15"/>
      <c r="C178" s="15"/>
      <c r="E178" s="15"/>
      <c r="F178" s="17"/>
      <c r="G178" s="26"/>
      <c r="H178" s="26"/>
      <c r="I178" s="26"/>
      <c r="J178" s="26"/>
    </row>
    <row r="179" spans="1:10">
      <c r="A179" s="25"/>
      <c r="B179" s="15"/>
      <c r="C179" s="15"/>
      <c r="E179" s="15"/>
      <c r="F179" s="17"/>
      <c r="G179" s="26"/>
      <c r="H179" s="26"/>
      <c r="I179" s="26"/>
      <c r="J179" s="26"/>
    </row>
    <row r="180" spans="1:10">
      <c r="A180" s="25"/>
      <c r="B180" s="15"/>
      <c r="C180" s="15"/>
      <c r="E180" s="15"/>
      <c r="F180" s="17"/>
      <c r="G180" s="26"/>
      <c r="H180" s="26"/>
      <c r="I180" s="26"/>
      <c r="J180" s="26"/>
    </row>
    <row r="181" spans="1:10">
      <c r="A181" s="25"/>
      <c r="B181" s="15"/>
      <c r="C181" s="15"/>
      <c r="E181" s="15"/>
      <c r="F181" s="17"/>
      <c r="G181" s="26"/>
      <c r="H181" s="26"/>
      <c r="I181" s="26"/>
      <c r="J181" s="26"/>
    </row>
    <row r="182" spans="1:10">
      <c r="A182" s="25"/>
      <c r="B182" s="15"/>
      <c r="C182" s="15"/>
      <c r="E182" s="15"/>
      <c r="F182" s="17"/>
      <c r="G182" s="26"/>
      <c r="H182" s="26"/>
      <c r="I182" s="26"/>
      <c r="J182" s="26"/>
    </row>
    <row r="183" spans="1:10">
      <c r="A183" s="25"/>
      <c r="B183" s="15"/>
      <c r="C183" s="15"/>
      <c r="E183" s="15"/>
      <c r="F183" s="17"/>
      <c r="G183" s="26"/>
      <c r="H183" s="26"/>
      <c r="I183" s="26"/>
      <c r="J183" s="26"/>
    </row>
    <row r="184" spans="1:10">
      <c r="A184" s="25"/>
      <c r="B184" s="15"/>
      <c r="C184" s="15"/>
      <c r="E184" s="15"/>
      <c r="F184" s="17"/>
      <c r="G184" s="26"/>
      <c r="H184" s="26"/>
      <c r="I184" s="26"/>
      <c r="J184" s="26"/>
    </row>
    <row r="185" spans="1:10">
      <c r="A185" s="25"/>
      <c r="B185" s="15"/>
      <c r="C185" s="15"/>
      <c r="E185" s="15"/>
      <c r="F185" s="17"/>
      <c r="G185" s="26"/>
      <c r="H185" s="26"/>
      <c r="I185" s="26"/>
      <c r="J185" s="26"/>
    </row>
    <row r="186" spans="1:10">
      <c r="A186" s="25"/>
      <c r="B186" s="15"/>
      <c r="C186" s="15"/>
      <c r="E186" s="15"/>
      <c r="F186" s="17"/>
      <c r="G186" s="26"/>
      <c r="H186" s="26"/>
      <c r="I186" s="26"/>
      <c r="J186" s="26"/>
    </row>
    <row r="187" spans="1:10">
      <c r="A187" s="25"/>
      <c r="B187" s="15"/>
      <c r="C187" s="15"/>
      <c r="E187" s="15"/>
      <c r="F187" s="17"/>
      <c r="G187" s="26"/>
      <c r="H187" s="26"/>
      <c r="I187" s="26"/>
      <c r="J187" s="26"/>
    </row>
    <row r="188" spans="1:10">
      <c r="A188" s="25"/>
      <c r="B188" s="15"/>
      <c r="C188" s="15"/>
      <c r="E188" s="15"/>
      <c r="F188" s="17"/>
      <c r="G188" s="26"/>
      <c r="H188" s="26"/>
      <c r="I188" s="26"/>
      <c r="J188" s="26"/>
    </row>
    <row r="189" spans="1:10">
      <c r="A189" s="25"/>
      <c r="B189" s="15"/>
      <c r="C189" s="15"/>
      <c r="E189" s="15"/>
      <c r="F189" s="17"/>
      <c r="G189" s="26"/>
      <c r="H189" s="26"/>
      <c r="I189" s="26"/>
      <c r="J189" s="26"/>
    </row>
    <row r="190" spans="1:10">
      <c r="A190" s="25"/>
      <c r="B190" s="15"/>
      <c r="C190" s="15"/>
      <c r="E190" s="15"/>
      <c r="F190" s="17"/>
      <c r="G190" s="26"/>
      <c r="H190" s="26"/>
      <c r="I190" s="26"/>
      <c r="J190" s="26"/>
    </row>
    <row r="191" spans="1:10">
      <c r="A191" s="25"/>
      <c r="B191" s="15"/>
      <c r="C191" s="15"/>
      <c r="E191" s="15"/>
      <c r="F191" s="17"/>
      <c r="G191" s="26"/>
      <c r="H191" s="26"/>
      <c r="I191" s="26"/>
      <c r="J191" s="26"/>
    </row>
    <row r="192" spans="1:10">
      <c r="A192" s="25"/>
      <c r="B192" s="15"/>
      <c r="C192" s="15"/>
      <c r="E192" s="15"/>
      <c r="F192" s="17"/>
      <c r="G192" s="26"/>
      <c r="H192" s="26"/>
      <c r="I192" s="26"/>
      <c r="J192" s="26"/>
    </row>
    <row r="193" spans="1:10">
      <c r="A193" s="25"/>
      <c r="B193" s="15"/>
      <c r="C193" s="15"/>
      <c r="E193" s="15"/>
      <c r="F193" s="17"/>
      <c r="G193" s="26"/>
      <c r="H193" s="26"/>
      <c r="I193" s="26"/>
      <c r="J193" s="26"/>
    </row>
    <row r="194" spans="1:10">
      <c r="A194" s="25"/>
      <c r="B194" s="15"/>
      <c r="C194" s="15"/>
      <c r="E194" s="15"/>
      <c r="F194" s="17"/>
      <c r="G194" s="26"/>
      <c r="H194" s="26"/>
      <c r="I194" s="26"/>
      <c r="J194" s="26"/>
    </row>
    <row r="195" spans="1:10">
      <c r="A195" s="25"/>
      <c r="B195" s="15"/>
      <c r="C195" s="15"/>
      <c r="E195" s="15"/>
      <c r="F195" s="17"/>
      <c r="G195" s="26"/>
      <c r="H195" s="26"/>
      <c r="I195" s="26"/>
      <c r="J195" s="26"/>
    </row>
    <row r="196" spans="1:10">
      <c r="A196" s="25"/>
      <c r="B196" s="15"/>
      <c r="C196" s="15"/>
      <c r="E196" s="15"/>
      <c r="F196" s="17"/>
      <c r="G196" s="26"/>
      <c r="H196" s="26"/>
      <c r="I196" s="26"/>
      <c r="J196" s="26"/>
    </row>
    <row r="197" spans="1:10">
      <c r="A197" s="25"/>
      <c r="B197" s="15"/>
      <c r="C197" s="15"/>
      <c r="E197" s="15"/>
      <c r="F197" s="17"/>
      <c r="G197" s="26"/>
      <c r="H197" s="26"/>
      <c r="I197" s="26"/>
      <c r="J197" s="26"/>
    </row>
    <row r="198" spans="1:10">
      <c r="A198" s="25"/>
      <c r="B198" s="15"/>
      <c r="C198" s="15"/>
      <c r="E198" s="15"/>
      <c r="F198" s="17"/>
      <c r="G198" s="26"/>
      <c r="H198" s="26"/>
      <c r="I198" s="26"/>
      <c r="J198" s="26"/>
    </row>
    <row r="199" spans="1:10">
      <c r="A199" s="25"/>
      <c r="B199" s="15"/>
      <c r="C199" s="15"/>
      <c r="E199" s="15"/>
      <c r="F199" s="17"/>
      <c r="G199" s="26"/>
      <c r="H199" s="26"/>
      <c r="I199" s="26"/>
      <c r="J199" s="26"/>
    </row>
    <row r="200" spans="1:10">
      <c r="A200" s="25"/>
      <c r="B200" s="15"/>
      <c r="C200" s="15"/>
      <c r="E200" s="15"/>
      <c r="F200" s="17"/>
      <c r="G200" s="26"/>
      <c r="H200" s="26"/>
      <c r="I200" s="26"/>
      <c r="J200" s="26"/>
    </row>
    <row r="201" spans="1:10">
      <c r="A201" s="25"/>
      <c r="B201" s="15"/>
      <c r="C201" s="15"/>
      <c r="E201" s="15"/>
      <c r="F201" s="17"/>
      <c r="G201" s="26"/>
      <c r="H201" s="26"/>
      <c r="I201" s="26"/>
      <c r="J201" s="26"/>
    </row>
    <row r="202" spans="1:10">
      <c r="A202" s="25"/>
      <c r="B202" s="15"/>
      <c r="C202" s="15"/>
      <c r="E202" s="15"/>
      <c r="F202" s="17"/>
      <c r="G202" s="26"/>
      <c r="H202" s="26"/>
      <c r="I202" s="26"/>
      <c r="J202" s="26"/>
    </row>
    <row r="203" spans="1:10">
      <c r="A203" s="25"/>
      <c r="B203" s="15"/>
      <c r="C203" s="15"/>
      <c r="E203" s="15"/>
      <c r="F203" s="17"/>
      <c r="G203" s="26"/>
      <c r="H203" s="26"/>
      <c r="I203" s="26"/>
      <c r="J203" s="26"/>
    </row>
    <row r="204" spans="1:10">
      <c r="A204" s="25"/>
      <c r="B204" s="15"/>
      <c r="C204" s="15"/>
      <c r="E204" s="15"/>
      <c r="F204" s="17"/>
      <c r="G204" s="26"/>
      <c r="H204" s="26"/>
      <c r="I204" s="26"/>
      <c r="J204" s="26"/>
    </row>
    <row r="205" spans="1:10">
      <c r="A205" s="25"/>
      <c r="B205" s="15"/>
      <c r="C205" s="15"/>
      <c r="E205" s="15"/>
      <c r="F205" s="17"/>
      <c r="G205" s="26"/>
      <c r="H205" s="26"/>
      <c r="I205" s="26"/>
      <c r="J205" s="26"/>
    </row>
    <row r="206" spans="1:10">
      <c r="A206" s="25"/>
      <c r="B206" s="15"/>
      <c r="C206" s="15"/>
      <c r="E206" s="15"/>
      <c r="F206" s="17"/>
      <c r="G206" s="26"/>
      <c r="H206" s="26"/>
      <c r="I206" s="26"/>
      <c r="J206" s="26"/>
    </row>
    <row r="207" spans="1:10">
      <c r="A207" s="25"/>
      <c r="B207" s="15"/>
      <c r="C207" s="15"/>
      <c r="E207" s="15"/>
      <c r="F207" s="17"/>
      <c r="G207" s="26"/>
      <c r="H207" s="26"/>
      <c r="I207" s="26"/>
      <c r="J207" s="26"/>
    </row>
    <row r="208" spans="1:10">
      <c r="A208" s="25"/>
      <c r="B208" s="15"/>
      <c r="C208" s="15"/>
      <c r="E208" s="15"/>
      <c r="F208" s="17"/>
      <c r="G208" s="26"/>
      <c r="H208" s="26"/>
      <c r="I208" s="26"/>
      <c r="J208" s="26"/>
    </row>
    <row r="209" spans="1:10">
      <c r="A209" s="25"/>
      <c r="B209" s="15"/>
      <c r="C209" s="15"/>
      <c r="E209" s="15"/>
      <c r="F209" s="17"/>
      <c r="G209" s="26"/>
      <c r="H209" s="26"/>
      <c r="I209" s="26"/>
      <c r="J209" s="26"/>
    </row>
    <row r="210" spans="1:10">
      <c r="A210" s="25"/>
      <c r="B210" s="15"/>
      <c r="C210" s="15"/>
      <c r="E210" s="15"/>
      <c r="F210" s="17"/>
      <c r="G210" s="26"/>
      <c r="H210" s="26"/>
      <c r="I210" s="26"/>
      <c r="J210" s="26"/>
    </row>
    <row r="211" spans="1:10">
      <c r="A211" s="25"/>
      <c r="B211" s="15"/>
      <c r="C211" s="15"/>
      <c r="E211" s="15"/>
      <c r="F211" s="17"/>
      <c r="G211" s="26"/>
      <c r="H211" s="26"/>
      <c r="I211" s="26"/>
      <c r="J211" s="26"/>
    </row>
    <row r="212" spans="1:10">
      <c r="A212" s="25"/>
      <c r="B212" s="15"/>
      <c r="C212" s="15"/>
      <c r="E212" s="15"/>
      <c r="F212" s="17"/>
      <c r="G212" s="26"/>
      <c r="H212" s="26"/>
      <c r="I212" s="26"/>
      <c r="J212" s="26"/>
    </row>
    <row r="213" spans="1:10">
      <c r="A213" s="25"/>
      <c r="B213" s="15"/>
      <c r="C213" s="15"/>
      <c r="E213" s="15"/>
      <c r="F213" s="17"/>
      <c r="G213" s="26"/>
      <c r="H213" s="26"/>
      <c r="I213" s="26"/>
      <c r="J213" s="26"/>
    </row>
    <row r="214" spans="1:10">
      <c r="A214" s="25"/>
      <c r="B214" s="15"/>
      <c r="C214" s="15"/>
      <c r="E214" s="15"/>
      <c r="F214" s="17"/>
      <c r="G214" s="26"/>
      <c r="H214" s="26"/>
      <c r="I214" s="26"/>
      <c r="J214" s="26"/>
    </row>
    <row r="215" spans="1:10">
      <c r="A215" s="25"/>
      <c r="B215" s="15"/>
      <c r="C215" s="15"/>
      <c r="E215" s="15"/>
      <c r="F215" s="17"/>
      <c r="G215" s="26"/>
      <c r="H215" s="26"/>
      <c r="I215" s="26"/>
      <c r="J215" s="26"/>
    </row>
    <row r="216" spans="1:10">
      <c r="A216" s="25"/>
      <c r="B216" s="15"/>
      <c r="C216" s="15"/>
      <c r="E216" s="15"/>
      <c r="F216" s="17"/>
      <c r="G216" s="26"/>
      <c r="H216" s="26"/>
      <c r="I216" s="26"/>
      <c r="J216" s="26"/>
    </row>
    <row r="217" spans="1:10">
      <c r="A217" s="25"/>
      <c r="B217" s="15"/>
      <c r="C217" s="15"/>
      <c r="E217" s="15"/>
      <c r="F217" s="17"/>
      <c r="G217" s="26"/>
      <c r="H217" s="26"/>
      <c r="I217" s="26"/>
      <c r="J217" s="26"/>
    </row>
    <row r="218" spans="1:10">
      <c r="A218" s="25"/>
      <c r="B218" s="15"/>
      <c r="C218" s="15"/>
      <c r="E218" s="15"/>
      <c r="F218" s="17"/>
      <c r="G218" s="26"/>
      <c r="H218" s="26"/>
      <c r="I218" s="26"/>
      <c r="J218" s="26"/>
    </row>
    <row r="219" spans="1:10">
      <c r="A219" s="25"/>
      <c r="B219" s="15"/>
      <c r="C219" s="15"/>
      <c r="E219" s="15"/>
      <c r="F219" s="17"/>
      <c r="G219" s="26"/>
      <c r="H219" s="26"/>
      <c r="I219" s="26"/>
      <c r="J219" s="26"/>
    </row>
    <row r="220" spans="1:10">
      <c r="A220" s="25"/>
      <c r="B220" s="15"/>
      <c r="C220" s="15"/>
      <c r="E220" s="15"/>
      <c r="F220" s="17"/>
      <c r="G220" s="26"/>
      <c r="H220" s="26"/>
      <c r="I220" s="26"/>
      <c r="J220" s="26"/>
    </row>
    <row r="221" spans="1:10">
      <c r="A221" s="25"/>
      <c r="B221" s="15"/>
      <c r="C221" s="15"/>
      <c r="E221" s="15"/>
      <c r="F221" s="17"/>
      <c r="G221" s="26"/>
      <c r="H221" s="26"/>
      <c r="I221" s="26"/>
      <c r="J221" s="26"/>
    </row>
    <row r="222" spans="1:10">
      <c r="A222" s="25"/>
      <c r="B222" s="15"/>
      <c r="C222" s="15"/>
      <c r="E222" s="15"/>
      <c r="F222" s="17"/>
      <c r="G222" s="26"/>
      <c r="H222" s="26"/>
      <c r="I222" s="26"/>
      <c r="J222" s="26"/>
    </row>
    <row r="223" spans="1:10">
      <c r="A223" s="25"/>
      <c r="B223" s="15"/>
      <c r="C223" s="15"/>
      <c r="E223" s="15"/>
      <c r="F223" s="17"/>
      <c r="G223" s="26"/>
      <c r="H223" s="26"/>
      <c r="I223" s="26"/>
      <c r="J223" s="26"/>
    </row>
    <row r="224" spans="1:10">
      <c r="A224" s="25"/>
      <c r="B224" s="15"/>
      <c r="C224" s="15"/>
      <c r="E224" s="15"/>
      <c r="F224" s="17"/>
      <c r="G224" s="26"/>
      <c r="H224" s="26"/>
      <c r="I224" s="26"/>
      <c r="J224" s="26"/>
    </row>
    <row r="225" spans="1:10">
      <c r="A225" s="25"/>
      <c r="B225" s="15"/>
      <c r="C225" s="15"/>
      <c r="E225" s="15"/>
      <c r="F225" s="17"/>
      <c r="G225" s="26"/>
      <c r="H225" s="26"/>
      <c r="I225" s="26"/>
      <c r="J225" s="26"/>
    </row>
    <row r="226" spans="1:10">
      <c r="A226" s="25"/>
      <c r="B226" s="15"/>
      <c r="C226" s="15"/>
      <c r="E226" s="15"/>
      <c r="F226" s="17"/>
      <c r="G226" s="26"/>
      <c r="H226" s="26"/>
      <c r="I226" s="26"/>
      <c r="J226" s="26"/>
    </row>
    <row r="227" spans="1:10">
      <c r="A227" s="25"/>
      <c r="B227" s="15"/>
      <c r="C227" s="15"/>
      <c r="E227" s="15"/>
      <c r="F227" s="17"/>
      <c r="G227" s="26"/>
      <c r="H227" s="26"/>
      <c r="I227" s="26"/>
      <c r="J227" s="26"/>
    </row>
    <row r="228" spans="1:10">
      <c r="A228" s="25"/>
      <c r="B228" s="15"/>
      <c r="C228" s="15"/>
      <c r="E228" s="15"/>
      <c r="F228" s="17"/>
      <c r="G228" s="26"/>
      <c r="H228" s="26"/>
      <c r="I228" s="26"/>
      <c r="J228" s="26"/>
    </row>
    <row r="229" spans="1:10">
      <c r="A229" s="25"/>
      <c r="B229" s="15"/>
      <c r="C229" s="15"/>
      <c r="E229" s="15"/>
      <c r="F229" s="17"/>
      <c r="G229" s="26"/>
      <c r="H229" s="26"/>
      <c r="I229" s="26"/>
      <c r="J229" s="26"/>
    </row>
    <row r="230" spans="1:10">
      <c r="A230" s="25"/>
      <c r="B230" s="15"/>
      <c r="C230" s="15"/>
      <c r="E230" s="15"/>
      <c r="F230" s="17"/>
      <c r="G230" s="26"/>
      <c r="H230" s="26"/>
      <c r="I230" s="26"/>
      <c r="J230" s="26"/>
    </row>
    <row r="231" spans="1:10">
      <c r="A231" s="25"/>
      <c r="B231" s="15"/>
      <c r="C231" s="15"/>
      <c r="E231" s="15"/>
      <c r="F231" s="17"/>
      <c r="G231" s="26"/>
      <c r="H231" s="26"/>
      <c r="I231" s="26"/>
      <c r="J231" s="26"/>
    </row>
    <row r="232" spans="1:10">
      <c r="A232" s="25"/>
      <c r="B232" s="15"/>
      <c r="C232" s="15"/>
      <c r="E232" s="15"/>
      <c r="F232" s="17"/>
      <c r="G232" s="26"/>
      <c r="H232" s="26"/>
      <c r="I232" s="26"/>
      <c r="J232" s="26"/>
    </row>
    <row r="233" spans="1:10">
      <c r="A233" s="25"/>
      <c r="B233" s="15"/>
      <c r="C233" s="15"/>
      <c r="E233" s="15"/>
      <c r="F233" s="17"/>
      <c r="G233" s="26"/>
      <c r="H233" s="26"/>
      <c r="I233" s="26"/>
      <c r="J233" s="26"/>
    </row>
    <row r="234" spans="1:10">
      <c r="A234" s="25"/>
      <c r="B234" s="15"/>
      <c r="C234" s="15"/>
      <c r="E234" s="15"/>
      <c r="F234" s="17"/>
      <c r="G234" s="26"/>
      <c r="H234" s="26"/>
      <c r="I234" s="26"/>
      <c r="J234" s="26"/>
    </row>
    <row r="235" spans="1:10">
      <c r="A235" s="25"/>
      <c r="B235" s="15"/>
      <c r="C235" s="15"/>
      <c r="E235" s="15"/>
      <c r="F235" s="17"/>
      <c r="G235" s="26"/>
      <c r="H235" s="26"/>
      <c r="I235" s="26"/>
      <c r="J235" s="26"/>
    </row>
    <row r="236" spans="1:10">
      <c r="A236" s="25"/>
      <c r="B236" s="15"/>
      <c r="C236" s="15"/>
      <c r="E236" s="15"/>
      <c r="F236" s="17"/>
      <c r="G236" s="26"/>
      <c r="H236" s="26"/>
      <c r="I236" s="26"/>
      <c r="J236" s="26"/>
    </row>
    <row r="237" spans="1:10">
      <c r="A237" s="25"/>
      <c r="B237" s="15"/>
      <c r="C237" s="15"/>
      <c r="E237" s="15"/>
      <c r="F237" s="17"/>
      <c r="G237" s="26"/>
      <c r="H237" s="26"/>
      <c r="I237" s="26"/>
      <c r="J237" s="26"/>
    </row>
    <row r="238" spans="1:10">
      <c r="A238" s="25"/>
      <c r="B238" s="15"/>
      <c r="C238" s="15"/>
      <c r="E238" s="15"/>
      <c r="F238" s="17"/>
      <c r="G238" s="26"/>
      <c r="H238" s="26"/>
      <c r="I238" s="26"/>
      <c r="J238" s="26"/>
    </row>
    <row r="239" spans="1:10">
      <c r="A239" s="25"/>
      <c r="B239" s="15"/>
      <c r="C239" s="15"/>
      <c r="E239" s="15"/>
      <c r="F239" s="17"/>
      <c r="G239" s="26"/>
      <c r="H239" s="26"/>
      <c r="I239" s="26"/>
      <c r="J239" s="26"/>
    </row>
    <row r="240" spans="1:10">
      <c r="A240" s="25"/>
      <c r="B240" s="15"/>
      <c r="C240" s="15"/>
      <c r="E240" s="15"/>
      <c r="F240" s="17"/>
      <c r="G240" s="26"/>
      <c r="H240" s="26"/>
      <c r="I240" s="26"/>
      <c r="J240" s="26"/>
    </row>
    <row r="241" spans="1:10">
      <c r="A241" s="25"/>
      <c r="B241" s="15"/>
      <c r="C241" s="15"/>
      <c r="E241" s="15"/>
      <c r="F241" s="17"/>
      <c r="G241" s="26"/>
      <c r="H241" s="26"/>
      <c r="I241" s="26"/>
      <c r="J241" s="26"/>
    </row>
    <row r="242" spans="1:10">
      <c r="A242" s="25"/>
      <c r="B242" s="15"/>
      <c r="C242" s="15"/>
      <c r="E242" s="15"/>
      <c r="F242" s="17"/>
      <c r="G242" s="26"/>
      <c r="H242" s="26"/>
      <c r="I242" s="26"/>
      <c r="J242" s="26"/>
    </row>
    <row r="243" spans="1:10">
      <c r="A243" s="25"/>
      <c r="B243" s="15"/>
      <c r="C243" s="15"/>
      <c r="E243" s="15"/>
      <c r="F243" s="17"/>
      <c r="G243" s="26"/>
      <c r="H243" s="26"/>
      <c r="I243" s="26"/>
      <c r="J243" s="26"/>
    </row>
    <row r="244" spans="1:10">
      <c r="A244" s="25"/>
      <c r="B244" s="15"/>
      <c r="C244" s="15"/>
      <c r="E244" s="15"/>
      <c r="F244" s="17"/>
      <c r="G244" s="26"/>
      <c r="H244" s="26"/>
      <c r="I244" s="26"/>
      <c r="J244" s="26"/>
    </row>
    <row r="245" spans="1:10">
      <c r="A245" s="25"/>
      <c r="B245" s="15"/>
      <c r="C245" s="15"/>
      <c r="E245" s="15"/>
      <c r="F245" s="17"/>
      <c r="G245" s="26"/>
      <c r="H245" s="26"/>
      <c r="I245" s="26"/>
      <c r="J245" s="26"/>
    </row>
    <row r="246" spans="1:10">
      <c r="A246" s="25"/>
      <c r="B246" s="15"/>
      <c r="C246" s="15"/>
      <c r="E246" s="15"/>
      <c r="F246" s="17"/>
      <c r="G246" s="26"/>
      <c r="H246" s="26"/>
      <c r="I246" s="26"/>
      <c r="J246" s="26"/>
    </row>
    <row r="247" spans="1:10">
      <c r="A247" s="25"/>
      <c r="B247" s="15"/>
      <c r="C247" s="15"/>
      <c r="E247" s="15"/>
      <c r="F247" s="17"/>
      <c r="G247" s="26"/>
      <c r="H247" s="26"/>
      <c r="I247" s="26"/>
      <c r="J247" s="26"/>
    </row>
    <row r="248" spans="1:10">
      <c r="A248" s="25"/>
      <c r="B248" s="15"/>
      <c r="C248" s="15"/>
      <c r="E248" s="15"/>
      <c r="F248" s="17"/>
      <c r="G248" s="26"/>
      <c r="H248" s="26"/>
      <c r="I248" s="26"/>
      <c r="J248" s="26"/>
    </row>
    <row r="249" spans="1:10">
      <c r="A249" s="25"/>
      <c r="B249" s="15"/>
      <c r="C249" s="15"/>
      <c r="E249" s="15"/>
      <c r="F249" s="17"/>
      <c r="G249" s="26"/>
      <c r="H249" s="26"/>
      <c r="I249" s="26"/>
      <c r="J249" s="26"/>
    </row>
    <row r="250" spans="1:10">
      <c r="A250" s="25"/>
      <c r="B250" s="15"/>
      <c r="C250" s="15"/>
      <c r="E250" s="15"/>
      <c r="F250" s="17"/>
      <c r="G250" s="26"/>
      <c r="H250" s="26"/>
      <c r="I250" s="26"/>
      <c r="J250" s="26"/>
    </row>
    <row r="251" spans="1:10">
      <c r="A251" s="25"/>
      <c r="B251" s="15"/>
      <c r="C251" s="15"/>
      <c r="E251" s="15"/>
      <c r="F251" s="17"/>
      <c r="G251" s="26"/>
      <c r="H251" s="26"/>
      <c r="I251" s="26"/>
      <c r="J251" s="26"/>
    </row>
    <row r="252" spans="1:10">
      <c r="A252" s="25"/>
      <c r="B252" s="15"/>
      <c r="C252" s="15"/>
      <c r="E252" s="15"/>
      <c r="F252" s="17"/>
      <c r="G252" s="26"/>
      <c r="H252" s="26"/>
      <c r="I252" s="26"/>
      <c r="J252" s="26"/>
    </row>
    <row r="253" spans="1:10">
      <c r="A253" s="25"/>
      <c r="B253" s="15"/>
      <c r="C253" s="15"/>
      <c r="E253" s="15"/>
      <c r="F253" s="17"/>
      <c r="G253" s="26"/>
      <c r="H253" s="26"/>
      <c r="I253" s="26"/>
      <c r="J253" s="26"/>
    </row>
    <row r="254" spans="1:10">
      <c r="A254" s="25"/>
      <c r="B254" s="15"/>
      <c r="C254" s="15"/>
      <c r="E254" s="15"/>
      <c r="F254" s="17"/>
      <c r="G254" s="26"/>
      <c r="H254" s="26"/>
      <c r="I254" s="26"/>
      <c r="J254" s="26"/>
    </row>
    <row r="255" spans="1:10">
      <c r="A255" s="25"/>
      <c r="B255" s="15"/>
      <c r="C255" s="15"/>
      <c r="E255" s="15"/>
      <c r="F255" s="17"/>
      <c r="G255" s="26"/>
      <c r="H255" s="26"/>
      <c r="I255" s="26"/>
      <c r="J255" s="26"/>
    </row>
    <row r="256" spans="1:10">
      <c r="A256" s="25"/>
      <c r="B256" s="15"/>
      <c r="C256" s="15"/>
      <c r="E256" s="15"/>
      <c r="F256" s="17"/>
      <c r="G256" s="26"/>
      <c r="H256" s="26"/>
      <c r="I256" s="26"/>
      <c r="J256" s="26"/>
    </row>
    <row r="257" spans="1:10">
      <c r="A257" s="25"/>
      <c r="B257" s="15"/>
      <c r="C257" s="15"/>
      <c r="E257" s="15"/>
      <c r="F257" s="17"/>
      <c r="G257" s="26"/>
      <c r="H257" s="26"/>
      <c r="I257" s="26"/>
      <c r="J257" s="26"/>
    </row>
    <row r="258" spans="1:10">
      <c r="A258" s="25"/>
      <c r="B258" s="15"/>
      <c r="C258" s="15"/>
      <c r="E258" s="15"/>
      <c r="F258" s="17"/>
      <c r="G258" s="26"/>
      <c r="H258" s="26"/>
      <c r="I258" s="26"/>
      <c r="J258" s="26"/>
    </row>
    <row r="259" spans="1:10">
      <c r="A259" s="25"/>
      <c r="B259" s="15"/>
      <c r="C259" s="15"/>
      <c r="E259" s="15"/>
      <c r="F259" s="17"/>
      <c r="G259" s="26"/>
      <c r="H259" s="26"/>
      <c r="I259" s="26"/>
      <c r="J259" s="26"/>
    </row>
    <row r="260" spans="1:10">
      <c r="A260" s="25"/>
      <c r="B260" s="15"/>
      <c r="C260" s="15"/>
      <c r="E260" s="15"/>
      <c r="F260" s="17"/>
      <c r="G260" s="26"/>
      <c r="H260" s="26"/>
      <c r="I260" s="26"/>
      <c r="J260" s="26"/>
    </row>
    <row r="261" spans="1:10">
      <c r="A261" s="25"/>
      <c r="B261" s="15"/>
      <c r="C261" s="15"/>
      <c r="E261" s="15"/>
      <c r="F261" s="17"/>
      <c r="G261" s="26"/>
      <c r="H261" s="26"/>
      <c r="I261" s="26"/>
      <c r="J261" s="26"/>
    </row>
    <row r="262" spans="1:10">
      <c r="A262" s="25"/>
      <c r="B262" s="15"/>
      <c r="C262" s="15"/>
      <c r="E262" s="15"/>
      <c r="F262" s="17"/>
      <c r="G262" s="26"/>
      <c r="H262" s="26"/>
      <c r="I262" s="26"/>
      <c r="J262" s="26"/>
    </row>
    <row r="263" spans="1:10">
      <c r="A263" s="25"/>
      <c r="B263" s="15"/>
      <c r="C263" s="15"/>
      <c r="E263" s="15"/>
      <c r="F263" s="17"/>
      <c r="G263" s="26"/>
      <c r="H263" s="26"/>
      <c r="I263" s="26"/>
      <c r="J263" s="26"/>
    </row>
    <row r="264" spans="1:10">
      <c r="A264" s="25"/>
      <c r="B264" s="15"/>
      <c r="C264" s="15"/>
      <c r="E264" s="15"/>
      <c r="F264" s="17"/>
      <c r="G264" s="26"/>
      <c r="H264" s="26"/>
      <c r="I264" s="26"/>
      <c r="J264" s="26"/>
    </row>
    <row r="265" spans="1:10">
      <c r="A265" s="25"/>
      <c r="B265" s="15"/>
      <c r="C265" s="15"/>
      <c r="E265" s="15"/>
      <c r="F265" s="17"/>
      <c r="G265" s="26"/>
      <c r="H265" s="26"/>
      <c r="I265" s="26"/>
      <c r="J265" s="26"/>
    </row>
    <row r="266" spans="1:10">
      <c r="A266" s="25"/>
      <c r="B266" s="15"/>
      <c r="C266" s="15"/>
      <c r="E266" s="15"/>
      <c r="F266" s="17"/>
      <c r="G266" s="26"/>
      <c r="H266" s="26"/>
      <c r="I266" s="26"/>
      <c r="J266" s="26"/>
    </row>
    <row r="267" spans="1:10">
      <c r="A267" s="25"/>
      <c r="B267" s="15"/>
      <c r="C267" s="15"/>
      <c r="E267" s="15"/>
      <c r="F267" s="17"/>
      <c r="G267" s="26"/>
      <c r="H267" s="26"/>
      <c r="I267" s="26"/>
      <c r="J267" s="26"/>
    </row>
    <row r="268" spans="1:10">
      <c r="A268" s="25"/>
      <c r="B268" s="15"/>
      <c r="C268" s="15"/>
      <c r="E268" s="15"/>
      <c r="F268" s="17"/>
      <c r="G268" s="26"/>
      <c r="H268" s="26"/>
      <c r="I268" s="26"/>
      <c r="J268" s="26"/>
    </row>
    <row r="269" spans="1:10">
      <c r="A269" s="25"/>
      <c r="B269" s="15"/>
      <c r="C269" s="15"/>
      <c r="E269" s="15"/>
      <c r="F269" s="17"/>
      <c r="G269" s="26"/>
      <c r="H269" s="26"/>
      <c r="I269" s="26"/>
      <c r="J269" s="26"/>
    </row>
    <row r="270" spans="1:10">
      <c r="A270" s="25"/>
      <c r="B270" s="15"/>
      <c r="C270" s="15"/>
      <c r="E270" s="15"/>
      <c r="F270" s="17"/>
      <c r="G270" s="26"/>
      <c r="H270" s="26"/>
      <c r="I270" s="26"/>
      <c r="J270" s="26"/>
    </row>
    <row r="271" spans="1:10">
      <c r="A271" s="25"/>
      <c r="B271" s="15"/>
      <c r="C271" s="15"/>
      <c r="E271" s="15"/>
      <c r="F271" s="17"/>
      <c r="G271" s="26"/>
      <c r="H271" s="26"/>
      <c r="I271" s="26"/>
      <c r="J271" s="26"/>
    </row>
    <row r="272" spans="1:10">
      <c r="A272" s="25"/>
      <c r="B272" s="15"/>
      <c r="C272" s="15"/>
      <c r="E272" s="15"/>
      <c r="F272" s="17"/>
      <c r="G272" s="26"/>
      <c r="H272" s="26"/>
      <c r="I272" s="26"/>
      <c r="J272" s="26"/>
    </row>
    <row r="273" spans="1:10">
      <c r="A273" s="25"/>
      <c r="B273" s="15"/>
      <c r="C273" s="15"/>
      <c r="E273" s="15"/>
      <c r="F273" s="17"/>
      <c r="G273" s="26"/>
      <c r="H273" s="26"/>
      <c r="I273" s="26"/>
      <c r="J273" s="26"/>
    </row>
    <row r="274" spans="1:10">
      <c r="A274" s="25"/>
      <c r="B274" s="15"/>
      <c r="C274" s="15"/>
      <c r="E274" s="15"/>
      <c r="F274" s="17"/>
      <c r="G274" s="26"/>
      <c r="H274" s="26"/>
      <c r="I274" s="26"/>
      <c r="J274" s="26"/>
    </row>
    <row r="275" spans="1:10">
      <c r="A275" s="25"/>
      <c r="B275" s="15"/>
      <c r="C275" s="15"/>
      <c r="E275" s="15"/>
      <c r="F275" s="17"/>
      <c r="G275" s="26"/>
      <c r="H275" s="26"/>
      <c r="I275" s="26"/>
      <c r="J275" s="26"/>
    </row>
    <row r="276" spans="1:10">
      <c r="A276" s="25"/>
      <c r="B276" s="15"/>
      <c r="C276" s="15"/>
      <c r="E276" s="15"/>
      <c r="F276" s="17"/>
      <c r="G276" s="26"/>
      <c r="H276" s="26"/>
      <c r="I276" s="26"/>
      <c r="J276" s="26"/>
    </row>
    <row r="277" spans="1:10">
      <c r="A277" s="25"/>
      <c r="B277" s="15"/>
      <c r="C277" s="15"/>
      <c r="E277" s="15"/>
      <c r="F277" s="17"/>
      <c r="G277" s="26"/>
      <c r="H277" s="26"/>
      <c r="I277" s="26"/>
      <c r="J277" s="26"/>
    </row>
    <row r="278" spans="1:10">
      <c r="A278" s="25"/>
      <c r="B278" s="15"/>
      <c r="C278" s="15"/>
      <c r="E278" s="15"/>
      <c r="F278" s="17"/>
      <c r="G278" s="26"/>
      <c r="H278" s="26"/>
      <c r="I278" s="26"/>
      <c r="J278" s="26"/>
    </row>
    <row r="279" spans="1:10">
      <c r="A279" s="25"/>
      <c r="B279" s="15"/>
      <c r="C279" s="15"/>
      <c r="E279" s="15"/>
      <c r="F279" s="17"/>
      <c r="G279" s="26"/>
      <c r="H279" s="26"/>
      <c r="I279" s="26"/>
      <c r="J279" s="26"/>
    </row>
    <row r="280" spans="1:10">
      <c r="A280" s="25"/>
      <c r="B280" s="15"/>
      <c r="C280" s="15"/>
      <c r="E280" s="15"/>
      <c r="F280" s="17"/>
      <c r="G280" s="26"/>
      <c r="H280" s="26"/>
      <c r="I280" s="26"/>
      <c r="J280" s="26"/>
    </row>
    <row r="281" spans="1:10">
      <c r="A281" s="25"/>
      <c r="B281" s="15"/>
      <c r="C281" s="15"/>
      <c r="E281" s="15"/>
      <c r="F281" s="17"/>
      <c r="G281" s="26"/>
      <c r="H281" s="26"/>
      <c r="I281" s="26"/>
      <c r="J281" s="26"/>
    </row>
    <row r="282" spans="1:10">
      <c r="A282" s="25"/>
      <c r="B282" s="15"/>
      <c r="C282" s="15"/>
      <c r="E282" s="15"/>
      <c r="F282" s="17"/>
      <c r="G282" s="26"/>
      <c r="H282" s="26"/>
      <c r="I282" s="26"/>
      <c r="J282" s="26"/>
    </row>
    <row r="283" spans="1:10">
      <c r="A283" s="25"/>
      <c r="B283" s="15"/>
      <c r="C283" s="15"/>
      <c r="E283" s="15"/>
      <c r="F283" s="17"/>
      <c r="G283" s="26"/>
      <c r="H283" s="26"/>
      <c r="I283" s="26"/>
      <c r="J283" s="26"/>
    </row>
    <row r="284" spans="1:10">
      <c r="A284" s="25"/>
      <c r="B284" s="15"/>
      <c r="C284" s="15"/>
      <c r="E284" s="15"/>
      <c r="F284" s="17"/>
      <c r="G284" s="26"/>
      <c r="H284" s="26"/>
      <c r="I284" s="26"/>
      <c r="J284" s="26"/>
    </row>
    <row r="285" spans="1:10">
      <c r="A285" s="25"/>
      <c r="B285" s="15"/>
      <c r="C285" s="15"/>
      <c r="E285" s="15"/>
      <c r="F285" s="17"/>
      <c r="G285" s="26"/>
      <c r="H285" s="26"/>
      <c r="I285" s="26"/>
      <c r="J285" s="26"/>
    </row>
    <row r="286" spans="1:10">
      <c r="A286" s="25"/>
      <c r="B286" s="15"/>
      <c r="C286" s="15"/>
      <c r="E286" s="15"/>
      <c r="F286" s="17"/>
      <c r="G286" s="26"/>
      <c r="H286" s="26"/>
      <c r="I286" s="26"/>
      <c r="J286" s="26"/>
    </row>
    <row r="287" spans="1:10">
      <c r="A287" s="25"/>
      <c r="B287" s="15"/>
      <c r="C287" s="15"/>
      <c r="E287" s="15"/>
      <c r="F287" s="17"/>
      <c r="G287" s="26"/>
      <c r="H287" s="26"/>
      <c r="I287" s="26"/>
      <c r="J287" s="26"/>
    </row>
    <row r="288" spans="1:10">
      <c r="A288" s="25"/>
      <c r="B288" s="15"/>
      <c r="C288" s="15"/>
      <c r="E288" s="15"/>
      <c r="F288" s="17"/>
      <c r="G288" s="26"/>
      <c r="H288" s="26"/>
      <c r="I288" s="26"/>
      <c r="J288" s="26"/>
    </row>
    <row r="289" spans="1:10">
      <c r="A289" s="25"/>
      <c r="B289" s="15"/>
      <c r="C289" s="15"/>
      <c r="E289" s="15"/>
      <c r="F289" s="17"/>
      <c r="G289" s="26"/>
      <c r="H289" s="26"/>
      <c r="I289" s="26"/>
      <c r="J289" s="26"/>
    </row>
    <row r="290" spans="1:10">
      <c r="A290" s="25"/>
      <c r="B290" s="15"/>
      <c r="C290" s="15"/>
      <c r="E290" s="15"/>
      <c r="F290" s="17"/>
      <c r="G290" s="26"/>
      <c r="H290" s="26"/>
      <c r="I290" s="26"/>
      <c r="J290" s="26"/>
    </row>
    <row r="291" spans="1:10">
      <c r="A291" s="25"/>
      <c r="B291" s="15"/>
      <c r="C291" s="15"/>
      <c r="E291" s="15"/>
      <c r="F291" s="17"/>
      <c r="G291" s="26"/>
      <c r="H291" s="26"/>
      <c r="I291" s="26"/>
      <c r="J291" s="26"/>
    </row>
    <row r="292" spans="1:10">
      <c r="A292" s="25"/>
      <c r="B292" s="15"/>
      <c r="C292" s="15"/>
      <c r="E292" s="15"/>
      <c r="F292" s="17"/>
      <c r="G292" s="26"/>
      <c r="H292" s="26"/>
      <c r="I292" s="26"/>
      <c r="J292" s="26"/>
    </row>
    <row r="293" spans="1:10">
      <c r="A293" s="25"/>
      <c r="B293" s="15"/>
      <c r="C293" s="15"/>
      <c r="E293" s="15"/>
      <c r="F293" s="17"/>
      <c r="G293" s="26"/>
      <c r="H293" s="26"/>
      <c r="I293" s="26"/>
      <c r="J293" s="26"/>
    </row>
    <row r="294" spans="1:10">
      <c r="A294" s="25"/>
      <c r="B294" s="15"/>
      <c r="C294" s="15"/>
      <c r="E294" s="15"/>
      <c r="F294" s="17"/>
      <c r="G294" s="26"/>
      <c r="H294" s="26"/>
      <c r="I294" s="26"/>
      <c r="J294" s="26"/>
    </row>
    <row r="295" spans="1:10">
      <c r="A295" s="25"/>
      <c r="B295" s="15"/>
      <c r="C295" s="15"/>
      <c r="E295" s="15"/>
      <c r="F295" s="17"/>
      <c r="G295" s="26"/>
      <c r="H295" s="26"/>
      <c r="I295" s="26"/>
      <c r="J295" s="26"/>
    </row>
    <row r="296" spans="1:10">
      <c r="A296" s="25"/>
      <c r="B296" s="15"/>
      <c r="C296" s="15"/>
      <c r="E296" s="15"/>
      <c r="F296" s="17"/>
      <c r="G296" s="26"/>
      <c r="H296" s="26"/>
      <c r="I296" s="26"/>
      <c r="J296" s="26"/>
    </row>
    <row r="297" spans="1:10">
      <c r="A297" s="25"/>
      <c r="B297" s="15"/>
      <c r="C297" s="15"/>
      <c r="E297" s="15"/>
      <c r="F297" s="17"/>
      <c r="G297" s="26"/>
      <c r="H297" s="26"/>
      <c r="I297" s="26"/>
      <c r="J297" s="26"/>
    </row>
    <row r="298" spans="1:10">
      <c r="A298" s="25"/>
      <c r="B298" s="15"/>
      <c r="C298" s="15"/>
      <c r="E298" s="15"/>
      <c r="F298" s="17"/>
      <c r="G298" s="26"/>
      <c r="H298" s="26"/>
      <c r="I298" s="26"/>
      <c r="J298" s="26"/>
    </row>
    <row r="299" spans="1:10">
      <c r="A299" s="25"/>
      <c r="B299" s="15"/>
      <c r="C299" s="15"/>
      <c r="E299" s="15"/>
      <c r="F299" s="17"/>
      <c r="G299" s="26"/>
      <c r="H299" s="26"/>
      <c r="I299" s="26"/>
      <c r="J299" s="26"/>
    </row>
    <row r="300" spans="1:10">
      <c r="A300" s="25"/>
      <c r="B300" s="15"/>
      <c r="C300" s="15"/>
      <c r="E300" s="15"/>
      <c r="F300" s="17"/>
      <c r="G300" s="26"/>
      <c r="H300" s="26"/>
      <c r="I300" s="26"/>
      <c r="J300" s="26"/>
    </row>
    <row r="301" spans="1:10">
      <c r="A301" s="25"/>
      <c r="B301" s="15"/>
      <c r="C301" s="15"/>
      <c r="E301" s="15"/>
      <c r="F301" s="17"/>
      <c r="G301" s="26"/>
      <c r="H301" s="26"/>
      <c r="I301" s="26"/>
      <c r="J301" s="26"/>
    </row>
    <row r="302" spans="1:10">
      <c r="A302" s="25"/>
      <c r="B302" s="15"/>
      <c r="C302" s="15"/>
      <c r="E302" s="15"/>
      <c r="F302" s="17"/>
      <c r="G302" s="26"/>
      <c r="H302" s="26"/>
      <c r="I302" s="26"/>
      <c r="J302" s="26"/>
    </row>
    <row r="303" spans="1:10">
      <c r="A303" s="25"/>
      <c r="B303" s="15"/>
      <c r="C303" s="15"/>
      <c r="E303" s="15"/>
      <c r="F303" s="17"/>
      <c r="G303" s="26"/>
      <c r="H303" s="26"/>
      <c r="I303" s="26"/>
      <c r="J303" s="26"/>
    </row>
    <row r="304" spans="1:10">
      <c r="A304" s="25"/>
      <c r="B304" s="15"/>
      <c r="C304" s="15"/>
      <c r="E304" s="15"/>
      <c r="F304" s="17"/>
      <c r="G304" s="26"/>
      <c r="H304" s="26"/>
      <c r="I304" s="26"/>
      <c r="J304" s="26"/>
    </row>
    <row r="305" spans="1:10">
      <c r="A305" s="25"/>
      <c r="B305" s="15"/>
      <c r="C305" s="15"/>
      <c r="E305" s="15"/>
      <c r="F305" s="17"/>
      <c r="G305" s="26"/>
      <c r="H305" s="26"/>
      <c r="I305" s="26"/>
      <c r="J305" s="26"/>
    </row>
    <row r="306" spans="1:10">
      <c r="A306" s="25"/>
      <c r="B306" s="15"/>
      <c r="C306" s="15"/>
      <c r="E306" s="15"/>
      <c r="F306" s="17"/>
      <c r="G306" s="26"/>
      <c r="H306" s="26"/>
      <c r="I306" s="26"/>
      <c r="J306" s="26"/>
    </row>
    <row r="307" spans="1:10">
      <c r="A307" s="25"/>
      <c r="B307" s="15"/>
      <c r="C307" s="15"/>
      <c r="E307" s="15"/>
      <c r="F307" s="17"/>
      <c r="G307" s="26"/>
      <c r="H307" s="26"/>
      <c r="I307" s="26"/>
      <c r="J307" s="26"/>
    </row>
    <row r="308" spans="1:10">
      <c r="A308" s="25"/>
      <c r="B308" s="15"/>
      <c r="C308" s="15"/>
      <c r="E308" s="15"/>
      <c r="F308" s="17"/>
      <c r="G308" s="26"/>
      <c r="H308" s="26"/>
      <c r="I308" s="26"/>
      <c r="J308" s="26"/>
    </row>
    <row r="309" spans="1:10">
      <c r="A309" s="25"/>
      <c r="B309" s="15"/>
      <c r="C309" s="15"/>
      <c r="E309" s="15"/>
      <c r="F309" s="17"/>
      <c r="G309" s="26"/>
      <c r="H309" s="26"/>
      <c r="I309" s="26"/>
      <c r="J309" s="26"/>
    </row>
    <row r="310" spans="1:10">
      <c r="A310" s="25"/>
      <c r="B310" s="15"/>
      <c r="C310" s="15"/>
      <c r="E310" s="15"/>
      <c r="F310" s="17"/>
      <c r="G310" s="26"/>
      <c r="H310" s="26"/>
      <c r="I310" s="26"/>
      <c r="J310" s="26"/>
    </row>
    <row r="311" spans="1:10">
      <c r="A311" s="25"/>
      <c r="B311" s="15"/>
      <c r="C311" s="15"/>
      <c r="E311" s="15"/>
      <c r="F311" s="17"/>
      <c r="G311" s="26"/>
      <c r="H311" s="26"/>
      <c r="I311" s="26"/>
      <c r="J311" s="26"/>
    </row>
    <row r="312" spans="1:10">
      <c r="A312" s="25"/>
      <c r="B312" s="15"/>
      <c r="C312" s="15"/>
      <c r="E312" s="15"/>
      <c r="F312" s="17"/>
      <c r="G312" s="26"/>
      <c r="H312" s="26"/>
      <c r="I312" s="26"/>
      <c r="J312" s="26"/>
    </row>
    <row r="313" spans="1:10">
      <c r="A313" s="25"/>
      <c r="B313" s="15"/>
      <c r="C313" s="15"/>
      <c r="E313" s="15"/>
      <c r="F313" s="17"/>
      <c r="G313" s="26"/>
      <c r="H313" s="26"/>
      <c r="I313" s="26"/>
      <c r="J313" s="26"/>
    </row>
    <row r="314" spans="1:10">
      <c r="A314" s="25"/>
      <c r="B314" s="15"/>
      <c r="C314" s="15"/>
      <c r="E314" s="15"/>
      <c r="F314" s="17"/>
      <c r="G314" s="26"/>
      <c r="H314" s="26"/>
      <c r="I314" s="26"/>
      <c r="J314" s="26"/>
    </row>
    <row r="315" spans="1:10">
      <c r="A315" s="25"/>
      <c r="B315" s="15"/>
      <c r="C315" s="15"/>
      <c r="E315" s="15"/>
      <c r="F315" s="17"/>
      <c r="G315" s="26"/>
      <c r="H315" s="26"/>
      <c r="I315" s="26"/>
      <c r="J315" s="26"/>
    </row>
    <row r="316" spans="1:10">
      <c r="A316" s="25"/>
      <c r="B316" s="15"/>
      <c r="C316" s="15"/>
      <c r="E316" s="15"/>
      <c r="F316" s="17"/>
      <c r="G316" s="26"/>
      <c r="H316" s="26"/>
      <c r="I316" s="26"/>
      <c r="J316" s="26"/>
    </row>
    <row r="317" spans="1:10">
      <c r="A317" s="25"/>
      <c r="B317" s="15"/>
      <c r="C317" s="15"/>
      <c r="E317" s="15"/>
      <c r="F317" s="17"/>
      <c r="G317" s="26"/>
      <c r="H317" s="26"/>
      <c r="I317" s="26"/>
      <c r="J317" s="26"/>
    </row>
    <row r="318" spans="1:10">
      <c r="A318" s="25"/>
      <c r="B318" s="15"/>
      <c r="C318" s="15"/>
      <c r="E318" s="15"/>
      <c r="F318" s="17"/>
      <c r="G318" s="26"/>
      <c r="H318" s="26"/>
      <c r="I318" s="26"/>
      <c r="J318" s="26"/>
    </row>
    <row r="319" spans="1:10">
      <c r="A319" s="25"/>
      <c r="B319" s="15"/>
      <c r="C319" s="15"/>
      <c r="E319" s="15"/>
      <c r="F319" s="17"/>
      <c r="G319" s="26"/>
      <c r="H319" s="26"/>
      <c r="I319" s="26"/>
      <c r="J319" s="26"/>
    </row>
    <row r="320" spans="1:10">
      <c r="A320" s="25"/>
      <c r="B320" s="15"/>
      <c r="C320" s="15"/>
      <c r="E320" s="15"/>
      <c r="F320" s="17"/>
      <c r="G320" s="26"/>
      <c r="H320" s="26"/>
      <c r="I320" s="26"/>
      <c r="J320" s="26"/>
    </row>
    <row r="321" spans="1:10">
      <c r="A321" s="25"/>
      <c r="B321" s="15"/>
      <c r="C321" s="15"/>
      <c r="E321" s="15"/>
      <c r="F321" s="17"/>
      <c r="G321" s="26"/>
      <c r="H321" s="26"/>
      <c r="I321" s="26"/>
      <c r="J321" s="26"/>
    </row>
    <row r="322" spans="1:10">
      <c r="A322" s="25"/>
      <c r="B322" s="15"/>
      <c r="C322" s="15"/>
      <c r="E322" s="15"/>
      <c r="F322" s="17"/>
      <c r="G322" s="26"/>
      <c r="H322" s="26"/>
      <c r="I322" s="26"/>
      <c r="J322" s="26"/>
    </row>
    <row r="323" spans="1:10">
      <c r="A323" s="25"/>
      <c r="B323" s="15"/>
      <c r="C323" s="15"/>
      <c r="E323" s="15"/>
      <c r="F323" s="17"/>
      <c r="G323" s="26"/>
      <c r="H323" s="26"/>
      <c r="I323" s="26"/>
      <c r="J323" s="26"/>
    </row>
    <row r="324" spans="1:10">
      <c r="A324" s="25"/>
      <c r="B324" s="15"/>
      <c r="C324" s="15"/>
      <c r="E324" s="15"/>
      <c r="F324" s="17"/>
      <c r="G324" s="26"/>
      <c r="H324" s="26"/>
      <c r="I324" s="26"/>
      <c r="J324" s="26"/>
    </row>
    <row r="325" spans="1:10">
      <c r="A325" s="25"/>
      <c r="B325" s="15"/>
      <c r="C325" s="15"/>
      <c r="E325" s="15"/>
      <c r="F325" s="17"/>
      <c r="G325" s="26"/>
      <c r="H325" s="26"/>
      <c r="I325" s="26"/>
      <c r="J325" s="26"/>
    </row>
    <row r="326" spans="1:10">
      <c r="A326" s="25"/>
      <c r="B326" s="15"/>
      <c r="C326" s="15"/>
      <c r="E326" s="15"/>
      <c r="F326" s="17"/>
      <c r="G326" s="26"/>
      <c r="H326" s="26"/>
      <c r="I326" s="26"/>
      <c r="J326" s="26"/>
    </row>
    <row r="327" spans="1:10">
      <c r="A327" s="25"/>
      <c r="B327" s="15"/>
      <c r="C327" s="15"/>
      <c r="E327" s="15"/>
      <c r="F327" s="17"/>
      <c r="G327" s="26"/>
      <c r="H327" s="26"/>
      <c r="I327" s="26"/>
      <c r="J327" s="26"/>
    </row>
    <row r="328" spans="1:10">
      <c r="A328" s="25"/>
      <c r="B328" s="15"/>
      <c r="C328" s="15"/>
      <c r="E328" s="15"/>
      <c r="F328" s="17"/>
      <c r="G328" s="26"/>
      <c r="H328" s="26"/>
      <c r="I328" s="26"/>
      <c r="J328" s="26"/>
    </row>
    <row r="329" spans="1:10">
      <c r="A329" s="25"/>
      <c r="B329" s="15"/>
      <c r="C329" s="15"/>
      <c r="E329" s="15"/>
      <c r="F329" s="17"/>
      <c r="G329" s="26"/>
      <c r="H329" s="26"/>
      <c r="I329" s="26"/>
      <c r="J329" s="26"/>
    </row>
    <row r="330" spans="1:10">
      <c r="A330" s="25"/>
      <c r="B330" s="15"/>
      <c r="C330" s="15"/>
      <c r="E330" s="15"/>
      <c r="F330" s="17"/>
      <c r="G330" s="26"/>
      <c r="H330" s="26"/>
      <c r="I330" s="26"/>
      <c r="J330" s="26"/>
    </row>
    <row r="331" spans="1:10">
      <c r="A331" s="25"/>
      <c r="B331" s="15"/>
      <c r="C331" s="15"/>
      <c r="E331" s="15"/>
      <c r="F331" s="17"/>
      <c r="G331" s="26"/>
      <c r="H331" s="26"/>
      <c r="I331" s="26"/>
      <c r="J331" s="26"/>
    </row>
    <row r="332" spans="1:10">
      <c r="A332" s="25"/>
      <c r="B332" s="15"/>
      <c r="C332" s="15"/>
      <c r="E332" s="15"/>
      <c r="F332" s="17"/>
      <c r="G332" s="26"/>
      <c r="H332" s="26"/>
      <c r="I332" s="26"/>
      <c r="J332" s="26"/>
    </row>
    <row r="333" spans="1:10">
      <c r="A333" s="25"/>
      <c r="B333" s="15"/>
      <c r="C333" s="15"/>
      <c r="E333" s="15"/>
      <c r="F333" s="17"/>
      <c r="G333" s="26"/>
      <c r="H333" s="26"/>
      <c r="I333" s="26"/>
      <c r="J333" s="26"/>
    </row>
    <row r="334" spans="1:10">
      <c r="A334" s="25"/>
      <c r="B334" s="15"/>
      <c r="C334" s="15"/>
      <c r="E334" s="15"/>
      <c r="F334" s="17"/>
      <c r="G334" s="26"/>
      <c r="H334" s="26"/>
      <c r="I334" s="26"/>
      <c r="J334" s="26"/>
    </row>
    <row r="335" spans="1:10">
      <c r="A335" s="25"/>
      <c r="B335" s="15"/>
      <c r="C335" s="15"/>
      <c r="E335" s="15"/>
      <c r="F335" s="17"/>
      <c r="G335" s="26"/>
      <c r="H335" s="26"/>
      <c r="I335" s="26"/>
      <c r="J335" s="26"/>
    </row>
    <row r="336" spans="1:10">
      <c r="A336" s="25"/>
      <c r="B336" s="15"/>
      <c r="C336" s="15"/>
      <c r="E336" s="15"/>
      <c r="F336" s="17"/>
      <c r="G336" s="26"/>
      <c r="H336" s="26"/>
      <c r="I336" s="26"/>
      <c r="J336" s="26"/>
    </row>
    <row r="337" spans="1:10">
      <c r="A337" s="25"/>
      <c r="B337" s="15"/>
      <c r="C337" s="15"/>
      <c r="E337" s="15"/>
      <c r="F337" s="17"/>
      <c r="G337" s="26"/>
      <c r="H337" s="26"/>
      <c r="I337" s="26"/>
      <c r="J337" s="26"/>
    </row>
    <row r="338" spans="1:10">
      <c r="A338" s="25"/>
      <c r="B338" s="15"/>
      <c r="C338" s="15"/>
      <c r="E338" s="15"/>
      <c r="F338" s="17"/>
      <c r="G338" s="26"/>
      <c r="H338" s="26"/>
      <c r="I338" s="26"/>
      <c r="J338" s="26"/>
    </row>
    <row r="339" spans="1:10">
      <c r="A339" s="25"/>
      <c r="B339" s="15"/>
      <c r="C339" s="15"/>
      <c r="E339" s="15"/>
      <c r="F339" s="17"/>
      <c r="G339" s="26"/>
      <c r="H339" s="26"/>
      <c r="I339" s="26"/>
      <c r="J339" s="26"/>
    </row>
    <row r="340" spans="1:10">
      <c r="A340" s="25"/>
      <c r="B340" s="15"/>
      <c r="C340" s="15"/>
      <c r="E340" s="15"/>
      <c r="F340" s="17"/>
      <c r="G340" s="26"/>
      <c r="H340" s="26"/>
      <c r="I340" s="26"/>
      <c r="J340" s="26"/>
    </row>
    <row r="341" spans="1:10">
      <c r="A341" s="25"/>
      <c r="B341" s="15"/>
      <c r="C341" s="15"/>
      <c r="E341" s="15"/>
      <c r="F341" s="17"/>
      <c r="G341" s="26"/>
      <c r="H341" s="26"/>
      <c r="I341" s="26"/>
      <c r="J341" s="26"/>
    </row>
    <row r="342" spans="1:10">
      <c r="A342" s="25"/>
      <c r="B342" s="15"/>
      <c r="C342" s="15"/>
      <c r="E342" s="15"/>
      <c r="F342" s="17"/>
      <c r="G342" s="26"/>
      <c r="H342" s="26"/>
      <c r="I342" s="26"/>
      <c r="J342" s="26"/>
    </row>
    <row r="343" spans="1:10">
      <c r="A343" s="25"/>
      <c r="B343" s="15"/>
      <c r="C343" s="15"/>
      <c r="E343" s="15"/>
      <c r="F343" s="17"/>
      <c r="G343" s="26"/>
      <c r="H343" s="26"/>
      <c r="I343" s="26"/>
      <c r="J343" s="26"/>
    </row>
    <row r="344" spans="1:10">
      <c r="A344" s="25"/>
      <c r="B344" s="15"/>
      <c r="C344" s="15"/>
      <c r="E344" s="15"/>
      <c r="F344" s="17"/>
      <c r="G344" s="26"/>
      <c r="H344" s="26"/>
      <c r="I344" s="26"/>
      <c r="J344" s="26"/>
    </row>
    <row r="345" spans="1:10">
      <c r="A345" s="25"/>
      <c r="B345" s="15"/>
      <c r="C345" s="15"/>
      <c r="E345" s="15"/>
      <c r="F345" s="17"/>
      <c r="G345" s="26"/>
      <c r="H345" s="26"/>
      <c r="I345" s="26"/>
      <c r="J345" s="26"/>
    </row>
    <row r="346" spans="1:10">
      <c r="A346" s="25"/>
      <c r="B346" s="15"/>
      <c r="C346" s="15"/>
      <c r="E346" s="15"/>
      <c r="F346" s="17"/>
      <c r="G346" s="26"/>
      <c r="H346" s="26"/>
      <c r="I346" s="26"/>
      <c r="J346" s="26"/>
    </row>
    <row r="347" spans="1:10">
      <c r="A347" s="25"/>
      <c r="B347" s="15"/>
      <c r="C347" s="15"/>
      <c r="E347" s="15"/>
      <c r="F347" s="17"/>
      <c r="G347" s="26"/>
      <c r="H347" s="26"/>
      <c r="I347" s="26"/>
      <c r="J347" s="26"/>
    </row>
    <row r="348" spans="1:10">
      <c r="A348" s="25"/>
      <c r="B348" s="15"/>
      <c r="C348" s="15"/>
      <c r="E348" s="15"/>
      <c r="F348" s="17"/>
      <c r="G348" s="26"/>
      <c r="H348" s="26"/>
      <c r="I348" s="26"/>
      <c r="J348" s="26"/>
    </row>
    <row r="349" spans="1:10">
      <c r="A349" s="25"/>
      <c r="B349" s="15"/>
      <c r="C349" s="15"/>
      <c r="E349" s="15"/>
      <c r="F349" s="17"/>
      <c r="G349" s="26"/>
      <c r="H349" s="26"/>
      <c r="I349" s="26"/>
      <c r="J349" s="26"/>
    </row>
    <row r="350" spans="1:10">
      <c r="A350" s="25"/>
      <c r="B350" s="15"/>
      <c r="C350" s="15"/>
      <c r="E350" s="15"/>
      <c r="F350" s="17"/>
      <c r="G350" s="26"/>
      <c r="H350" s="26"/>
      <c r="I350" s="26"/>
      <c r="J350" s="26"/>
    </row>
    <row r="351" spans="1:10">
      <c r="A351" s="25"/>
      <c r="B351" s="15"/>
      <c r="C351" s="15"/>
      <c r="E351" s="15"/>
      <c r="F351" s="17"/>
      <c r="G351" s="26"/>
      <c r="H351" s="26"/>
      <c r="I351" s="26"/>
      <c r="J351" s="26"/>
    </row>
    <row r="352" spans="1:10">
      <c r="A352" s="25"/>
      <c r="B352" s="15"/>
      <c r="C352" s="15"/>
      <c r="E352" s="15"/>
      <c r="F352" s="17"/>
      <c r="G352" s="26"/>
      <c r="H352" s="26"/>
      <c r="I352" s="26"/>
      <c r="J352" s="26"/>
    </row>
    <row r="353" spans="1:10">
      <c r="A353" s="25"/>
      <c r="B353" s="15"/>
      <c r="C353" s="15"/>
      <c r="E353" s="15"/>
      <c r="F353" s="17"/>
      <c r="G353" s="26"/>
      <c r="H353" s="26"/>
      <c r="I353" s="26"/>
      <c r="J353" s="26"/>
    </row>
    <row r="354" spans="1:10">
      <c r="A354" s="25"/>
      <c r="B354" s="15"/>
      <c r="C354" s="15"/>
      <c r="E354" s="15"/>
      <c r="F354" s="17"/>
      <c r="G354" s="26"/>
      <c r="H354" s="26"/>
      <c r="I354" s="26"/>
      <c r="J354" s="26"/>
    </row>
    <row r="355" spans="1:10">
      <c r="A355" s="25"/>
      <c r="B355" s="15"/>
      <c r="C355" s="15"/>
      <c r="E355" s="15"/>
      <c r="F355" s="17"/>
      <c r="G355" s="26"/>
      <c r="H355" s="26"/>
      <c r="I355" s="26"/>
      <c r="J355" s="26"/>
    </row>
    <row r="356" spans="1:10">
      <c r="A356" s="25"/>
      <c r="B356" s="15"/>
      <c r="C356" s="15"/>
      <c r="E356" s="15"/>
      <c r="F356" s="17"/>
      <c r="G356" s="26"/>
      <c r="H356" s="26"/>
      <c r="I356" s="26"/>
      <c r="J356" s="26"/>
    </row>
    <row r="357" spans="1:10">
      <c r="A357" s="25"/>
      <c r="B357" s="15"/>
      <c r="C357" s="15"/>
      <c r="E357" s="15"/>
      <c r="F357" s="17"/>
      <c r="G357" s="26"/>
      <c r="H357" s="26"/>
      <c r="I357" s="26"/>
      <c r="J357" s="26"/>
    </row>
    <row r="358" spans="1:10">
      <c r="A358" s="25"/>
      <c r="B358" s="15"/>
      <c r="C358" s="15"/>
      <c r="E358" s="15"/>
      <c r="F358" s="17"/>
      <c r="G358" s="26"/>
      <c r="H358" s="26"/>
      <c r="I358" s="26"/>
      <c r="J358" s="26"/>
    </row>
    <row r="359" spans="1:10">
      <c r="A359" s="25"/>
      <c r="B359" s="15"/>
      <c r="C359" s="15"/>
      <c r="E359" s="15"/>
      <c r="F359" s="17"/>
      <c r="G359" s="26"/>
      <c r="H359" s="26"/>
      <c r="I359" s="26"/>
      <c r="J359" s="26"/>
    </row>
    <row r="360" spans="1:10">
      <c r="A360" s="25"/>
      <c r="B360" s="15"/>
      <c r="C360" s="15"/>
      <c r="E360" s="15"/>
      <c r="F360" s="17"/>
      <c r="G360" s="26"/>
      <c r="H360" s="26"/>
      <c r="I360" s="26"/>
      <c r="J360" s="26"/>
    </row>
    <row r="361" spans="1:10">
      <c r="A361" s="25"/>
      <c r="B361" s="15"/>
      <c r="C361" s="15"/>
      <c r="E361" s="15"/>
      <c r="F361" s="17"/>
      <c r="G361" s="26"/>
      <c r="H361" s="26"/>
      <c r="I361" s="26"/>
      <c r="J361" s="26"/>
    </row>
    <row r="362" spans="1:10">
      <c r="A362" s="25"/>
      <c r="B362" s="15"/>
      <c r="C362" s="15"/>
      <c r="E362" s="15"/>
      <c r="F362" s="17"/>
      <c r="G362" s="26"/>
      <c r="H362" s="26"/>
      <c r="I362" s="26"/>
      <c r="J362" s="26"/>
    </row>
    <row r="363" spans="1:10">
      <c r="A363" s="25"/>
      <c r="B363" s="15"/>
      <c r="C363" s="15"/>
      <c r="E363" s="15"/>
      <c r="F363" s="17"/>
      <c r="G363" s="26"/>
      <c r="H363" s="26"/>
      <c r="I363" s="26"/>
      <c r="J363" s="26"/>
    </row>
    <row r="364" spans="1:10">
      <c r="A364" s="25"/>
      <c r="B364" s="15"/>
      <c r="C364" s="15"/>
      <c r="E364" s="15"/>
      <c r="F364" s="17"/>
      <c r="G364" s="26"/>
      <c r="H364" s="26"/>
      <c r="I364" s="26"/>
      <c r="J364" s="26"/>
    </row>
    <row r="365" spans="1:10">
      <c r="A365" s="25"/>
      <c r="B365" s="15"/>
      <c r="C365" s="15"/>
      <c r="E365" s="15"/>
      <c r="F365" s="17"/>
      <c r="G365" s="26"/>
      <c r="H365" s="26"/>
      <c r="I365" s="26"/>
      <c r="J365" s="26"/>
    </row>
    <row r="366" spans="1:10">
      <c r="A366" s="25"/>
      <c r="B366" s="15"/>
      <c r="C366" s="15"/>
      <c r="E366" s="15"/>
      <c r="F366" s="17"/>
      <c r="G366" s="26"/>
      <c r="H366" s="26"/>
      <c r="I366" s="26"/>
      <c r="J366" s="26"/>
    </row>
    <row r="367" spans="1:10">
      <c r="A367" s="25"/>
      <c r="B367" s="15"/>
      <c r="C367" s="15"/>
      <c r="E367" s="15"/>
      <c r="F367" s="17"/>
      <c r="G367" s="26"/>
      <c r="H367" s="26"/>
      <c r="I367" s="26"/>
      <c r="J367" s="26"/>
    </row>
    <row r="368" spans="1:10">
      <c r="A368" s="25"/>
      <c r="B368" s="15"/>
      <c r="C368" s="15"/>
      <c r="E368" s="15"/>
      <c r="F368" s="17"/>
      <c r="G368" s="26"/>
      <c r="H368" s="26"/>
      <c r="I368" s="26"/>
      <c r="J368" s="26"/>
    </row>
    <row r="369" spans="1:10">
      <c r="A369" s="25"/>
      <c r="B369" s="15"/>
      <c r="C369" s="15"/>
      <c r="E369" s="15"/>
      <c r="F369" s="17"/>
      <c r="G369" s="26"/>
      <c r="H369" s="26"/>
      <c r="I369" s="26"/>
      <c r="J369" s="26"/>
    </row>
    <row r="370" spans="1:10">
      <c r="A370" s="25"/>
      <c r="B370" s="15"/>
      <c r="C370" s="15"/>
      <c r="E370" s="15"/>
      <c r="F370" s="17"/>
      <c r="G370" s="26"/>
      <c r="H370" s="26"/>
      <c r="I370" s="26"/>
      <c r="J370" s="26"/>
    </row>
    <row r="371" spans="1:10">
      <c r="A371" s="25"/>
      <c r="B371" s="15"/>
      <c r="C371" s="15"/>
      <c r="E371" s="15"/>
      <c r="F371" s="17"/>
      <c r="G371" s="26"/>
      <c r="H371" s="26"/>
      <c r="I371" s="26"/>
      <c r="J371" s="26"/>
    </row>
    <row r="372" spans="1:10">
      <c r="A372" s="25"/>
      <c r="B372" s="15"/>
      <c r="C372" s="15"/>
      <c r="E372" s="15"/>
      <c r="F372" s="17"/>
      <c r="G372" s="26"/>
      <c r="H372" s="26"/>
      <c r="I372" s="26"/>
      <c r="J372" s="26"/>
    </row>
    <row r="373" spans="1:10">
      <c r="A373" s="25"/>
      <c r="B373" s="15"/>
      <c r="C373" s="15"/>
      <c r="E373" s="15"/>
      <c r="F373" s="17"/>
      <c r="G373" s="26"/>
      <c r="H373" s="26"/>
      <c r="I373" s="26"/>
      <c r="J373" s="26"/>
    </row>
    <row r="374" spans="1:10">
      <c r="A374" s="25"/>
      <c r="B374" s="15"/>
      <c r="C374" s="15"/>
      <c r="E374" s="15"/>
      <c r="F374" s="17"/>
      <c r="G374" s="26"/>
      <c r="H374" s="26"/>
      <c r="I374" s="26"/>
      <c r="J374" s="26"/>
    </row>
    <row r="375" spans="1:10">
      <c r="A375" s="25"/>
      <c r="B375" s="15"/>
      <c r="C375" s="15"/>
      <c r="E375" s="15"/>
      <c r="F375" s="17"/>
      <c r="G375" s="26"/>
      <c r="H375" s="26"/>
      <c r="I375" s="26"/>
      <c r="J375" s="26"/>
    </row>
    <row r="376" spans="1:10">
      <c r="A376" s="25"/>
      <c r="B376" s="15"/>
      <c r="C376" s="15"/>
      <c r="E376" s="15"/>
      <c r="F376" s="17"/>
      <c r="G376" s="26"/>
      <c r="H376" s="26"/>
      <c r="I376" s="26"/>
      <c r="J376" s="26"/>
    </row>
    <row r="377" spans="1:10">
      <c r="A377" s="25"/>
      <c r="B377" s="15"/>
      <c r="C377" s="15"/>
      <c r="E377" s="15"/>
      <c r="F377" s="17"/>
      <c r="G377" s="26"/>
      <c r="H377" s="26"/>
      <c r="I377" s="26"/>
      <c r="J377" s="26"/>
    </row>
    <row r="378" spans="1:10">
      <c r="A378" s="25"/>
      <c r="B378" s="15"/>
      <c r="C378" s="15"/>
      <c r="E378" s="15"/>
      <c r="F378" s="17"/>
      <c r="G378" s="26"/>
      <c r="H378" s="26"/>
      <c r="I378" s="26"/>
      <c r="J378" s="26"/>
    </row>
    <row r="379" spans="1:10">
      <c r="A379" s="25"/>
      <c r="B379" s="15"/>
      <c r="C379" s="15"/>
      <c r="E379" s="15"/>
      <c r="F379" s="17"/>
      <c r="G379" s="26"/>
      <c r="H379" s="26"/>
      <c r="I379" s="26"/>
      <c r="J379" s="26"/>
    </row>
    <row r="380" spans="1:10">
      <c r="A380" s="25"/>
      <c r="B380" s="15"/>
      <c r="C380" s="15"/>
      <c r="E380" s="15"/>
      <c r="F380" s="17"/>
      <c r="G380" s="26"/>
      <c r="H380" s="26"/>
      <c r="I380" s="26"/>
      <c r="J380" s="26"/>
    </row>
    <row r="381" spans="1:10">
      <c r="A381" s="25"/>
      <c r="B381" s="15"/>
      <c r="C381" s="15"/>
      <c r="E381" s="15"/>
      <c r="F381" s="17"/>
      <c r="G381" s="26"/>
      <c r="H381" s="26"/>
      <c r="I381" s="26"/>
      <c r="J381" s="26"/>
    </row>
    <row r="382" spans="1:10">
      <c r="A382" s="25"/>
      <c r="B382" s="15"/>
      <c r="C382" s="15"/>
      <c r="E382" s="15"/>
      <c r="F382" s="17"/>
      <c r="G382" s="26"/>
      <c r="H382" s="26"/>
      <c r="I382" s="26"/>
      <c r="J382" s="26"/>
    </row>
    <row r="383" spans="1:10">
      <c r="A383" s="25"/>
      <c r="B383" s="15"/>
      <c r="C383" s="15"/>
      <c r="E383" s="15"/>
      <c r="F383" s="17"/>
      <c r="G383" s="26"/>
      <c r="H383" s="26"/>
      <c r="I383" s="26"/>
      <c r="J383" s="26"/>
    </row>
    <row r="384" spans="1:10">
      <c r="A384" s="25"/>
      <c r="B384" s="15"/>
      <c r="C384" s="15"/>
      <c r="E384" s="15"/>
      <c r="F384" s="17"/>
      <c r="G384" s="26"/>
      <c r="H384" s="26"/>
      <c r="I384" s="26"/>
      <c r="J384" s="26"/>
    </row>
    <row r="385" spans="1:10">
      <c r="A385" s="25"/>
      <c r="B385" s="15"/>
      <c r="C385" s="15"/>
      <c r="E385" s="15"/>
      <c r="F385" s="17"/>
      <c r="G385" s="26"/>
      <c r="H385" s="26"/>
      <c r="I385" s="26"/>
      <c r="J385" s="26"/>
    </row>
    <row r="386" spans="1:10">
      <c r="A386" s="25"/>
      <c r="B386" s="15"/>
      <c r="C386" s="15"/>
      <c r="E386" s="15"/>
      <c r="F386" s="17"/>
      <c r="G386" s="26"/>
      <c r="H386" s="26"/>
      <c r="I386" s="26"/>
      <c r="J386" s="26"/>
    </row>
    <row r="387" spans="1:10">
      <c r="A387" s="25"/>
      <c r="B387" s="15"/>
      <c r="C387" s="15"/>
      <c r="E387" s="15"/>
      <c r="F387" s="17"/>
      <c r="G387" s="26"/>
      <c r="H387" s="26"/>
      <c r="I387" s="26"/>
      <c r="J387" s="26"/>
    </row>
    <row r="388" spans="1:10">
      <c r="A388" s="25"/>
      <c r="B388" s="15"/>
      <c r="C388" s="15"/>
      <c r="E388" s="15"/>
      <c r="F388" s="17"/>
      <c r="G388" s="26"/>
      <c r="H388" s="26"/>
      <c r="I388" s="26"/>
      <c r="J388" s="26"/>
    </row>
    <row r="389" spans="1:10">
      <c r="A389" s="25"/>
      <c r="B389" s="15"/>
      <c r="C389" s="15"/>
      <c r="E389" s="15"/>
      <c r="F389" s="17"/>
      <c r="G389" s="26"/>
      <c r="H389" s="26"/>
      <c r="I389" s="26"/>
      <c r="J389" s="26"/>
    </row>
    <row r="390" spans="1:10">
      <c r="A390" s="25"/>
      <c r="B390" s="15"/>
      <c r="C390" s="15"/>
      <c r="E390" s="15"/>
      <c r="F390" s="17"/>
      <c r="G390" s="26"/>
      <c r="H390" s="26"/>
      <c r="I390" s="26"/>
      <c r="J390" s="26"/>
    </row>
    <row r="391" spans="1:10">
      <c r="A391" s="25"/>
      <c r="B391" s="15"/>
      <c r="C391" s="15"/>
      <c r="E391" s="15"/>
      <c r="F391" s="17"/>
      <c r="G391" s="26"/>
      <c r="H391" s="26"/>
      <c r="I391" s="26"/>
      <c r="J391" s="26"/>
    </row>
    <row r="392" spans="1:10">
      <c r="A392" s="25"/>
      <c r="B392" s="15"/>
      <c r="C392" s="15"/>
      <c r="E392" s="15"/>
      <c r="F392" s="17"/>
      <c r="G392" s="26"/>
      <c r="H392" s="26"/>
      <c r="I392" s="26"/>
      <c r="J392" s="26"/>
    </row>
    <row r="393" spans="1:10">
      <c r="A393" s="25"/>
      <c r="B393" s="15"/>
      <c r="C393" s="15"/>
      <c r="E393" s="15"/>
      <c r="F393" s="17"/>
      <c r="G393" s="26"/>
      <c r="H393" s="26"/>
      <c r="I393" s="26"/>
      <c r="J393" s="26"/>
    </row>
    <row r="394" spans="1:10">
      <c r="A394" s="25"/>
      <c r="B394" s="15"/>
      <c r="C394" s="15"/>
      <c r="E394" s="15"/>
      <c r="F394" s="17"/>
      <c r="G394" s="26"/>
      <c r="H394" s="26"/>
      <c r="I394" s="26"/>
      <c r="J394" s="26"/>
    </row>
    <row r="395" spans="1:10">
      <c r="A395" s="25"/>
      <c r="B395" s="15"/>
      <c r="C395" s="15"/>
      <c r="E395" s="15"/>
      <c r="F395" s="17"/>
      <c r="G395" s="26"/>
      <c r="H395" s="26"/>
      <c r="I395" s="26"/>
      <c r="J395" s="26"/>
    </row>
    <row r="396" spans="1:10">
      <c r="A396" s="25"/>
      <c r="B396" s="15"/>
      <c r="C396" s="15"/>
      <c r="E396" s="15"/>
      <c r="F396" s="17"/>
      <c r="G396" s="26"/>
      <c r="H396" s="26"/>
      <c r="I396" s="26"/>
      <c r="J396" s="26"/>
    </row>
    <row r="397" spans="1:10">
      <c r="A397" s="25"/>
      <c r="B397" s="15"/>
      <c r="C397" s="15"/>
      <c r="E397" s="15"/>
      <c r="F397" s="17"/>
      <c r="G397" s="26"/>
      <c r="H397" s="26"/>
      <c r="I397" s="26"/>
      <c r="J397" s="26"/>
    </row>
    <row r="398" spans="1:10">
      <c r="A398" s="25"/>
      <c r="B398" s="15"/>
      <c r="C398" s="15"/>
      <c r="E398" s="15"/>
      <c r="F398" s="17"/>
      <c r="G398" s="26"/>
      <c r="H398" s="26"/>
      <c r="I398" s="26"/>
      <c r="J398" s="26"/>
    </row>
    <row r="399" spans="1:10">
      <c r="A399" s="25"/>
      <c r="B399" s="15"/>
      <c r="C399" s="15"/>
      <c r="E399" s="15"/>
      <c r="F399" s="17"/>
      <c r="G399" s="26"/>
      <c r="H399" s="26"/>
      <c r="I399" s="26"/>
      <c r="J399" s="26"/>
    </row>
    <row r="400" spans="1:10">
      <c r="A400" s="25"/>
      <c r="B400" s="15"/>
      <c r="C400" s="15"/>
      <c r="E400" s="15"/>
      <c r="F400" s="17"/>
      <c r="G400" s="26"/>
      <c r="H400" s="26"/>
      <c r="I400" s="26"/>
      <c r="J400" s="26"/>
    </row>
    <row r="401" spans="1:10">
      <c r="A401" s="25"/>
      <c r="B401" s="15"/>
      <c r="C401" s="15"/>
      <c r="E401" s="15"/>
      <c r="F401" s="17"/>
      <c r="G401" s="26"/>
      <c r="H401" s="26"/>
      <c r="I401" s="26"/>
      <c r="J401" s="26"/>
    </row>
    <row r="402" spans="1:10">
      <c r="A402" s="25"/>
      <c r="B402" s="15"/>
      <c r="C402" s="15"/>
      <c r="E402" s="15"/>
      <c r="F402" s="17"/>
      <c r="G402" s="26"/>
      <c r="H402" s="26"/>
      <c r="I402" s="26"/>
      <c r="J402" s="26"/>
    </row>
    <row r="403" spans="1:10">
      <c r="A403" s="25"/>
      <c r="B403" s="15"/>
      <c r="C403" s="15"/>
      <c r="E403" s="15"/>
      <c r="F403" s="17"/>
      <c r="G403" s="26"/>
      <c r="H403" s="26"/>
      <c r="I403" s="26"/>
      <c r="J403" s="26"/>
    </row>
    <row r="404" spans="1:10">
      <c r="A404" s="25"/>
      <c r="B404" s="15"/>
      <c r="C404" s="15"/>
      <c r="E404" s="15"/>
      <c r="F404" s="17"/>
      <c r="G404" s="26"/>
      <c r="H404" s="26"/>
      <c r="I404" s="26"/>
      <c r="J404" s="26"/>
    </row>
    <row r="405" spans="1:10">
      <c r="A405" s="25"/>
      <c r="B405" s="15"/>
      <c r="C405" s="15"/>
      <c r="E405" s="15"/>
      <c r="F405" s="17"/>
      <c r="G405" s="26"/>
      <c r="H405" s="26"/>
      <c r="I405" s="26"/>
      <c r="J405" s="26"/>
    </row>
    <row r="406" spans="1:10">
      <c r="A406" s="25"/>
      <c r="B406" s="15"/>
      <c r="C406" s="15"/>
      <c r="E406" s="15"/>
      <c r="F406" s="17"/>
      <c r="G406" s="26"/>
      <c r="H406" s="26"/>
      <c r="I406" s="26"/>
      <c r="J406" s="26"/>
    </row>
    <row r="407" spans="1:10">
      <c r="A407" s="25"/>
      <c r="B407" s="15"/>
      <c r="C407" s="15"/>
      <c r="E407" s="15"/>
      <c r="F407" s="17"/>
      <c r="G407" s="26"/>
      <c r="H407" s="26"/>
      <c r="I407" s="26"/>
      <c r="J407" s="26"/>
    </row>
    <row r="408" spans="1:10">
      <c r="A408" s="25"/>
      <c r="B408" s="15"/>
      <c r="C408" s="15"/>
      <c r="E408" s="15"/>
      <c r="F408" s="17"/>
      <c r="G408" s="26"/>
      <c r="H408" s="26"/>
      <c r="I408" s="26"/>
      <c r="J408" s="26"/>
    </row>
    <row r="409" spans="1:10">
      <c r="A409" s="25"/>
      <c r="B409" s="15"/>
      <c r="C409" s="15"/>
      <c r="E409" s="15"/>
      <c r="F409" s="17"/>
      <c r="G409" s="26"/>
      <c r="H409" s="26"/>
      <c r="I409" s="26"/>
      <c r="J409" s="26"/>
    </row>
    <row r="410" spans="1:10">
      <c r="A410" s="25"/>
      <c r="B410" s="15"/>
      <c r="C410" s="15"/>
      <c r="E410" s="15"/>
      <c r="F410" s="17"/>
      <c r="G410" s="26"/>
      <c r="H410" s="26"/>
      <c r="I410" s="26"/>
      <c r="J410" s="26"/>
    </row>
    <row r="411" spans="1:10">
      <c r="A411" s="25"/>
      <c r="B411" s="15"/>
      <c r="C411" s="15"/>
      <c r="E411" s="15"/>
      <c r="F411" s="17"/>
      <c r="G411" s="26"/>
      <c r="H411" s="26"/>
      <c r="I411" s="26"/>
      <c r="J411" s="26"/>
    </row>
    <row r="412" spans="1:10">
      <c r="A412" s="25"/>
      <c r="B412" s="15"/>
      <c r="C412" s="15"/>
      <c r="E412" s="15"/>
      <c r="F412" s="17"/>
      <c r="G412" s="26"/>
      <c r="H412" s="26"/>
      <c r="I412" s="26"/>
      <c r="J412" s="26"/>
    </row>
    <row r="413" spans="1:10">
      <c r="A413" s="25"/>
      <c r="B413" s="15"/>
      <c r="C413" s="15"/>
      <c r="E413" s="15"/>
      <c r="F413" s="17"/>
      <c r="G413" s="26"/>
      <c r="H413" s="26"/>
      <c r="I413" s="26"/>
      <c r="J413" s="26"/>
    </row>
    <row r="414" spans="1:10">
      <c r="A414" s="25"/>
      <c r="B414" s="15"/>
      <c r="C414" s="15"/>
      <c r="E414" s="15"/>
      <c r="F414" s="17"/>
      <c r="G414" s="26"/>
      <c r="H414" s="26"/>
      <c r="I414" s="26"/>
      <c r="J414" s="26"/>
    </row>
    <row r="415" spans="1:10">
      <c r="A415" s="25"/>
      <c r="B415" s="15"/>
      <c r="C415" s="15"/>
      <c r="E415" s="15"/>
      <c r="F415" s="17"/>
      <c r="G415" s="26"/>
      <c r="H415" s="26"/>
      <c r="I415" s="26"/>
      <c r="J415" s="26"/>
    </row>
    <row r="416" spans="1:10">
      <c r="A416" s="25"/>
      <c r="B416" s="15"/>
      <c r="C416" s="15"/>
      <c r="E416" s="15"/>
      <c r="F416" s="17"/>
      <c r="G416" s="26"/>
      <c r="H416" s="26"/>
      <c r="I416" s="26"/>
      <c r="J416" s="26"/>
    </row>
    <row r="417" spans="1:10">
      <c r="A417" s="25"/>
      <c r="B417" s="15"/>
      <c r="C417" s="15"/>
      <c r="E417" s="15"/>
      <c r="F417" s="17"/>
      <c r="G417" s="26"/>
      <c r="H417" s="26"/>
      <c r="I417" s="26"/>
      <c r="J417" s="26"/>
    </row>
    <row r="418" spans="1:10">
      <c r="A418" s="25"/>
      <c r="B418" s="15"/>
      <c r="C418" s="15"/>
      <c r="E418" s="15"/>
      <c r="F418" s="17"/>
      <c r="G418" s="26"/>
      <c r="H418" s="26"/>
      <c r="I418" s="26"/>
      <c r="J418" s="26"/>
    </row>
    <row r="419" spans="1:10">
      <c r="A419" s="25"/>
      <c r="B419" s="15"/>
      <c r="C419" s="15"/>
      <c r="E419" s="15"/>
      <c r="F419" s="17"/>
      <c r="G419" s="26"/>
      <c r="H419" s="26"/>
      <c r="I419" s="26"/>
      <c r="J419" s="26"/>
    </row>
    <row r="420" spans="1:10">
      <c r="A420" s="25"/>
      <c r="B420" s="15"/>
      <c r="C420" s="15"/>
      <c r="E420" s="15"/>
      <c r="F420" s="17"/>
      <c r="G420" s="26"/>
      <c r="H420" s="26"/>
      <c r="I420" s="26"/>
      <c r="J420" s="26"/>
    </row>
    <row r="421" spans="1:10">
      <c r="A421" s="25"/>
      <c r="B421" s="15"/>
      <c r="C421" s="15"/>
      <c r="E421" s="15"/>
      <c r="F421" s="17"/>
      <c r="G421" s="26"/>
      <c r="H421" s="26"/>
      <c r="I421" s="26"/>
      <c r="J421" s="26"/>
    </row>
    <row r="422" spans="1:10">
      <c r="A422" s="25"/>
      <c r="B422" s="15"/>
      <c r="C422" s="15"/>
      <c r="E422" s="15"/>
      <c r="F422" s="17"/>
      <c r="G422" s="26"/>
      <c r="H422" s="26"/>
      <c r="I422" s="26"/>
      <c r="J422" s="26"/>
    </row>
    <row r="423" spans="1:10">
      <c r="A423" s="25"/>
      <c r="B423" s="15"/>
      <c r="C423" s="15"/>
      <c r="E423" s="15"/>
      <c r="F423" s="17"/>
      <c r="G423" s="26"/>
      <c r="H423" s="26"/>
      <c r="I423" s="26"/>
      <c r="J423" s="26"/>
    </row>
    <row r="424" spans="1:10">
      <c r="A424" s="25"/>
      <c r="B424" s="15"/>
      <c r="C424" s="15"/>
      <c r="E424" s="15"/>
      <c r="F424" s="17"/>
      <c r="G424" s="26"/>
      <c r="H424" s="26"/>
      <c r="I424" s="26"/>
      <c r="J424" s="26"/>
    </row>
    <row r="425" spans="1:10">
      <c r="A425" s="25"/>
      <c r="B425" s="15"/>
      <c r="C425" s="15"/>
      <c r="E425" s="15"/>
      <c r="F425" s="17"/>
      <c r="G425" s="26"/>
      <c r="H425" s="26"/>
      <c r="I425" s="26"/>
      <c r="J425" s="26"/>
    </row>
    <row r="426" spans="1:10">
      <c r="A426" s="25"/>
      <c r="B426" s="15"/>
      <c r="C426" s="15"/>
      <c r="E426" s="15"/>
      <c r="F426" s="17"/>
      <c r="G426" s="26"/>
      <c r="H426" s="26"/>
      <c r="I426" s="26"/>
      <c r="J426" s="26"/>
    </row>
    <row r="427" spans="1:10">
      <c r="A427" s="25"/>
      <c r="B427" s="15"/>
      <c r="C427" s="15"/>
      <c r="E427" s="15"/>
      <c r="F427" s="17"/>
      <c r="G427" s="26"/>
      <c r="H427" s="26"/>
      <c r="I427" s="26"/>
      <c r="J427" s="26"/>
    </row>
    <row r="428" spans="1:10">
      <c r="A428" s="25"/>
      <c r="B428" s="15"/>
      <c r="C428" s="15"/>
      <c r="E428" s="15"/>
      <c r="F428" s="17"/>
      <c r="G428" s="26"/>
      <c r="H428" s="26"/>
      <c r="I428" s="26"/>
      <c r="J428" s="26"/>
    </row>
    <row r="429" spans="1:10">
      <c r="A429" s="25"/>
      <c r="B429" s="15"/>
      <c r="C429" s="15"/>
      <c r="E429" s="15"/>
      <c r="F429" s="17"/>
      <c r="G429" s="26"/>
      <c r="H429" s="26"/>
      <c r="I429" s="26"/>
      <c r="J429" s="26"/>
    </row>
    <row r="430" spans="1:10">
      <c r="A430" s="25"/>
      <c r="B430" s="15"/>
      <c r="C430" s="15"/>
      <c r="E430" s="15"/>
      <c r="F430" s="17"/>
      <c r="G430" s="26"/>
      <c r="H430" s="26"/>
      <c r="I430" s="26"/>
      <c r="J430" s="26"/>
    </row>
    <row r="431" spans="1:10">
      <c r="A431" s="25"/>
      <c r="B431" s="15"/>
      <c r="C431" s="15"/>
      <c r="E431" s="15"/>
      <c r="F431" s="17"/>
      <c r="G431" s="26"/>
      <c r="H431" s="26"/>
      <c r="I431" s="26"/>
      <c r="J431" s="26"/>
    </row>
    <row r="432" spans="1:10">
      <c r="A432" s="25"/>
      <c r="B432" s="15"/>
      <c r="C432" s="15"/>
      <c r="E432" s="15"/>
      <c r="F432" s="17"/>
      <c r="G432" s="26"/>
      <c r="H432" s="26"/>
      <c r="I432" s="26"/>
      <c r="J432" s="26"/>
    </row>
    <row r="433" spans="1:10">
      <c r="A433" s="25"/>
      <c r="B433" s="15"/>
      <c r="C433" s="15"/>
      <c r="E433" s="15"/>
      <c r="F433" s="17"/>
      <c r="G433" s="26"/>
      <c r="H433" s="26"/>
      <c r="I433" s="26"/>
      <c r="J433" s="26"/>
    </row>
    <row r="434" spans="1:10">
      <c r="A434" s="25"/>
      <c r="B434" s="15"/>
      <c r="C434" s="15"/>
      <c r="E434" s="15"/>
      <c r="F434" s="17"/>
      <c r="G434" s="26"/>
      <c r="H434" s="26"/>
      <c r="I434" s="26"/>
      <c r="J434" s="26"/>
    </row>
    <row r="435" spans="1:10">
      <c r="A435" s="25"/>
      <c r="B435" s="15"/>
      <c r="C435" s="15"/>
      <c r="E435" s="15"/>
      <c r="F435" s="17"/>
      <c r="G435" s="26"/>
      <c r="H435" s="26"/>
      <c r="I435" s="26"/>
      <c r="J435" s="26"/>
    </row>
    <row r="436" spans="1:10">
      <c r="A436" s="25"/>
      <c r="B436" s="15"/>
      <c r="C436" s="15"/>
      <c r="E436" s="15"/>
      <c r="F436" s="17"/>
      <c r="G436" s="26"/>
      <c r="H436" s="26"/>
      <c r="I436" s="26"/>
      <c r="J436" s="26"/>
    </row>
    <row r="437" spans="1:10">
      <c r="A437" s="25"/>
      <c r="B437" s="15"/>
      <c r="C437" s="15"/>
      <c r="E437" s="15"/>
      <c r="F437" s="17"/>
      <c r="G437" s="26"/>
      <c r="H437" s="26"/>
      <c r="I437" s="26"/>
      <c r="J437" s="26"/>
    </row>
    <row r="438" spans="1:10">
      <c r="A438" s="25"/>
      <c r="B438" s="15"/>
      <c r="C438" s="15"/>
      <c r="E438" s="15"/>
      <c r="F438" s="17"/>
      <c r="G438" s="26"/>
      <c r="H438" s="26"/>
      <c r="I438" s="26"/>
      <c r="J438" s="26"/>
    </row>
    <row r="439" spans="1:10">
      <c r="A439" s="25"/>
      <c r="B439" s="15"/>
      <c r="C439" s="15"/>
      <c r="E439" s="15"/>
      <c r="F439" s="17"/>
      <c r="G439" s="26"/>
      <c r="H439" s="26"/>
      <c r="I439" s="26"/>
      <c r="J439" s="26"/>
    </row>
    <row r="440" spans="1:10">
      <c r="A440" s="25"/>
      <c r="B440" s="15"/>
      <c r="C440" s="15"/>
      <c r="E440" s="15"/>
      <c r="F440" s="17"/>
      <c r="G440" s="26"/>
      <c r="H440" s="26"/>
      <c r="I440" s="26"/>
      <c r="J440" s="26"/>
    </row>
    <row r="441" spans="1:10">
      <c r="A441" s="25"/>
      <c r="B441" s="15"/>
      <c r="C441" s="15"/>
      <c r="E441" s="15"/>
      <c r="F441" s="17"/>
      <c r="G441" s="26"/>
      <c r="H441" s="26"/>
      <c r="I441" s="26"/>
      <c r="J441" s="26"/>
    </row>
    <row r="442" spans="1:10">
      <c r="A442" s="25"/>
      <c r="B442" s="15"/>
      <c r="C442" s="15"/>
      <c r="E442" s="15"/>
      <c r="F442" s="17"/>
      <c r="G442" s="26"/>
      <c r="H442" s="26"/>
      <c r="I442" s="26"/>
      <c r="J442" s="26"/>
    </row>
    <row r="443" spans="1:10">
      <c r="A443" s="25"/>
      <c r="B443" s="15"/>
      <c r="C443" s="15"/>
      <c r="E443" s="15"/>
      <c r="F443" s="17"/>
      <c r="G443" s="26"/>
      <c r="H443" s="26"/>
      <c r="I443" s="26"/>
      <c r="J443" s="26"/>
    </row>
    <row r="444" spans="1:10">
      <c r="A444" s="25"/>
      <c r="B444" s="15"/>
      <c r="C444" s="15"/>
      <c r="E444" s="15"/>
      <c r="F444" s="17"/>
      <c r="G444" s="26"/>
      <c r="H444" s="26"/>
      <c r="I444" s="26"/>
      <c r="J444" s="26"/>
    </row>
    <row r="445" spans="1:10">
      <c r="A445" s="25"/>
      <c r="B445" s="15"/>
      <c r="C445" s="15"/>
      <c r="E445" s="15"/>
      <c r="F445" s="17"/>
      <c r="G445" s="26"/>
      <c r="H445" s="26"/>
      <c r="I445" s="26"/>
      <c r="J445" s="26"/>
    </row>
    <row r="446" spans="1:10">
      <c r="A446" s="25"/>
      <c r="B446" s="15"/>
      <c r="C446" s="15"/>
      <c r="E446" s="15"/>
      <c r="F446" s="17"/>
      <c r="G446" s="26"/>
      <c r="H446" s="26"/>
      <c r="I446" s="26"/>
      <c r="J446" s="26"/>
    </row>
    <row r="447" spans="1:10">
      <c r="A447" s="25"/>
      <c r="B447" s="15"/>
      <c r="C447" s="15"/>
      <c r="E447" s="15"/>
      <c r="F447" s="17"/>
      <c r="G447" s="26"/>
      <c r="H447" s="26"/>
      <c r="I447" s="26"/>
      <c r="J447" s="26"/>
    </row>
    <row r="448" spans="1:10">
      <c r="A448" s="25"/>
      <c r="B448" s="15"/>
      <c r="C448" s="15"/>
      <c r="E448" s="15"/>
      <c r="F448" s="17"/>
      <c r="G448" s="26"/>
      <c r="H448" s="26"/>
      <c r="I448" s="26"/>
      <c r="J448" s="26"/>
    </row>
    <row r="449" spans="1:10">
      <c r="A449" s="25"/>
      <c r="B449" s="15"/>
      <c r="C449" s="15"/>
      <c r="E449" s="15"/>
      <c r="F449" s="17"/>
      <c r="G449" s="26"/>
      <c r="H449" s="26"/>
      <c r="I449" s="26"/>
      <c r="J449" s="26"/>
    </row>
    <row r="450" spans="1:10">
      <c r="A450" s="25"/>
      <c r="B450" s="15"/>
      <c r="C450" s="15"/>
      <c r="E450" s="15"/>
      <c r="F450" s="17"/>
      <c r="G450" s="26"/>
      <c r="H450" s="26"/>
      <c r="I450" s="26"/>
      <c r="J450" s="26"/>
    </row>
    <row r="451" spans="1:10">
      <c r="A451" s="25"/>
      <c r="B451" s="15"/>
      <c r="C451" s="15"/>
      <c r="E451" s="15"/>
      <c r="F451" s="17"/>
      <c r="G451" s="26"/>
      <c r="H451" s="26"/>
      <c r="I451" s="26"/>
      <c r="J451" s="26"/>
    </row>
    <row r="452" spans="1:10">
      <c r="A452" s="25"/>
      <c r="B452" s="15"/>
      <c r="C452" s="15"/>
      <c r="E452" s="15"/>
      <c r="F452" s="17"/>
      <c r="G452" s="26"/>
      <c r="H452" s="26"/>
      <c r="I452" s="26"/>
      <c r="J452" s="26"/>
    </row>
    <row r="453" spans="1:10">
      <c r="A453" s="25"/>
      <c r="B453" s="15"/>
      <c r="C453" s="15"/>
      <c r="E453" s="15"/>
      <c r="F453" s="17"/>
      <c r="G453" s="26"/>
      <c r="H453" s="26"/>
      <c r="I453" s="26"/>
      <c r="J453" s="26"/>
    </row>
    <row r="454" spans="1:10">
      <c r="A454" s="25"/>
      <c r="B454" s="15"/>
      <c r="C454" s="15"/>
      <c r="E454" s="15"/>
      <c r="F454" s="17"/>
      <c r="G454" s="26"/>
      <c r="H454" s="26"/>
      <c r="I454" s="26"/>
      <c r="J454" s="26"/>
    </row>
    <row r="455" spans="1:10">
      <c r="A455" s="25"/>
      <c r="B455" s="15"/>
      <c r="C455" s="15"/>
      <c r="E455" s="15"/>
      <c r="F455" s="17"/>
      <c r="G455" s="26"/>
      <c r="H455" s="26"/>
      <c r="I455" s="26"/>
      <c r="J455" s="26"/>
    </row>
    <row r="456" spans="1:10">
      <c r="A456" s="25"/>
      <c r="B456" s="15"/>
      <c r="C456" s="15"/>
      <c r="E456" s="15"/>
      <c r="F456" s="17"/>
      <c r="G456" s="26"/>
      <c r="H456" s="26"/>
      <c r="I456" s="26"/>
      <c r="J456" s="26"/>
    </row>
    <row r="457" spans="1:10">
      <c r="A457" s="25"/>
      <c r="B457" s="15"/>
      <c r="C457" s="15"/>
      <c r="E457" s="15"/>
      <c r="F457" s="17"/>
      <c r="G457" s="26"/>
      <c r="H457" s="26"/>
      <c r="I457" s="26"/>
      <c r="J457" s="26"/>
    </row>
    <row r="458" spans="1:10">
      <c r="A458" s="25"/>
      <c r="B458" s="15"/>
      <c r="C458" s="15"/>
      <c r="E458" s="15"/>
      <c r="F458" s="17"/>
      <c r="G458" s="26"/>
      <c r="H458" s="26"/>
      <c r="I458" s="26"/>
      <c r="J458" s="26"/>
    </row>
    <row r="459" spans="1:10">
      <c r="A459" s="25"/>
      <c r="B459" s="15"/>
      <c r="C459" s="15"/>
      <c r="E459" s="15"/>
      <c r="F459" s="17"/>
      <c r="G459" s="26"/>
      <c r="H459" s="26"/>
      <c r="I459" s="26"/>
      <c r="J459" s="26"/>
    </row>
    <row r="460" spans="1:10">
      <c r="A460" s="25"/>
      <c r="B460" s="15"/>
      <c r="C460" s="15"/>
      <c r="E460" s="15"/>
      <c r="F460" s="17"/>
      <c r="G460" s="26"/>
      <c r="H460" s="26"/>
      <c r="I460" s="26"/>
      <c r="J460" s="26"/>
    </row>
    <row r="461" spans="1:10">
      <c r="A461" s="25"/>
      <c r="B461" s="15"/>
      <c r="C461" s="15"/>
      <c r="E461" s="15"/>
      <c r="F461" s="17"/>
      <c r="G461" s="26"/>
      <c r="H461" s="26"/>
      <c r="I461" s="26"/>
      <c r="J461" s="26"/>
    </row>
    <row r="462" spans="1:10">
      <c r="A462" s="25"/>
      <c r="B462" s="15"/>
      <c r="C462" s="15"/>
      <c r="E462" s="15"/>
      <c r="F462" s="17"/>
      <c r="G462" s="26"/>
      <c r="H462" s="26"/>
      <c r="I462" s="26"/>
      <c r="J462" s="26"/>
    </row>
    <row r="463" spans="1:10">
      <c r="A463" s="25"/>
      <c r="B463" s="15"/>
      <c r="C463" s="15"/>
      <c r="E463" s="15"/>
      <c r="F463" s="17"/>
      <c r="G463" s="26"/>
      <c r="H463" s="26"/>
      <c r="I463" s="26"/>
      <c r="J463" s="26"/>
    </row>
    <row r="464" spans="1:10">
      <c r="A464" s="25"/>
      <c r="B464" s="15"/>
      <c r="C464" s="15"/>
      <c r="E464" s="15"/>
      <c r="F464" s="17"/>
      <c r="G464" s="26"/>
      <c r="H464" s="26"/>
      <c r="I464" s="26"/>
      <c r="J464" s="26"/>
    </row>
    <row r="465" spans="1:10">
      <c r="A465" s="25"/>
      <c r="B465" s="15"/>
      <c r="C465" s="15"/>
      <c r="E465" s="15"/>
      <c r="F465" s="17"/>
      <c r="G465" s="26"/>
      <c r="H465" s="26"/>
      <c r="I465" s="26"/>
      <c r="J465" s="26"/>
    </row>
    <row r="466" spans="1:10">
      <c r="A466" s="25"/>
      <c r="B466" s="15"/>
      <c r="C466" s="15"/>
      <c r="E466" s="15"/>
      <c r="F466" s="17"/>
      <c r="G466" s="26"/>
      <c r="H466" s="26"/>
      <c r="I466" s="26"/>
      <c r="J466" s="26"/>
    </row>
    <row r="467" spans="1:10">
      <c r="A467" s="25"/>
      <c r="B467" s="15"/>
      <c r="C467" s="15"/>
      <c r="E467" s="15"/>
      <c r="F467" s="17"/>
      <c r="G467" s="26"/>
      <c r="H467" s="26"/>
      <c r="I467" s="26"/>
      <c r="J467" s="26"/>
    </row>
    <row r="468" spans="1:10">
      <c r="A468" s="25"/>
      <c r="B468" s="15"/>
      <c r="C468" s="15"/>
      <c r="E468" s="15"/>
      <c r="F468" s="17"/>
      <c r="G468" s="26"/>
      <c r="H468" s="26"/>
      <c r="I468" s="26"/>
      <c r="J468" s="26"/>
    </row>
    <row r="469" spans="1:10">
      <c r="A469" s="25"/>
      <c r="B469" s="15"/>
      <c r="C469" s="15"/>
      <c r="E469" s="15"/>
      <c r="F469" s="17"/>
      <c r="G469" s="26"/>
      <c r="H469" s="26"/>
      <c r="I469" s="26"/>
      <c r="J469" s="26"/>
    </row>
    <row r="470" spans="1:10">
      <c r="A470" s="25"/>
      <c r="B470" s="15"/>
      <c r="C470" s="15"/>
      <c r="E470" s="15"/>
      <c r="F470" s="17"/>
      <c r="G470" s="26"/>
      <c r="H470" s="26"/>
      <c r="I470" s="26"/>
      <c r="J470" s="26"/>
    </row>
    <row r="471" spans="1:10">
      <c r="A471" s="25"/>
      <c r="B471" s="15"/>
      <c r="C471" s="15"/>
      <c r="E471" s="15"/>
      <c r="F471" s="17"/>
      <c r="G471" s="26"/>
      <c r="H471" s="26"/>
      <c r="I471" s="26"/>
      <c r="J471" s="26"/>
    </row>
    <row r="472" spans="1:10">
      <c r="A472" s="25"/>
      <c r="B472" s="15"/>
      <c r="C472" s="15"/>
      <c r="E472" s="15"/>
      <c r="F472" s="17"/>
      <c r="G472" s="26"/>
      <c r="H472" s="26"/>
      <c r="I472" s="26"/>
      <c r="J472" s="26"/>
    </row>
    <row r="473" spans="1:10">
      <c r="A473" s="25"/>
      <c r="B473" s="15"/>
      <c r="C473" s="15"/>
      <c r="E473" s="15"/>
      <c r="F473" s="17"/>
      <c r="G473" s="26"/>
      <c r="H473" s="26"/>
      <c r="I473" s="26"/>
      <c r="J473" s="26"/>
    </row>
    <row r="474" spans="1:10">
      <c r="A474" s="25"/>
      <c r="B474" s="15"/>
      <c r="C474" s="15"/>
      <c r="E474" s="15"/>
      <c r="F474" s="17"/>
      <c r="G474" s="26"/>
      <c r="H474" s="26"/>
      <c r="I474" s="26"/>
      <c r="J474" s="26"/>
    </row>
    <row r="475" spans="1:10">
      <c r="A475" s="25"/>
      <c r="B475" s="15"/>
      <c r="C475" s="15"/>
      <c r="E475" s="15"/>
      <c r="F475" s="17"/>
      <c r="G475" s="26"/>
      <c r="H475" s="26"/>
      <c r="I475" s="26"/>
      <c r="J475" s="26"/>
    </row>
    <row r="476" spans="1:10">
      <c r="A476" s="25"/>
      <c r="B476" s="15"/>
      <c r="C476" s="15"/>
      <c r="E476" s="15"/>
      <c r="F476" s="17"/>
      <c r="G476" s="26"/>
      <c r="H476" s="26"/>
      <c r="I476" s="26"/>
      <c r="J476" s="26"/>
    </row>
    <row r="477" spans="1:10">
      <c r="A477" s="25"/>
      <c r="B477" s="15"/>
      <c r="C477" s="15"/>
      <c r="E477" s="15"/>
      <c r="F477" s="17"/>
      <c r="G477" s="26"/>
      <c r="H477" s="26"/>
      <c r="I477" s="26"/>
      <c r="J477" s="26"/>
    </row>
    <row r="478" spans="1:10">
      <c r="A478" s="25"/>
      <c r="B478" s="15"/>
      <c r="C478" s="15"/>
      <c r="E478" s="15"/>
      <c r="F478" s="17"/>
      <c r="G478" s="26"/>
      <c r="H478" s="26"/>
      <c r="I478" s="26"/>
      <c r="J478" s="26"/>
    </row>
    <row r="479" spans="1:10">
      <c r="A479" s="25"/>
      <c r="B479" s="15"/>
      <c r="C479" s="15"/>
      <c r="E479" s="15"/>
      <c r="F479" s="17"/>
      <c r="G479" s="26"/>
      <c r="H479" s="26"/>
      <c r="I479" s="26"/>
      <c r="J479" s="26"/>
    </row>
    <row r="480" spans="1:10">
      <c r="A480" s="25"/>
      <c r="B480" s="15"/>
      <c r="C480" s="15"/>
      <c r="E480" s="15"/>
      <c r="F480" s="17"/>
      <c r="G480" s="26"/>
      <c r="H480" s="26"/>
      <c r="I480" s="26"/>
      <c r="J480" s="26"/>
    </row>
    <row r="481" spans="1:10">
      <c r="A481" s="25"/>
      <c r="B481" s="15"/>
      <c r="C481" s="15"/>
      <c r="E481" s="15"/>
      <c r="F481" s="17"/>
      <c r="G481" s="26"/>
      <c r="H481" s="26"/>
      <c r="I481" s="26"/>
      <c r="J481" s="26"/>
    </row>
    <row r="482" spans="1:10">
      <c r="A482" s="25"/>
      <c r="B482" s="15"/>
      <c r="C482" s="15"/>
      <c r="E482" s="15"/>
      <c r="F482" s="17"/>
      <c r="G482" s="26"/>
      <c r="H482" s="26"/>
      <c r="I482" s="26"/>
      <c r="J482" s="26"/>
    </row>
    <row r="483" spans="1:10">
      <c r="A483" s="25"/>
      <c r="B483" s="15"/>
      <c r="C483" s="15"/>
      <c r="E483" s="15"/>
      <c r="F483" s="17"/>
      <c r="G483" s="26"/>
      <c r="H483" s="26"/>
      <c r="I483" s="26"/>
      <c r="J483" s="26"/>
    </row>
    <row r="484" spans="1:10">
      <c r="A484" s="25"/>
      <c r="B484" s="15"/>
      <c r="C484" s="15"/>
      <c r="E484" s="15"/>
      <c r="F484" s="17"/>
      <c r="G484" s="26"/>
      <c r="H484" s="26"/>
      <c r="I484" s="26"/>
      <c r="J484" s="26"/>
    </row>
    <row r="485" spans="1:10">
      <c r="A485" s="25"/>
      <c r="B485" s="15"/>
      <c r="C485" s="15"/>
      <c r="E485" s="15"/>
      <c r="F485" s="17"/>
      <c r="G485" s="26"/>
      <c r="H485" s="26"/>
      <c r="I485" s="26"/>
      <c r="J485" s="26"/>
    </row>
    <row r="486" spans="1:10">
      <c r="A486" s="25"/>
      <c r="B486" s="15"/>
      <c r="C486" s="15"/>
      <c r="E486" s="15"/>
      <c r="F486" s="17"/>
      <c r="G486" s="26"/>
      <c r="H486" s="26"/>
      <c r="I486" s="26"/>
      <c r="J486" s="26"/>
    </row>
    <row r="487" spans="1:10">
      <c r="A487" s="25"/>
      <c r="B487" s="15"/>
      <c r="C487" s="15"/>
      <c r="E487" s="15"/>
      <c r="F487" s="17"/>
      <c r="G487" s="26"/>
      <c r="H487" s="26"/>
      <c r="I487" s="26"/>
      <c r="J487" s="26"/>
    </row>
    <row r="488" spans="1:10">
      <c r="A488" s="25"/>
      <c r="B488" s="15"/>
      <c r="C488" s="15"/>
      <c r="E488" s="15"/>
      <c r="F488" s="17"/>
      <c r="G488" s="26"/>
      <c r="H488" s="26"/>
      <c r="I488" s="26"/>
      <c r="J488" s="26"/>
    </row>
    <row r="489" spans="1:10">
      <c r="A489" s="25"/>
      <c r="B489" s="15"/>
      <c r="C489" s="15"/>
      <c r="E489" s="15"/>
      <c r="F489" s="17"/>
      <c r="G489" s="26"/>
      <c r="H489" s="26"/>
      <c r="I489" s="26"/>
      <c r="J489" s="26"/>
    </row>
    <row r="490" spans="1:10">
      <c r="A490" s="25"/>
      <c r="B490" s="15"/>
      <c r="C490" s="15"/>
      <c r="E490" s="15"/>
      <c r="F490" s="17"/>
      <c r="G490" s="26"/>
      <c r="H490" s="26"/>
      <c r="I490" s="26"/>
      <c r="J490" s="26"/>
    </row>
    <row r="491" spans="1:10">
      <c r="A491" s="25"/>
      <c r="B491" s="15"/>
      <c r="C491" s="15"/>
      <c r="E491" s="15"/>
      <c r="F491" s="17"/>
      <c r="G491" s="26"/>
      <c r="H491" s="26"/>
      <c r="I491" s="26"/>
      <c r="J491" s="26"/>
    </row>
    <row r="492" spans="1:10">
      <c r="A492" s="25"/>
      <c r="B492" s="15"/>
      <c r="C492" s="15"/>
      <c r="E492" s="15"/>
      <c r="F492" s="17"/>
      <c r="G492" s="26"/>
      <c r="H492" s="26"/>
      <c r="I492" s="26"/>
      <c r="J492" s="26"/>
    </row>
    <row r="493" spans="1:10">
      <c r="A493" s="25"/>
      <c r="B493" s="15"/>
      <c r="C493" s="15"/>
      <c r="E493" s="15"/>
      <c r="F493" s="17"/>
      <c r="G493" s="26"/>
      <c r="H493" s="26"/>
      <c r="I493" s="26"/>
      <c r="J493" s="26"/>
    </row>
    <row r="494" spans="1:10">
      <c r="A494" s="25"/>
      <c r="B494" s="15"/>
      <c r="C494" s="15"/>
      <c r="E494" s="15"/>
      <c r="F494" s="17"/>
      <c r="G494" s="26"/>
      <c r="H494" s="26"/>
      <c r="I494" s="26"/>
      <c r="J494" s="26"/>
    </row>
    <row r="495" spans="1:10">
      <c r="A495" s="25"/>
      <c r="B495" s="15"/>
      <c r="C495" s="15"/>
      <c r="E495" s="15"/>
      <c r="F495" s="17"/>
      <c r="G495" s="26"/>
      <c r="H495" s="26"/>
      <c r="I495" s="26"/>
      <c r="J495" s="26"/>
    </row>
    <row r="496" spans="1:10">
      <c r="A496" s="25"/>
      <c r="B496" s="15"/>
      <c r="C496" s="15"/>
      <c r="E496" s="15"/>
      <c r="F496" s="17"/>
      <c r="G496" s="26"/>
      <c r="H496" s="26"/>
      <c r="I496" s="26"/>
      <c r="J496" s="26"/>
    </row>
    <row r="497" spans="1:10">
      <c r="A497" s="25"/>
      <c r="B497" s="15"/>
      <c r="C497" s="15"/>
      <c r="E497" s="15"/>
      <c r="F497" s="17"/>
      <c r="G497" s="26"/>
      <c r="H497" s="26"/>
      <c r="I497" s="26"/>
      <c r="J497" s="26"/>
    </row>
    <row r="498" spans="1:10">
      <c r="A498" s="25"/>
      <c r="B498" s="15"/>
      <c r="C498" s="15"/>
      <c r="E498" s="15"/>
      <c r="F498" s="17"/>
      <c r="G498" s="26"/>
      <c r="H498" s="26"/>
      <c r="I498" s="26"/>
      <c r="J498" s="26"/>
    </row>
    <row r="499" spans="1:10">
      <c r="A499" s="25"/>
      <c r="B499" s="15"/>
      <c r="C499" s="15"/>
      <c r="E499" s="15"/>
      <c r="F499" s="17"/>
      <c r="G499" s="26"/>
      <c r="H499" s="26"/>
      <c r="I499" s="26"/>
      <c r="J499" s="26"/>
    </row>
    <row r="500" spans="1:10">
      <c r="A500" s="25"/>
      <c r="B500" s="15"/>
      <c r="C500" s="15"/>
      <c r="E500" s="15"/>
      <c r="F500" s="17"/>
      <c r="G500" s="26"/>
      <c r="H500" s="26"/>
      <c r="I500" s="26"/>
      <c r="J500" s="26"/>
    </row>
    <row r="501" spans="1:10">
      <c r="A501" s="25"/>
      <c r="B501" s="15"/>
      <c r="C501" s="15"/>
      <c r="E501" s="15"/>
      <c r="F501" s="17"/>
      <c r="G501" s="26"/>
      <c r="H501" s="26"/>
      <c r="I501" s="26"/>
      <c r="J501" s="26"/>
    </row>
    <row r="502" spans="1:10">
      <c r="A502" s="25"/>
      <c r="B502" s="15"/>
      <c r="C502" s="15"/>
      <c r="E502" s="15"/>
      <c r="F502" s="17"/>
      <c r="G502" s="26"/>
      <c r="H502" s="26"/>
      <c r="I502" s="26"/>
      <c r="J502" s="26"/>
    </row>
    <row r="503" spans="1:10">
      <c r="A503" s="25"/>
      <c r="B503" s="15"/>
      <c r="C503" s="15"/>
      <c r="E503" s="15"/>
      <c r="F503" s="17"/>
      <c r="G503" s="26"/>
      <c r="H503" s="26"/>
      <c r="I503" s="26"/>
      <c r="J503" s="26"/>
    </row>
    <row r="504" spans="1:10">
      <c r="A504" s="25"/>
      <c r="B504" s="15"/>
      <c r="C504" s="15"/>
      <c r="E504" s="15"/>
      <c r="F504" s="17"/>
      <c r="G504" s="26"/>
      <c r="H504" s="26"/>
      <c r="I504" s="26"/>
      <c r="J504" s="26"/>
    </row>
    <row r="505" spans="1:10">
      <c r="A505" s="25"/>
      <c r="B505" s="15"/>
      <c r="C505" s="15"/>
      <c r="E505" s="15"/>
      <c r="F505" s="17"/>
      <c r="G505" s="26"/>
      <c r="H505" s="26"/>
      <c r="I505" s="26"/>
      <c r="J505" s="26"/>
    </row>
    <row r="506" spans="1:10">
      <c r="A506" s="25"/>
      <c r="B506" s="15"/>
      <c r="C506" s="15"/>
      <c r="E506" s="15"/>
      <c r="F506" s="17"/>
      <c r="G506" s="26"/>
      <c r="H506" s="26"/>
      <c r="I506" s="26"/>
      <c r="J506" s="26"/>
    </row>
    <row r="507" spans="1:10">
      <c r="A507" s="25"/>
      <c r="B507" s="15"/>
      <c r="C507" s="15"/>
      <c r="E507" s="15"/>
      <c r="F507" s="17"/>
      <c r="G507" s="26"/>
      <c r="H507" s="26"/>
      <c r="I507" s="26"/>
      <c r="J507" s="26"/>
    </row>
    <row r="508" spans="1:10">
      <c r="A508" s="25"/>
      <c r="B508" s="15"/>
      <c r="C508" s="15"/>
      <c r="E508" s="15"/>
      <c r="F508" s="17"/>
      <c r="G508" s="26"/>
      <c r="H508" s="26"/>
      <c r="I508" s="26"/>
      <c r="J508" s="26"/>
    </row>
    <row r="509" spans="1:10">
      <c r="A509" s="25"/>
      <c r="B509" s="15"/>
      <c r="C509" s="15"/>
      <c r="E509" s="15"/>
      <c r="F509" s="17"/>
      <c r="G509" s="26"/>
      <c r="H509" s="26"/>
      <c r="I509" s="26"/>
      <c r="J509" s="26"/>
    </row>
    <row r="510" spans="1:10">
      <c r="A510" s="25"/>
      <c r="B510" s="15"/>
      <c r="C510" s="15"/>
      <c r="E510" s="15"/>
      <c r="F510" s="17"/>
      <c r="G510" s="26"/>
      <c r="H510" s="26"/>
      <c r="I510" s="26"/>
      <c r="J510" s="26"/>
    </row>
    <row r="511" spans="1:10">
      <c r="A511" s="25"/>
      <c r="B511" s="15"/>
      <c r="C511" s="15"/>
      <c r="E511" s="15"/>
      <c r="F511" s="17"/>
      <c r="G511" s="26"/>
      <c r="H511" s="26"/>
      <c r="I511" s="26"/>
      <c r="J511" s="26"/>
    </row>
    <row r="512" spans="1:10">
      <c r="A512" s="25"/>
      <c r="B512" s="15"/>
      <c r="C512" s="15"/>
      <c r="E512" s="15"/>
      <c r="F512" s="17"/>
      <c r="G512" s="26"/>
      <c r="H512" s="26"/>
      <c r="I512" s="26"/>
      <c r="J512" s="26"/>
    </row>
    <row r="513" spans="1:10">
      <c r="A513" s="25"/>
      <c r="B513" s="15"/>
      <c r="C513" s="15"/>
      <c r="E513" s="15"/>
      <c r="F513" s="17"/>
      <c r="G513" s="26"/>
      <c r="H513" s="26"/>
      <c r="I513" s="26"/>
      <c r="J513" s="26"/>
    </row>
    <row r="514" spans="1:10">
      <c r="A514" s="25"/>
      <c r="B514" s="15"/>
      <c r="C514" s="15"/>
      <c r="E514" s="15"/>
      <c r="F514" s="17"/>
      <c r="G514" s="26"/>
      <c r="H514" s="26"/>
      <c r="I514" s="26"/>
      <c r="J514" s="26"/>
    </row>
    <row r="515" spans="1:10">
      <c r="A515" s="25"/>
      <c r="B515" s="15"/>
      <c r="C515" s="15"/>
      <c r="E515" s="15"/>
      <c r="F515" s="17"/>
      <c r="G515" s="26"/>
      <c r="H515" s="26"/>
      <c r="I515" s="26"/>
      <c r="J515" s="26"/>
    </row>
    <row r="516" spans="1:10">
      <c r="A516" s="25"/>
      <c r="B516" s="15"/>
      <c r="C516" s="15"/>
      <c r="E516" s="15"/>
      <c r="F516" s="17"/>
      <c r="G516" s="26"/>
      <c r="H516" s="26"/>
      <c r="I516" s="26"/>
      <c r="J516" s="26"/>
    </row>
    <row r="517" spans="1:10">
      <c r="A517" s="25"/>
      <c r="B517" s="15"/>
      <c r="C517" s="15"/>
      <c r="E517" s="15"/>
      <c r="F517" s="17"/>
      <c r="G517" s="26"/>
      <c r="H517" s="26"/>
      <c r="I517" s="26"/>
      <c r="J517" s="26"/>
    </row>
    <row r="518" spans="1:10">
      <c r="A518" s="25"/>
      <c r="B518" s="15"/>
      <c r="C518" s="15"/>
      <c r="E518" s="15"/>
      <c r="F518" s="17"/>
      <c r="G518" s="26"/>
      <c r="H518" s="26"/>
      <c r="I518" s="26"/>
      <c r="J518" s="26"/>
    </row>
    <row r="519" spans="1:10">
      <c r="A519" s="25"/>
      <c r="B519" s="15"/>
      <c r="C519" s="15"/>
      <c r="E519" s="15"/>
      <c r="F519" s="17"/>
      <c r="G519" s="26"/>
      <c r="H519" s="26"/>
      <c r="I519" s="26"/>
      <c r="J519" s="26"/>
    </row>
    <row r="520" spans="1:10">
      <c r="A520" s="25"/>
      <c r="B520" s="15"/>
      <c r="C520" s="15"/>
      <c r="E520" s="15"/>
      <c r="F520" s="17"/>
      <c r="G520" s="26"/>
      <c r="H520" s="26"/>
      <c r="I520" s="26"/>
      <c r="J520" s="26"/>
    </row>
    <row r="521" spans="1:10">
      <c r="A521" s="25"/>
      <c r="B521" s="15"/>
      <c r="C521" s="15"/>
      <c r="E521" s="15"/>
      <c r="F521" s="17"/>
      <c r="G521" s="26"/>
      <c r="H521" s="26"/>
      <c r="I521" s="26"/>
      <c r="J521" s="26"/>
    </row>
    <row r="522" spans="1:10">
      <c r="A522" s="25"/>
      <c r="B522" s="15"/>
      <c r="C522" s="15"/>
      <c r="E522" s="15"/>
      <c r="F522" s="17"/>
      <c r="G522" s="26"/>
      <c r="H522" s="26"/>
      <c r="I522" s="26"/>
      <c r="J522" s="26"/>
    </row>
    <row r="523" spans="1:10">
      <c r="A523" s="25"/>
      <c r="B523" s="15"/>
      <c r="C523" s="15"/>
      <c r="E523" s="15"/>
      <c r="F523" s="17"/>
      <c r="G523" s="26"/>
      <c r="H523" s="26"/>
      <c r="I523" s="26"/>
      <c r="J523" s="26"/>
    </row>
    <row r="524" spans="1:10">
      <c r="A524" s="25"/>
      <c r="B524" s="15"/>
      <c r="C524" s="15"/>
      <c r="E524" s="15"/>
      <c r="F524" s="17"/>
      <c r="G524" s="26"/>
      <c r="H524" s="26"/>
      <c r="I524" s="26"/>
      <c r="J524" s="26"/>
    </row>
    <row r="525" spans="1:10">
      <c r="A525" s="25"/>
      <c r="B525" s="15"/>
      <c r="C525" s="15"/>
      <c r="E525" s="15"/>
      <c r="F525" s="17"/>
      <c r="G525" s="26"/>
      <c r="H525" s="26"/>
      <c r="I525" s="26"/>
      <c r="J525" s="26"/>
    </row>
    <row r="526" spans="1:10">
      <c r="A526" s="25"/>
      <c r="B526" s="15"/>
      <c r="C526" s="15"/>
      <c r="E526" s="15"/>
      <c r="F526" s="17"/>
      <c r="G526" s="26"/>
      <c r="H526" s="26"/>
      <c r="I526" s="26"/>
      <c r="J526" s="26"/>
    </row>
    <row r="527" spans="1:10">
      <c r="A527" s="25"/>
      <c r="B527" s="15"/>
      <c r="C527" s="15"/>
      <c r="E527" s="15"/>
      <c r="F527" s="17"/>
      <c r="G527" s="26"/>
      <c r="H527" s="26"/>
      <c r="I527" s="26"/>
      <c r="J527" s="26"/>
    </row>
    <row r="528" spans="1:10">
      <c r="A528" s="25"/>
      <c r="B528" s="15"/>
      <c r="C528" s="15"/>
      <c r="E528" s="15"/>
      <c r="F528" s="17"/>
      <c r="G528" s="26"/>
      <c r="H528" s="26"/>
      <c r="I528" s="26"/>
      <c r="J528" s="26"/>
    </row>
    <row r="529" spans="1:10">
      <c r="A529" s="25"/>
      <c r="B529" s="15"/>
      <c r="C529" s="15"/>
      <c r="E529" s="15"/>
      <c r="F529" s="17"/>
      <c r="G529" s="26"/>
      <c r="H529" s="26"/>
      <c r="I529" s="26"/>
      <c r="J529" s="26"/>
    </row>
    <row r="530" spans="1:10">
      <c r="A530" s="25"/>
      <c r="B530" s="15"/>
      <c r="C530" s="15"/>
      <c r="E530" s="15"/>
      <c r="F530" s="17"/>
      <c r="G530" s="26"/>
      <c r="H530" s="26"/>
      <c r="I530" s="26"/>
      <c r="J530" s="26"/>
    </row>
    <row r="531" spans="1:10">
      <c r="A531" s="25"/>
      <c r="B531" s="15"/>
      <c r="C531" s="15"/>
      <c r="E531" s="15"/>
      <c r="F531" s="17"/>
      <c r="G531" s="26"/>
      <c r="H531" s="26"/>
      <c r="I531" s="26"/>
      <c r="J531" s="26"/>
    </row>
    <row r="532" spans="1:10">
      <c r="A532" s="25"/>
      <c r="B532" s="15"/>
      <c r="C532" s="15"/>
      <c r="E532" s="15"/>
      <c r="F532" s="17"/>
      <c r="G532" s="26"/>
      <c r="H532" s="26"/>
      <c r="I532" s="26"/>
      <c r="J532" s="26"/>
    </row>
    <row r="533" spans="1:10">
      <c r="A533" s="25"/>
      <c r="B533" s="15"/>
      <c r="C533" s="15"/>
      <c r="E533" s="15"/>
      <c r="F533" s="17"/>
      <c r="G533" s="26"/>
      <c r="H533" s="26"/>
      <c r="I533" s="26"/>
      <c r="J533" s="26"/>
    </row>
    <row r="534" spans="1:10">
      <c r="A534" s="25"/>
      <c r="B534" s="15"/>
      <c r="C534" s="15"/>
      <c r="E534" s="15"/>
      <c r="F534" s="17"/>
      <c r="G534" s="26"/>
      <c r="H534" s="26"/>
      <c r="I534" s="26"/>
      <c r="J534" s="26"/>
    </row>
    <row r="535" spans="1:10">
      <c r="A535" s="25"/>
      <c r="B535" s="15"/>
      <c r="C535" s="15"/>
      <c r="E535" s="15"/>
      <c r="F535" s="17"/>
      <c r="G535" s="26"/>
      <c r="H535" s="26"/>
      <c r="I535" s="26"/>
      <c r="J535" s="26"/>
    </row>
    <row r="536" spans="1:10">
      <c r="A536" s="25"/>
      <c r="B536" s="15"/>
      <c r="C536" s="15"/>
      <c r="E536" s="15"/>
      <c r="F536" s="17"/>
      <c r="G536" s="26"/>
      <c r="H536" s="26"/>
      <c r="I536" s="26"/>
      <c r="J536" s="26"/>
    </row>
    <row r="537" spans="1:10">
      <c r="A537" s="25"/>
      <c r="B537" s="15"/>
      <c r="C537" s="15"/>
      <c r="E537" s="15"/>
      <c r="F537" s="17"/>
      <c r="G537" s="26"/>
      <c r="H537" s="26"/>
      <c r="I537" s="26"/>
      <c r="J537" s="26"/>
    </row>
    <row r="538" spans="1:10">
      <c r="A538" s="25"/>
      <c r="B538" s="15"/>
      <c r="C538" s="15"/>
      <c r="E538" s="15"/>
      <c r="F538" s="17"/>
      <c r="G538" s="26"/>
      <c r="H538" s="26"/>
      <c r="I538" s="26"/>
      <c r="J538" s="26"/>
    </row>
    <row r="539" spans="1:10">
      <c r="A539" s="25"/>
      <c r="B539" s="15"/>
      <c r="C539" s="15"/>
      <c r="E539" s="15"/>
      <c r="F539" s="17"/>
      <c r="G539" s="26"/>
      <c r="H539" s="26"/>
      <c r="I539" s="26"/>
      <c r="J539" s="26"/>
    </row>
    <row r="540" spans="1:10">
      <c r="A540" s="25"/>
      <c r="B540" s="15"/>
      <c r="C540" s="15"/>
      <c r="E540" s="15"/>
      <c r="F540" s="17"/>
      <c r="G540" s="26"/>
      <c r="H540" s="26"/>
      <c r="I540" s="26"/>
      <c r="J540" s="26"/>
    </row>
    <row r="541" spans="1:10">
      <c r="A541" s="25"/>
      <c r="B541" s="15"/>
      <c r="C541" s="15"/>
      <c r="E541" s="15"/>
      <c r="F541" s="17"/>
      <c r="G541" s="26"/>
      <c r="H541" s="26"/>
      <c r="I541" s="26"/>
      <c r="J541" s="26"/>
    </row>
    <row r="542" spans="1:10">
      <c r="A542" s="25"/>
      <c r="B542" s="15"/>
      <c r="C542" s="15"/>
      <c r="E542" s="15"/>
      <c r="F542" s="17"/>
      <c r="G542" s="26"/>
      <c r="H542" s="26"/>
      <c r="I542" s="26"/>
      <c r="J542" s="26"/>
    </row>
    <row r="543" spans="1:10">
      <c r="A543" s="25"/>
      <c r="B543" s="15"/>
      <c r="C543" s="15"/>
      <c r="E543" s="15"/>
      <c r="F543" s="17"/>
      <c r="G543" s="26"/>
      <c r="H543" s="26"/>
      <c r="I543" s="26"/>
      <c r="J543" s="26"/>
    </row>
    <row r="544" spans="1:10">
      <c r="A544" s="25"/>
      <c r="B544" s="15"/>
      <c r="C544" s="15"/>
      <c r="E544" s="15"/>
      <c r="F544" s="17"/>
      <c r="G544" s="26"/>
      <c r="H544" s="26"/>
      <c r="I544" s="26"/>
      <c r="J544" s="26"/>
    </row>
    <row r="545" spans="1:10">
      <c r="A545" s="25"/>
      <c r="B545" s="15"/>
      <c r="C545" s="15"/>
      <c r="E545" s="15"/>
      <c r="F545" s="17"/>
      <c r="G545" s="26"/>
      <c r="H545" s="26"/>
      <c r="I545" s="26"/>
      <c r="J545" s="26"/>
    </row>
    <row r="546" spans="1:10">
      <c r="A546" s="25"/>
      <c r="B546" s="15"/>
      <c r="C546" s="15"/>
      <c r="E546" s="15"/>
      <c r="F546" s="17"/>
      <c r="G546" s="26"/>
      <c r="H546" s="26"/>
      <c r="I546" s="26"/>
      <c r="J546" s="26"/>
    </row>
    <row r="547" spans="1:10">
      <c r="A547" s="25"/>
      <c r="B547" s="15"/>
      <c r="C547" s="15"/>
      <c r="E547" s="15"/>
      <c r="F547" s="17"/>
      <c r="G547" s="26"/>
      <c r="H547" s="26"/>
      <c r="I547" s="26"/>
      <c r="J547" s="26"/>
    </row>
    <row r="548" spans="1:10">
      <c r="A548" s="25"/>
      <c r="B548" s="15"/>
      <c r="C548" s="15"/>
      <c r="E548" s="15"/>
      <c r="F548" s="17"/>
      <c r="G548" s="26"/>
      <c r="H548" s="26"/>
      <c r="I548" s="26"/>
      <c r="J548" s="26"/>
    </row>
    <row r="549" spans="1:10">
      <c r="A549" s="25"/>
      <c r="B549" s="15"/>
      <c r="C549" s="15"/>
      <c r="E549" s="15"/>
      <c r="F549" s="17"/>
      <c r="G549" s="26"/>
      <c r="H549" s="26"/>
      <c r="I549" s="26"/>
      <c r="J549" s="26"/>
    </row>
    <row r="550" spans="1:10">
      <c r="A550" s="25"/>
      <c r="B550" s="15"/>
      <c r="C550" s="15"/>
      <c r="E550" s="15"/>
      <c r="F550" s="17"/>
      <c r="G550" s="26"/>
      <c r="H550" s="26"/>
      <c r="I550" s="26"/>
      <c r="J550" s="26"/>
    </row>
    <row r="551" spans="1:10">
      <c r="A551" s="25"/>
      <c r="B551" s="15"/>
      <c r="C551" s="15"/>
      <c r="E551" s="15"/>
      <c r="F551" s="17"/>
      <c r="G551" s="26"/>
      <c r="H551" s="26"/>
      <c r="I551" s="26"/>
      <c r="J551" s="26"/>
    </row>
    <row r="552" spans="1:10">
      <c r="A552" s="25"/>
      <c r="B552" s="15"/>
      <c r="C552" s="15"/>
      <c r="E552" s="15"/>
      <c r="F552" s="17"/>
      <c r="G552" s="26"/>
      <c r="H552" s="26"/>
      <c r="I552" s="26"/>
      <c r="J552" s="26"/>
    </row>
    <row r="553" spans="1:10">
      <c r="A553" s="25"/>
      <c r="B553" s="15"/>
      <c r="C553" s="15"/>
      <c r="E553" s="15"/>
      <c r="F553" s="17"/>
      <c r="G553" s="26"/>
      <c r="H553" s="26"/>
      <c r="I553" s="26"/>
      <c r="J553" s="26"/>
    </row>
    <row r="554" spans="1:10">
      <c r="A554" s="25"/>
      <c r="B554" s="15"/>
      <c r="C554" s="15"/>
      <c r="E554" s="15"/>
      <c r="F554" s="17"/>
      <c r="G554" s="26"/>
      <c r="H554" s="26"/>
      <c r="I554" s="26"/>
      <c r="J554" s="26"/>
    </row>
    <row r="555" spans="1:10">
      <c r="A555" s="25"/>
      <c r="B555" s="15"/>
      <c r="C555" s="15"/>
      <c r="E555" s="15"/>
      <c r="F555" s="17"/>
      <c r="G555" s="26"/>
      <c r="H555" s="26"/>
      <c r="I555" s="26"/>
      <c r="J555" s="26"/>
    </row>
    <row r="556" spans="1:10">
      <c r="A556" s="25"/>
      <c r="B556" s="15"/>
      <c r="C556" s="15"/>
      <c r="E556" s="15"/>
      <c r="F556" s="17"/>
      <c r="G556" s="26"/>
      <c r="H556" s="26"/>
      <c r="I556" s="26"/>
      <c r="J556" s="26"/>
    </row>
    <row r="557" spans="1:10">
      <c r="A557" s="25"/>
      <c r="B557" s="15"/>
      <c r="C557" s="15"/>
      <c r="E557" s="15"/>
      <c r="F557" s="17"/>
      <c r="G557" s="26"/>
      <c r="H557" s="26"/>
      <c r="I557" s="26"/>
      <c r="J557" s="26"/>
    </row>
    <row r="558" spans="1:10">
      <c r="A558" s="25"/>
      <c r="B558" s="15"/>
      <c r="C558" s="15"/>
      <c r="E558" s="15"/>
      <c r="F558" s="17"/>
      <c r="G558" s="26"/>
      <c r="H558" s="26"/>
      <c r="I558" s="26"/>
      <c r="J558" s="26"/>
    </row>
    <row r="559" spans="1:10">
      <c r="A559" s="25"/>
      <c r="B559" s="15"/>
      <c r="C559" s="15"/>
      <c r="E559" s="15"/>
      <c r="F559" s="17"/>
      <c r="G559" s="26"/>
      <c r="H559" s="26"/>
      <c r="I559" s="26"/>
      <c r="J559" s="26"/>
    </row>
    <row r="560" spans="1:10">
      <c r="A560" s="25"/>
      <c r="B560" s="15"/>
      <c r="C560" s="15"/>
      <c r="E560" s="15"/>
      <c r="F560" s="17"/>
      <c r="G560" s="26"/>
      <c r="H560" s="26"/>
      <c r="I560" s="26"/>
      <c r="J560" s="26"/>
    </row>
    <row r="561" spans="1:10">
      <c r="A561" s="25"/>
      <c r="B561" s="15"/>
      <c r="C561" s="15"/>
      <c r="E561" s="15"/>
      <c r="F561" s="17"/>
      <c r="G561" s="26"/>
      <c r="H561" s="26"/>
      <c r="I561" s="26"/>
      <c r="J561" s="26"/>
    </row>
    <row r="562" spans="1:10">
      <c r="A562" s="25"/>
      <c r="B562" s="15"/>
      <c r="C562" s="15"/>
      <c r="E562" s="15"/>
      <c r="F562" s="17"/>
      <c r="G562" s="26"/>
      <c r="H562" s="26"/>
      <c r="I562" s="26"/>
      <c r="J562" s="26"/>
    </row>
    <row r="563" spans="1:10">
      <c r="A563" s="25"/>
      <c r="B563" s="15"/>
      <c r="C563" s="15"/>
      <c r="E563" s="15"/>
      <c r="F563" s="17"/>
      <c r="G563" s="26"/>
      <c r="H563" s="26"/>
      <c r="I563" s="26"/>
      <c r="J563" s="26"/>
    </row>
    <row r="564" spans="1:10">
      <c r="A564" s="25"/>
      <c r="B564" s="15"/>
      <c r="C564" s="15"/>
      <c r="E564" s="15"/>
      <c r="F564" s="17"/>
      <c r="G564" s="26"/>
      <c r="H564" s="26"/>
      <c r="I564" s="26"/>
      <c r="J564" s="26"/>
    </row>
    <row r="565" spans="1:10">
      <c r="A565" s="25"/>
      <c r="B565" s="15"/>
      <c r="C565" s="15"/>
      <c r="E565" s="15"/>
      <c r="F565" s="17"/>
      <c r="G565" s="26"/>
      <c r="H565" s="26"/>
      <c r="I565" s="26"/>
      <c r="J565" s="26"/>
    </row>
    <row r="566" spans="1:10">
      <c r="A566" s="25"/>
      <c r="B566" s="15"/>
      <c r="C566" s="15"/>
      <c r="E566" s="15"/>
      <c r="F566" s="17"/>
      <c r="G566" s="26"/>
      <c r="H566" s="26"/>
      <c r="I566" s="26"/>
      <c r="J566" s="26"/>
    </row>
    <row r="567" spans="1:10">
      <c r="A567" s="25"/>
      <c r="B567" s="15"/>
      <c r="C567" s="15"/>
      <c r="E567" s="15"/>
      <c r="F567" s="17"/>
      <c r="G567" s="26"/>
      <c r="H567" s="26"/>
      <c r="I567" s="26"/>
      <c r="J567" s="26"/>
    </row>
    <row r="568" spans="1:10">
      <c r="A568" s="25"/>
      <c r="B568" s="15"/>
      <c r="C568" s="15"/>
      <c r="E568" s="15"/>
      <c r="F568" s="17"/>
      <c r="G568" s="26"/>
      <c r="H568" s="26"/>
      <c r="I568" s="26"/>
      <c r="J568" s="26"/>
    </row>
    <row r="569" spans="1:10">
      <c r="A569" s="25"/>
      <c r="B569" s="15"/>
      <c r="C569" s="15"/>
      <c r="E569" s="15"/>
      <c r="F569" s="17"/>
      <c r="G569" s="26"/>
      <c r="H569" s="26"/>
      <c r="I569" s="26"/>
      <c r="J569" s="26"/>
    </row>
    <row r="570" spans="1:10">
      <c r="A570" s="25"/>
      <c r="B570" s="15"/>
      <c r="C570" s="15"/>
      <c r="E570" s="15"/>
      <c r="F570" s="17"/>
      <c r="G570" s="26"/>
      <c r="H570" s="26"/>
      <c r="I570" s="26"/>
      <c r="J570" s="26"/>
    </row>
    <row r="571" spans="1:10">
      <c r="A571" s="25"/>
      <c r="B571" s="15"/>
      <c r="C571" s="15"/>
      <c r="E571" s="15"/>
      <c r="F571" s="17"/>
      <c r="G571" s="26"/>
      <c r="H571" s="26"/>
      <c r="I571" s="26"/>
      <c r="J571" s="26"/>
    </row>
    <row r="572" spans="1:10">
      <c r="A572" s="25"/>
      <c r="B572" s="15"/>
      <c r="C572" s="15"/>
      <c r="E572" s="15"/>
      <c r="F572" s="17"/>
      <c r="G572" s="26"/>
      <c r="H572" s="26"/>
      <c r="I572" s="26"/>
      <c r="J572" s="26"/>
    </row>
    <row r="573" spans="1:10">
      <c r="A573" s="25"/>
      <c r="B573" s="15"/>
      <c r="C573" s="15"/>
      <c r="E573" s="15"/>
      <c r="F573" s="17"/>
      <c r="G573" s="26"/>
      <c r="H573" s="26"/>
      <c r="I573" s="26"/>
      <c r="J573" s="26"/>
    </row>
    <row r="574" spans="1:10">
      <c r="A574" s="25"/>
      <c r="B574" s="15"/>
      <c r="C574" s="15"/>
      <c r="E574" s="15"/>
      <c r="F574" s="17"/>
      <c r="G574" s="26"/>
      <c r="H574" s="26"/>
      <c r="I574" s="26"/>
      <c r="J574" s="26"/>
    </row>
    <row r="575" spans="1:10">
      <c r="A575" s="25"/>
      <c r="B575" s="15"/>
      <c r="C575" s="15"/>
      <c r="E575" s="15"/>
      <c r="F575" s="17"/>
      <c r="G575" s="26"/>
      <c r="H575" s="26"/>
      <c r="I575" s="26"/>
      <c r="J575" s="26"/>
    </row>
    <row r="576" spans="1:10">
      <c r="A576" s="25"/>
      <c r="B576" s="15"/>
      <c r="C576" s="15"/>
      <c r="E576" s="15"/>
      <c r="F576" s="17"/>
      <c r="G576" s="26"/>
      <c r="H576" s="26"/>
      <c r="I576" s="26"/>
      <c r="J576" s="26"/>
    </row>
    <row r="577" spans="1:10">
      <c r="A577" s="25"/>
      <c r="B577" s="15"/>
      <c r="C577" s="15"/>
      <c r="E577" s="15"/>
      <c r="F577" s="17"/>
      <c r="G577" s="26"/>
      <c r="H577" s="26"/>
      <c r="I577" s="26"/>
      <c r="J577" s="26"/>
    </row>
    <row r="578" spans="1:10">
      <c r="A578" s="25"/>
      <c r="B578" s="15"/>
      <c r="C578" s="15"/>
      <c r="E578" s="15"/>
      <c r="F578" s="17"/>
      <c r="G578" s="26"/>
      <c r="H578" s="26"/>
      <c r="I578" s="26"/>
      <c r="J578" s="26"/>
    </row>
    <row r="579" spans="1:10">
      <c r="A579" s="25"/>
      <c r="B579" s="15"/>
      <c r="C579" s="15"/>
      <c r="E579" s="15"/>
      <c r="F579" s="17"/>
      <c r="G579" s="26"/>
      <c r="H579" s="26"/>
      <c r="I579" s="26"/>
      <c r="J579" s="26"/>
    </row>
    <row r="580" spans="1:10">
      <c r="A580" s="25"/>
      <c r="B580" s="15"/>
      <c r="C580" s="15"/>
      <c r="E580" s="15"/>
      <c r="F580" s="17"/>
      <c r="G580" s="26"/>
      <c r="H580" s="26"/>
      <c r="I580" s="26"/>
      <c r="J580" s="26"/>
    </row>
    <row r="581" spans="1:10">
      <c r="A581" s="25"/>
      <c r="B581" s="15"/>
      <c r="C581" s="15"/>
      <c r="E581" s="15"/>
      <c r="F581" s="17"/>
      <c r="G581" s="26"/>
      <c r="H581" s="26"/>
      <c r="I581" s="26"/>
      <c r="J581" s="26"/>
    </row>
    <row r="582" spans="1:10">
      <c r="A582" s="25"/>
      <c r="B582" s="15"/>
      <c r="C582" s="15"/>
      <c r="E582" s="15"/>
      <c r="F582" s="17"/>
      <c r="G582" s="26"/>
      <c r="H582" s="26"/>
      <c r="I582" s="26"/>
      <c r="J582" s="26"/>
    </row>
    <row r="583" spans="1:10">
      <c r="A583" s="25"/>
      <c r="B583" s="15"/>
      <c r="C583" s="15"/>
      <c r="E583" s="15"/>
      <c r="F583" s="17"/>
      <c r="G583" s="26"/>
      <c r="H583" s="26"/>
      <c r="I583" s="26"/>
      <c r="J583" s="26"/>
    </row>
    <row r="584" spans="1:10">
      <c r="A584" s="25"/>
      <c r="B584" s="15"/>
      <c r="C584" s="15"/>
      <c r="E584" s="15"/>
      <c r="F584" s="17"/>
      <c r="G584" s="26"/>
      <c r="H584" s="26"/>
      <c r="I584" s="26"/>
      <c r="J584" s="26"/>
    </row>
    <row r="585" spans="1:10">
      <c r="A585" s="25"/>
      <c r="B585" s="15"/>
      <c r="C585" s="15"/>
      <c r="E585" s="15"/>
      <c r="F585" s="17"/>
      <c r="G585" s="26"/>
      <c r="H585" s="26"/>
      <c r="I585" s="26"/>
      <c r="J585" s="26"/>
    </row>
    <row r="586" spans="1:10">
      <c r="A586" s="25"/>
      <c r="B586" s="15"/>
      <c r="C586" s="15"/>
      <c r="E586" s="15"/>
      <c r="F586" s="17"/>
      <c r="G586" s="26"/>
      <c r="H586" s="26"/>
      <c r="I586" s="26"/>
      <c r="J586" s="26"/>
    </row>
    <row r="587" spans="1:10">
      <c r="A587" s="25"/>
      <c r="B587" s="15"/>
      <c r="C587" s="15"/>
      <c r="E587" s="15"/>
      <c r="F587" s="17"/>
      <c r="G587" s="26"/>
      <c r="H587" s="26"/>
      <c r="I587" s="26"/>
      <c r="J587" s="26"/>
    </row>
    <row r="588" spans="1:10">
      <c r="A588" s="25"/>
      <c r="B588" s="15"/>
      <c r="C588" s="15"/>
      <c r="E588" s="15"/>
      <c r="F588" s="17"/>
      <c r="G588" s="26"/>
      <c r="H588" s="26"/>
      <c r="I588" s="26"/>
      <c r="J588" s="26"/>
    </row>
    <row r="589" spans="1:10">
      <c r="A589" s="25"/>
      <c r="B589" s="15"/>
      <c r="C589" s="15"/>
      <c r="E589" s="15"/>
      <c r="F589" s="17"/>
      <c r="G589" s="26"/>
      <c r="H589" s="26"/>
      <c r="I589" s="26"/>
      <c r="J589" s="26"/>
    </row>
    <row r="590" spans="1:10">
      <c r="A590" s="25"/>
      <c r="B590" s="15"/>
      <c r="C590" s="15"/>
      <c r="E590" s="15"/>
      <c r="F590" s="17"/>
      <c r="G590" s="26"/>
      <c r="H590" s="26"/>
      <c r="I590" s="26"/>
      <c r="J590" s="26"/>
    </row>
    <row r="591" spans="1:10">
      <c r="A591" s="25"/>
      <c r="B591" s="15"/>
      <c r="C591" s="15"/>
      <c r="E591" s="15"/>
      <c r="F591" s="17"/>
      <c r="G591" s="26"/>
      <c r="H591" s="26"/>
      <c r="I591" s="26"/>
      <c r="J591" s="26"/>
    </row>
    <row r="592" spans="1:10">
      <c r="A592" s="25"/>
      <c r="B592" s="15"/>
      <c r="C592" s="15"/>
      <c r="E592" s="15"/>
      <c r="F592" s="17"/>
      <c r="G592" s="26"/>
      <c r="H592" s="26"/>
      <c r="I592" s="26"/>
      <c r="J592" s="26"/>
    </row>
    <row r="593" spans="1:10">
      <c r="A593" s="25"/>
      <c r="B593" s="15"/>
      <c r="C593" s="15"/>
      <c r="E593" s="15"/>
      <c r="F593" s="17"/>
      <c r="G593" s="26"/>
      <c r="H593" s="26"/>
      <c r="I593" s="26"/>
      <c r="J593" s="26"/>
    </row>
    <row r="594" spans="1:10">
      <c r="A594" s="25"/>
      <c r="B594" s="15"/>
      <c r="C594" s="15"/>
      <c r="E594" s="15"/>
      <c r="F594" s="17"/>
      <c r="G594" s="26"/>
      <c r="H594" s="26"/>
      <c r="I594" s="26"/>
      <c r="J594" s="26"/>
    </row>
    <row r="595" spans="1:10">
      <c r="A595" s="25"/>
      <c r="B595" s="15"/>
      <c r="C595" s="15"/>
      <c r="E595" s="15"/>
      <c r="F595" s="17"/>
      <c r="G595" s="26"/>
      <c r="H595" s="26"/>
      <c r="I595" s="26"/>
      <c r="J595" s="26"/>
    </row>
    <row r="596" spans="1:10">
      <c r="A596" s="25"/>
      <c r="B596" s="15"/>
      <c r="C596" s="15"/>
      <c r="E596" s="15"/>
      <c r="F596" s="17"/>
      <c r="G596" s="26"/>
      <c r="H596" s="26"/>
      <c r="I596" s="26"/>
      <c r="J596" s="26"/>
    </row>
    <row r="597" spans="1:10">
      <c r="A597" s="25"/>
      <c r="B597" s="15"/>
      <c r="C597" s="15"/>
      <c r="E597" s="15"/>
      <c r="F597" s="17"/>
      <c r="G597" s="26"/>
      <c r="H597" s="26"/>
      <c r="I597" s="26"/>
      <c r="J597" s="26"/>
    </row>
    <row r="598" spans="1:10">
      <c r="A598" s="25"/>
      <c r="B598" s="15"/>
      <c r="C598" s="15"/>
      <c r="E598" s="15"/>
      <c r="F598" s="17"/>
      <c r="G598" s="26"/>
      <c r="H598" s="26"/>
      <c r="I598" s="26"/>
      <c r="J598" s="26"/>
    </row>
    <row r="599" spans="1:10">
      <c r="A599" s="25"/>
      <c r="B599" s="15"/>
      <c r="C599" s="15"/>
      <c r="E599" s="15"/>
      <c r="F599" s="17"/>
      <c r="G599" s="26"/>
      <c r="H599" s="26"/>
      <c r="I599" s="26"/>
      <c r="J599" s="26"/>
    </row>
    <row r="600" spans="1:10">
      <c r="A600" s="25"/>
      <c r="B600" s="15"/>
      <c r="C600" s="15"/>
      <c r="E600" s="15"/>
      <c r="F600" s="17"/>
      <c r="G600" s="26"/>
      <c r="H600" s="26"/>
      <c r="I600" s="26"/>
      <c r="J600" s="26"/>
    </row>
    <row r="601" spans="1:10">
      <c r="A601" s="25"/>
      <c r="B601" s="15"/>
      <c r="C601" s="15"/>
      <c r="E601" s="15"/>
      <c r="F601" s="17"/>
      <c r="G601" s="26"/>
      <c r="H601" s="26"/>
      <c r="I601" s="26"/>
      <c r="J601" s="26"/>
    </row>
    <row r="602" spans="1:10">
      <c r="A602" s="25"/>
      <c r="B602" s="15"/>
      <c r="C602" s="15"/>
      <c r="E602" s="15"/>
      <c r="F602" s="17"/>
      <c r="G602" s="26"/>
      <c r="H602" s="26"/>
      <c r="I602" s="26"/>
      <c r="J602" s="26"/>
    </row>
    <row r="603" spans="1:10">
      <c r="A603" s="25"/>
      <c r="B603" s="15"/>
      <c r="C603" s="15"/>
      <c r="E603" s="15"/>
      <c r="F603" s="17"/>
      <c r="G603" s="26"/>
      <c r="H603" s="26"/>
      <c r="I603" s="26"/>
      <c r="J603" s="26"/>
    </row>
    <row r="604" spans="1:10">
      <c r="A604" s="25"/>
      <c r="B604" s="15"/>
      <c r="C604" s="15"/>
      <c r="E604" s="15"/>
      <c r="F604" s="17"/>
      <c r="G604" s="26"/>
      <c r="H604" s="26"/>
      <c r="I604" s="26"/>
      <c r="J604" s="26"/>
    </row>
    <row r="605" spans="1:10">
      <c r="A605" s="25"/>
      <c r="B605" s="15"/>
      <c r="C605" s="15"/>
      <c r="E605" s="15"/>
      <c r="F605" s="17"/>
      <c r="G605" s="26"/>
      <c r="H605" s="26"/>
      <c r="I605" s="26"/>
      <c r="J605" s="26"/>
    </row>
    <row r="606" spans="1:10">
      <c r="A606" s="25"/>
      <c r="B606" s="15"/>
      <c r="C606" s="15"/>
      <c r="E606" s="15"/>
      <c r="F606" s="17"/>
      <c r="G606" s="26"/>
      <c r="H606" s="26"/>
      <c r="I606" s="26"/>
      <c r="J606" s="26"/>
    </row>
    <row r="607" spans="1:10">
      <c r="A607" s="25"/>
      <c r="B607" s="15"/>
      <c r="C607" s="15"/>
      <c r="E607" s="15"/>
      <c r="F607" s="17"/>
      <c r="G607" s="26"/>
      <c r="H607" s="26"/>
      <c r="I607" s="26"/>
      <c r="J607" s="26"/>
    </row>
    <row r="608" spans="1:10">
      <c r="A608" s="25"/>
      <c r="B608" s="15"/>
      <c r="C608" s="15"/>
      <c r="E608" s="15"/>
      <c r="F608" s="17"/>
      <c r="G608" s="26"/>
      <c r="H608" s="26"/>
      <c r="I608" s="26"/>
      <c r="J608" s="26"/>
    </row>
    <row r="609" spans="1:10">
      <c r="A609" s="25"/>
      <c r="B609" s="15"/>
      <c r="C609" s="15"/>
      <c r="E609" s="15"/>
      <c r="F609" s="17"/>
      <c r="G609" s="26"/>
      <c r="H609" s="26"/>
      <c r="I609" s="26"/>
      <c r="J609" s="26"/>
    </row>
    <row r="610" spans="1:10">
      <c r="A610" s="25"/>
      <c r="B610" s="15"/>
      <c r="C610" s="15"/>
      <c r="E610" s="15"/>
      <c r="F610" s="17"/>
      <c r="G610" s="26"/>
      <c r="H610" s="26"/>
      <c r="I610" s="26"/>
      <c r="J610" s="26"/>
    </row>
    <row r="611" spans="1:10">
      <c r="A611" s="25"/>
      <c r="B611" s="15"/>
      <c r="C611" s="15"/>
      <c r="E611" s="15"/>
      <c r="F611" s="17"/>
      <c r="G611" s="26"/>
      <c r="H611" s="26"/>
      <c r="I611" s="26"/>
      <c r="J611" s="26"/>
    </row>
    <row r="612" spans="1:10">
      <c r="A612" s="25"/>
      <c r="B612" s="15"/>
      <c r="C612" s="15"/>
      <c r="E612" s="15"/>
      <c r="F612" s="17"/>
      <c r="G612" s="26"/>
      <c r="H612" s="26"/>
      <c r="I612" s="26"/>
      <c r="J612" s="26"/>
    </row>
    <row r="613" spans="1:10">
      <c r="A613" s="25"/>
      <c r="B613" s="15"/>
      <c r="C613" s="15"/>
      <c r="E613" s="15"/>
      <c r="F613" s="17"/>
      <c r="G613" s="26"/>
      <c r="H613" s="26"/>
      <c r="I613" s="26"/>
      <c r="J613" s="26"/>
    </row>
    <row r="614" spans="1:10">
      <c r="A614" s="25"/>
      <c r="B614" s="15"/>
      <c r="C614" s="15"/>
      <c r="E614" s="15"/>
      <c r="F614" s="17"/>
      <c r="G614" s="26"/>
      <c r="H614" s="26"/>
      <c r="I614" s="26"/>
      <c r="J614" s="26"/>
    </row>
    <row r="615" spans="1:10">
      <c r="A615" s="25"/>
      <c r="B615" s="15"/>
      <c r="C615" s="15"/>
      <c r="E615" s="15"/>
      <c r="F615" s="17"/>
      <c r="G615" s="26"/>
      <c r="H615" s="26"/>
      <c r="I615" s="26"/>
      <c r="J615" s="26"/>
    </row>
    <row r="616" spans="1:10">
      <c r="A616" s="25"/>
      <c r="B616" s="15"/>
      <c r="C616" s="15"/>
      <c r="E616" s="15"/>
      <c r="F616" s="17"/>
      <c r="G616" s="26"/>
      <c r="H616" s="26"/>
      <c r="I616" s="26"/>
      <c r="J616" s="26"/>
    </row>
    <row r="617" spans="1:10">
      <c r="A617" s="25"/>
      <c r="B617" s="15"/>
      <c r="C617" s="15"/>
      <c r="E617" s="15"/>
      <c r="F617" s="17"/>
      <c r="G617" s="26"/>
      <c r="H617" s="26"/>
      <c r="I617" s="26"/>
      <c r="J617" s="26"/>
    </row>
    <row r="618" spans="1:10">
      <c r="A618" s="25"/>
      <c r="B618" s="15"/>
      <c r="C618" s="15"/>
      <c r="E618" s="15"/>
      <c r="F618" s="17"/>
      <c r="G618" s="26"/>
      <c r="H618" s="26"/>
      <c r="I618" s="26"/>
      <c r="J618" s="26"/>
    </row>
    <row r="619" spans="1:10">
      <c r="A619" s="25"/>
      <c r="B619" s="15"/>
      <c r="C619" s="15"/>
      <c r="E619" s="15"/>
      <c r="F619" s="17"/>
      <c r="G619" s="26"/>
      <c r="H619" s="26"/>
      <c r="I619" s="26"/>
      <c r="J619" s="26"/>
    </row>
    <row r="620" spans="1:10">
      <c r="A620" s="25"/>
      <c r="B620" s="15"/>
      <c r="C620" s="15"/>
      <c r="E620" s="15"/>
      <c r="F620" s="17"/>
      <c r="G620" s="26"/>
      <c r="H620" s="26"/>
      <c r="I620" s="26"/>
      <c r="J620" s="26"/>
    </row>
    <row r="621" spans="1:10">
      <c r="A621" s="25"/>
      <c r="B621" s="15"/>
      <c r="C621" s="15"/>
      <c r="E621" s="15"/>
      <c r="F621" s="17"/>
      <c r="G621" s="26"/>
      <c r="H621" s="26"/>
      <c r="I621" s="26"/>
      <c r="J621" s="26"/>
    </row>
    <row r="622" spans="1:10">
      <c r="A622" s="25"/>
      <c r="B622" s="15"/>
      <c r="C622" s="15"/>
      <c r="E622" s="15"/>
      <c r="F622" s="17"/>
      <c r="G622" s="26"/>
      <c r="H622" s="26"/>
      <c r="I622" s="26"/>
      <c r="J622" s="26"/>
    </row>
    <row r="623" spans="1:10">
      <c r="A623" s="25"/>
      <c r="B623" s="15"/>
      <c r="C623" s="15"/>
      <c r="E623" s="15"/>
      <c r="F623" s="17"/>
      <c r="G623" s="26"/>
      <c r="H623" s="26"/>
      <c r="I623" s="26"/>
      <c r="J623" s="26"/>
    </row>
    <row r="624" spans="1:10">
      <c r="A624" s="25"/>
      <c r="B624" s="15"/>
      <c r="C624" s="15"/>
      <c r="E624" s="15"/>
      <c r="F624" s="17"/>
      <c r="G624" s="26"/>
      <c r="H624" s="26"/>
      <c r="I624" s="26"/>
      <c r="J624" s="26"/>
    </row>
    <row r="625" spans="1:10">
      <c r="A625" s="25"/>
      <c r="B625" s="15"/>
      <c r="C625" s="15"/>
      <c r="E625" s="15"/>
      <c r="F625" s="17"/>
      <c r="G625" s="26"/>
      <c r="H625" s="26"/>
      <c r="I625" s="26"/>
      <c r="J625" s="26"/>
    </row>
    <row r="626" spans="1:10">
      <c r="A626" s="25"/>
      <c r="B626" s="15"/>
      <c r="C626" s="15"/>
      <c r="E626" s="15"/>
      <c r="F626" s="17"/>
      <c r="G626" s="26"/>
      <c r="H626" s="26"/>
      <c r="I626" s="26"/>
      <c r="J626" s="26"/>
    </row>
    <row r="627" spans="1:10">
      <c r="A627" s="25"/>
      <c r="B627" s="15"/>
      <c r="C627" s="15"/>
      <c r="E627" s="15"/>
      <c r="F627" s="17"/>
      <c r="G627" s="26"/>
      <c r="H627" s="26"/>
      <c r="I627" s="26"/>
      <c r="J627" s="26"/>
    </row>
    <row r="628" spans="1:10">
      <c r="A628" s="25"/>
      <c r="B628" s="15"/>
      <c r="C628" s="15"/>
      <c r="E628" s="15"/>
      <c r="F628" s="17"/>
      <c r="G628" s="26"/>
      <c r="H628" s="26"/>
      <c r="I628" s="26"/>
      <c r="J628" s="26"/>
    </row>
    <row r="629" spans="1:10">
      <c r="A629" s="25"/>
      <c r="B629" s="15"/>
      <c r="C629" s="15"/>
      <c r="E629" s="15"/>
      <c r="F629" s="17"/>
      <c r="G629" s="26"/>
      <c r="H629" s="26"/>
      <c r="I629" s="26"/>
      <c r="J629" s="26"/>
    </row>
    <row r="630" spans="1:10">
      <c r="A630" s="25"/>
      <c r="B630" s="15"/>
      <c r="C630" s="15"/>
      <c r="E630" s="15"/>
      <c r="F630" s="17"/>
      <c r="G630" s="26"/>
      <c r="H630" s="26"/>
      <c r="I630" s="26"/>
      <c r="J630" s="26"/>
    </row>
    <row r="631" spans="1:10">
      <c r="A631" s="25"/>
      <c r="B631" s="15"/>
      <c r="C631" s="15"/>
      <c r="E631" s="15"/>
      <c r="F631" s="17"/>
      <c r="G631" s="26"/>
      <c r="H631" s="26"/>
      <c r="I631" s="26"/>
      <c r="J631" s="26"/>
    </row>
    <row r="632" spans="1:10">
      <c r="A632" s="25"/>
      <c r="B632" s="15"/>
      <c r="C632" s="15"/>
      <c r="E632" s="15"/>
      <c r="F632" s="17"/>
      <c r="G632" s="26"/>
      <c r="H632" s="26"/>
      <c r="I632" s="26"/>
      <c r="J632" s="26"/>
    </row>
    <row r="633" spans="1:10">
      <c r="A633" s="25"/>
      <c r="B633" s="15"/>
      <c r="C633" s="15"/>
      <c r="E633" s="15"/>
      <c r="F633" s="17"/>
      <c r="G633" s="26"/>
      <c r="H633" s="26"/>
      <c r="I633" s="26"/>
      <c r="J633" s="26"/>
    </row>
    <row r="634" spans="1:10">
      <c r="A634" s="25"/>
      <c r="B634" s="15"/>
      <c r="C634" s="15"/>
      <c r="E634" s="15"/>
      <c r="F634" s="17"/>
      <c r="G634" s="26"/>
      <c r="H634" s="26"/>
      <c r="I634" s="26"/>
      <c r="J634" s="26"/>
    </row>
    <row r="635" spans="1:10">
      <c r="A635" s="25"/>
      <c r="B635" s="15"/>
      <c r="C635" s="15"/>
      <c r="E635" s="15"/>
      <c r="F635" s="17"/>
      <c r="G635" s="26"/>
      <c r="H635" s="26"/>
      <c r="I635" s="26"/>
      <c r="J635" s="26"/>
    </row>
    <row r="636" spans="1:10">
      <c r="A636" s="25"/>
      <c r="B636" s="15"/>
      <c r="C636" s="15"/>
      <c r="E636" s="15"/>
      <c r="F636" s="17"/>
      <c r="G636" s="26"/>
      <c r="H636" s="26"/>
      <c r="I636" s="26"/>
      <c r="J636" s="26"/>
    </row>
    <row r="637" spans="1:10">
      <c r="A637" s="25"/>
      <c r="B637" s="15"/>
      <c r="C637" s="15"/>
      <c r="E637" s="15"/>
      <c r="F637" s="17"/>
      <c r="G637" s="26"/>
      <c r="H637" s="26"/>
      <c r="I637" s="26"/>
      <c r="J637" s="26"/>
    </row>
    <row r="638" spans="1:10">
      <c r="A638" s="25"/>
      <c r="B638" s="15"/>
      <c r="C638" s="15"/>
      <c r="E638" s="15"/>
      <c r="F638" s="17"/>
      <c r="G638" s="26"/>
      <c r="H638" s="26"/>
      <c r="I638" s="26"/>
      <c r="J638" s="26"/>
    </row>
    <row r="639" spans="1:10">
      <c r="A639" s="25"/>
      <c r="B639" s="15"/>
      <c r="C639" s="15"/>
      <c r="E639" s="15"/>
      <c r="F639" s="17"/>
      <c r="G639" s="26"/>
      <c r="H639" s="26"/>
      <c r="I639" s="26"/>
      <c r="J639" s="26"/>
    </row>
    <row r="640" spans="1:10">
      <c r="A640" s="25"/>
      <c r="B640" s="15"/>
      <c r="C640" s="15"/>
      <c r="E640" s="15"/>
      <c r="F640" s="17"/>
      <c r="G640" s="26"/>
      <c r="H640" s="26"/>
      <c r="I640" s="26"/>
      <c r="J640" s="26"/>
    </row>
    <row r="641" spans="1:10">
      <c r="A641" s="25"/>
      <c r="B641" s="15"/>
      <c r="C641" s="15"/>
      <c r="E641" s="15"/>
      <c r="F641" s="17"/>
      <c r="G641" s="26"/>
      <c r="H641" s="26"/>
      <c r="I641" s="26"/>
      <c r="J641" s="26"/>
    </row>
    <row r="642" spans="1:10">
      <c r="A642" s="25"/>
      <c r="B642" s="15"/>
      <c r="C642" s="15"/>
      <c r="E642" s="15"/>
      <c r="F642" s="17"/>
      <c r="G642" s="26"/>
      <c r="H642" s="26"/>
      <c r="I642" s="26"/>
      <c r="J642" s="26"/>
    </row>
    <row r="643" spans="1:10">
      <c r="A643" s="25"/>
      <c r="B643" s="15"/>
      <c r="C643" s="15"/>
      <c r="E643" s="15"/>
      <c r="F643" s="17"/>
      <c r="G643" s="26"/>
      <c r="H643" s="26"/>
      <c r="I643" s="26"/>
      <c r="J643" s="26"/>
    </row>
    <row r="644" spans="1:10">
      <c r="A644" s="25"/>
      <c r="B644" s="15"/>
      <c r="C644" s="15"/>
      <c r="E644" s="15"/>
      <c r="F644" s="17"/>
      <c r="G644" s="26"/>
      <c r="H644" s="26"/>
      <c r="I644" s="26"/>
      <c r="J644" s="26"/>
    </row>
    <row r="645" spans="1:10">
      <c r="A645" s="25"/>
      <c r="B645" s="15"/>
      <c r="C645" s="15"/>
      <c r="E645" s="15"/>
      <c r="F645" s="17"/>
      <c r="G645" s="26"/>
      <c r="H645" s="26"/>
      <c r="I645" s="26"/>
      <c r="J645" s="26"/>
    </row>
    <row r="646" spans="1:10">
      <c r="A646" s="25"/>
      <c r="B646" s="15"/>
      <c r="C646" s="15"/>
      <c r="E646" s="15"/>
      <c r="F646" s="17"/>
      <c r="G646" s="26"/>
      <c r="H646" s="26"/>
      <c r="I646" s="26"/>
      <c r="J646" s="26"/>
    </row>
    <row r="647" spans="1:10">
      <c r="A647" s="25"/>
      <c r="B647" s="15"/>
      <c r="C647" s="15"/>
      <c r="E647" s="15"/>
      <c r="F647" s="17"/>
      <c r="G647" s="26"/>
      <c r="H647" s="26"/>
      <c r="I647" s="26"/>
      <c r="J647" s="26"/>
    </row>
    <row r="648" spans="1:10">
      <c r="A648" s="25"/>
      <c r="B648" s="15"/>
      <c r="C648" s="15"/>
      <c r="E648" s="15"/>
      <c r="F648" s="17"/>
      <c r="G648" s="26"/>
      <c r="H648" s="26"/>
      <c r="I648" s="26"/>
      <c r="J648" s="26"/>
    </row>
    <row r="649" spans="1:10">
      <c r="A649" s="25"/>
      <c r="B649" s="15"/>
      <c r="C649" s="15"/>
      <c r="E649" s="15"/>
      <c r="F649" s="17"/>
      <c r="G649" s="26"/>
      <c r="H649" s="26"/>
      <c r="I649" s="26"/>
      <c r="J649" s="26"/>
    </row>
    <row r="650" spans="1:10">
      <c r="A650" s="25"/>
      <c r="B650" s="15"/>
      <c r="C650" s="15"/>
      <c r="E650" s="15"/>
      <c r="F650" s="17"/>
      <c r="G650" s="26"/>
      <c r="H650" s="26"/>
      <c r="I650" s="26"/>
      <c r="J650" s="26"/>
    </row>
    <row r="651" spans="1:10">
      <c r="A651" s="25"/>
      <c r="B651" s="15"/>
      <c r="C651" s="15"/>
      <c r="E651" s="15"/>
      <c r="F651" s="17"/>
      <c r="G651" s="26"/>
      <c r="H651" s="26"/>
      <c r="I651" s="26"/>
      <c r="J651" s="26"/>
    </row>
    <row r="652" spans="1:10">
      <c r="A652" s="25"/>
      <c r="B652" s="15"/>
      <c r="C652" s="15"/>
      <c r="E652" s="15"/>
      <c r="F652" s="17"/>
      <c r="G652" s="26"/>
      <c r="H652" s="26"/>
      <c r="I652" s="26"/>
      <c r="J652" s="26"/>
    </row>
    <row r="653" spans="1:10">
      <c r="A653" s="25"/>
      <c r="B653" s="15"/>
      <c r="C653" s="15"/>
      <c r="E653" s="15"/>
      <c r="F653" s="17"/>
      <c r="G653" s="26"/>
      <c r="H653" s="26"/>
      <c r="I653" s="26"/>
      <c r="J653" s="26"/>
    </row>
    <row r="654" spans="1:10">
      <c r="A654" s="25"/>
      <c r="B654" s="15"/>
      <c r="C654" s="15"/>
      <c r="E654" s="15"/>
      <c r="F654" s="17"/>
      <c r="G654" s="26"/>
      <c r="H654" s="26"/>
      <c r="I654" s="26"/>
      <c r="J654" s="26"/>
    </row>
    <row r="655" spans="1:10">
      <c r="A655" s="25"/>
      <c r="B655" s="15"/>
      <c r="C655" s="15"/>
      <c r="E655" s="15"/>
      <c r="F655" s="17"/>
      <c r="G655" s="26"/>
      <c r="H655" s="26"/>
      <c r="I655" s="26"/>
      <c r="J655" s="26"/>
    </row>
    <row r="656" spans="1:10">
      <c r="A656" s="25"/>
      <c r="B656" s="15"/>
      <c r="C656" s="15"/>
      <c r="E656" s="15"/>
      <c r="F656" s="17"/>
      <c r="G656" s="26"/>
      <c r="H656" s="26"/>
      <c r="I656" s="26"/>
      <c r="J656" s="26"/>
    </row>
    <row r="657" spans="1:10">
      <c r="A657" s="25"/>
      <c r="B657" s="15"/>
      <c r="C657" s="15"/>
      <c r="E657" s="15"/>
      <c r="F657" s="17"/>
      <c r="G657" s="26"/>
      <c r="H657" s="26"/>
      <c r="I657" s="26"/>
      <c r="J657" s="26"/>
    </row>
    <row r="658" spans="1:10">
      <c r="A658" s="25"/>
      <c r="B658" s="15"/>
      <c r="C658" s="15"/>
      <c r="E658" s="15"/>
      <c r="F658" s="17"/>
      <c r="G658" s="26"/>
      <c r="H658" s="26"/>
      <c r="I658" s="26"/>
      <c r="J658" s="26"/>
    </row>
    <row r="659" spans="1:10">
      <c r="A659" s="25"/>
      <c r="B659" s="15"/>
      <c r="C659" s="15"/>
      <c r="E659" s="15"/>
      <c r="F659" s="17"/>
      <c r="G659" s="26"/>
      <c r="H659" s="26"/>
      <c r="I659" s="26"/>
      <c r="J659" s="26"/>
    </row>
    <row r="660" spans="1:10">
      <c r="A660" s="25"/>
      <c r="B660" s="15"/>
      <c r="C660" s="15"/>
      <c r="E660" s="15"/>
      <c r="F660" s="17"/>
      <c r="G660" s="26"/>
      <c r="H660" s="26"/>
      <c r="I660" s="26"/>
      <c r="J660" s="26"/>
    </row>
    <row r="661" spans="1:10">
      <c r="A661" s="25"/>
      <c r="B661" s="15"/>
      <c r="C661" s="15"/>
      <c r="E661" s="15"/>
      <c r="F661" s="17"/>
      <c r="G661" s="26"/>
      <c r="H661" s="26"/>
      <c r="I661" s="26"/>
      <c r="J661" s="26"/>
    </row>
    <row r="662" spans="1:10">
      <c r="A662" s="25"/>
      <c r="B662" s="15"/>
      <c r="C662" s="15"/>
      <c r="E662" s="15"/>
      <c r="F662" s="17"/>
      <c r="G662" s="26"/>
      <c r="H662" s="26"/>
      <c r="I662" s="26"/>
      <c r="J662" s="26"/>
    </row>
    <row r="663" spans="1:10">
      <c r="A663" s="25"/>
      <c r="B663" s="15"/>
      <c r="C663" s="15"/>
      <c r="E663" s="15"/>
      <c r="F663" s="17"/>
      <c r="G663" s="26"/>
      <c r="H663" s="26"/>
      <c r="I663" s="26"/>
      <c r="J663" s="26"/>
    </row>
    <row r="664" spans="1:10">
      <c r="A664" s="25"/>
      <c r="B664" s="15"/>
      <c r="C664" s="15"/>
      <c r="E664" s="15"/>
      <c r="F664" s="17"/>
      <c r="G664" s="26"/>
      <c r="H664" s="26"/>
      <c r="I664" s="26"/>
      <c r="J664" s="26"/>
    </row>
    <row r="665" spans="1:10">
      <c r="A665" s="25"/>
      <c r="B665" s="15"/>
      <c r="C665" s="15"/>
      <c r="E665" s="15"/>
      <c r="F665" s="17"/>
      <c r="G665" s="26"/>
      <c r="H665" s="26"/>
      <c r="I665" s="26"/>
      <c r="J665" s="26"/>
    </row>
    <row r="666" spans="1:10">
      <c r="A666" s="25"/>
      <c r="B666" s="15"/>
      <c r="C666" s="15"/>
      <c r="E666" s="15"/>
      <c r="F666" s="17"/>
      <c r="G666" s="26"/>
      <c r="H666" s="26"/>
      <c r="I666" s="26"/>
      <c r="J666" s="26"/>
    </row>
    <row r="667" spans="1:10">
      <c r="A667" s="25"/>
      <c r="B667" s="15"/>
      <c r="C667" s="15"/>
      <c r="E667" s="15"/>
      <c r="F667" s="17"/>
      <c r="G667" s="26"/>
      <c r="H667" s="26"/>
      <c r="I667" s="26"/>
      <c r="J667" s="26"/>
    </row>
    <row r="668" spans="1:10">
      <c r="A668" s="25"/>
      <c r="B668" s="15"/>
      <c r="C668" s="15"/>
      <c r="E668" s="15"/>
      <c r="F668" s="17"/>
      <c r="G668" s="26"/>
      <c r="H668" s="26"/>
      <c r="I668" s="26"/>
      <c r="J668" s="26"/>
    </row>
    <row r="669" spans="1:10">
      <c r="A669" s="25"/>
      <c r="B669" s="15"/>
      <c r="C669" s="15"/>
      <c r="E669" s="15"/>
      <c r="F669" s="17"/>
      <c r="G669" s="26"/>
      <c r="H669" s="26"/>
      <c r="I669" s="26"/>
      <c r="J669" s="26"/>
    </row>
    <row r="670" spans="1:10">
      <c r="A670" s="25"/>
      <c r="B670" s="15"/>
      <c r="C670" s="15"/>
      <c r="E670" s="15"/>
      <c r="F670" s="17"/>
      <c r="G670" s="26"/>
      <c r="H670" s="26"/>
      <c r="I670" s="26"/>
      <c r="J670" s="26"/>
    </row>
    <row r="671" spans="1:10">
      <c r="A671" s="25"/>
      <c r="B671" s="15"/>
      <c r="C671" s="15"/>
      <c r="E671" s="15"/>
      <c r="F671" s="17"/>
      <c r="G671" s="26"/>
      <c r="H671" s="26"/>
      <c r="I671" s="26"/>
      <c r="J671" s="26"/>
    </row>
    <row r="672" spans="1:10">
      <c r="A672" s="25"/>
      <c r="B672" s="15"/>
      <c r="C672" s="15"/>
      <c r="E672" s="15"/>
      <c r="F672" s="17"/>
      <c r="G672" s="26"/>
      <c r="H672" s="26"/>
      <c r="I672" s="26"/>
      <c r="J672" s="26"/>
    </row>
    <row r="673" spans="1:10">
      <c r="A673" s="25"/>
      <c r="B673" s="15"/>
      <c r="C673" s="15"/>
      <c r="E673" s="15"/>
      <c r="F673" s="17"/>
      <c r="G673" s="26"/>
      <c r="H673" s="26"/>
      <c r="I673" s="26"/>
      <c r="J673" s="26"/>
    </row>
    <row r="674" spans="1:10">
      <c r="A674" s="25"/>
      <c r="B674" s="15"/>
      <c r="C674" s="15"/>
      <c r="E674" s="15"/>
      <c r="F674" s="17"/>
      <c r="G674" s="26"/>
      <c r="H674" s="26"/>
      <c r="I674" s="26"/>
      <c r="J674" s="26"/>
    </row>
    <row r="675" spans="1:10">
      <c r="A675" s="25"/>
      <c r="B675" s="15"/>
      <c r="C675" s="15"/>
      <c r="E675" s="15"/>
      <c r="F675" s="17"/>
      <c r="G675" s="26"/>
      <c r="H675" s="26"/>
      <c r="I675" s="26"/>
      <c r="J675" s="26"/>
    </row>
    <row r="676" spans="1:10">
      <c r="A676" s="25"/>
      <c r="B676" s="15"/>
      <c r="C676" s="15"/>
      <c r="E676" s="15"/>
      <c r="F676" s="17"/>
      <c r="G676" s="26"/>
      <c r="H676" s="26"/>
      <c r="I676" s="26"/>
      <c r="J676" s="26"/>
    </row>
    <row r="677" spans="1:10">
      <c r="A677" s="25"/>
      <c r="B677" s="15"/>
      <c r="C677" s="15"/>
      <c r="E677" s="15"/>
      <c r="F677" s="17"/>
      <c r="G677" s="26"/>
      <c r="H677" s="26"/>
      <c r="I677" s="26"/>
      <c r="J677" s="26"/>
    </row>
    <row r="678" spans="1:10">
      <c r="A678" s="25"/>
      <c r="B678" s="15"/>
      <c r="C678" s="15"/>
      <c r="E678" s="15"/>
      <c r="F678" s="17"/>
      <c r="G678" s="26"/>
      <c r="H678" s="26"/>
      <c r="I678" s="26"/>
      <c r="J678" s="26"/>
    </row>
    <row r="679" spans="1:10">
      <c r="A679" s="25"/>
      <c r="B679" s="15"/>
      <c r="C679" s="15"/>
      <c r="E679" s="15"/>
      <c r="F679" s="17"/>
      <c r="G679" s="26"/>
      <c r="H679" s="26"/>
      <c r="I679" s="26"/>
      <c r="J679" s="26"/>
    </row>
    <row r="680" spans="1:10">
      <c r="A680" s="25"/>
      <c r="B680" s="15"/>
      <c r="C680" s="15"/>
      <c r="E680" s="15"/>
      <c r="F680" s="17"/>
      <c r="G680" s="26"/>
      <c r="H680" s="26"/>
      <c r="I680" s="26"/>
      <c r="J680" s="26"/>
    </row>
    <row r="681" spans="1:10">
      <c r="A681" s="25"/>
      <c r="B681" s="15"/>
      <c r="C681" s="15"/>
      <c r="E681" s="15"/>
      <c r="F681" s="17"/>
      <c r="G681" s="26"/>
      <c r="H681" s="26"/>
      <c r="I681" s="26"/>
      <c r="J681" s="26"/>
    </row>
    <row r="682" spans="1:10">
      <c r="A682" s="25"/>
      <c r="B682" s="15"/>
      <c r="C682" s="15"/>
      <c r="E682" s="15"/>
      <c r="F682" s="17"/>
      <c r="G682" s="26"/>
      <c r="H682" s="26"/>
      <c r="I682" s="26"/>
      <c r="J682" s="26"/>
    </row>
    <row r="683" spans="1:10">
      <c r="A683" s="25"/>
      <c r="B683" s="15"/>
      <c r="C683" s="15"/>
      <c r="E683" s="15"/>
      <c r="F683" s="17"/>
      <c r="G683" s="26"/>
      <c r="H683" s="26"/>
      <c r="I683" s="26"/>
      <c r="J683" s="26"/>
    </row>
    <row r="684" spans="1:10">
      <c r="A684" s="25"/>
      <c r="B684" s="15"/>
      <c r="C684" s="15"/>
      <c r="E684" s="15"/>
      <c r="F684" s="17"/>
      <c r="G684" s="26"/>
      <c r="H684" s="26"/>
      <c r="I684" s="26"/>
      <c r="J684" s="26"/>
    </row>
    <row r="685" spans="1:10">
      <c r="A685" s="25"/>
      <c r="B685" s="15"/>
      <c r="C685" s="15"/>
      <c r="E685" s="15"/>
      <c r="F685" s="17"/>
      <c r="G685" s="26"/>
      <c r="H685" s="26"/>
      <c r="I685" s="26"/>
      <c r="J685" s="26"/>
    </row>
    <row r="686" spans="1:10">
      <c r="A686" s="25"/>
      <c r="B686" s="15"/>
      <c r="C686" s="15"/>
      <c r="E686" s="15"/>
      <c r="F686" s="17"/>
      <c r="G686" s="26"/>
      <c r="H686" s="26"/>
      <c r="I686" s="26"/>
      <c r="J686" s="26"/>
    </row>
    <row r="687" spans="1:10">
      <c r="A687" s="25"/>
      <c r="B687" s="15"/>
      <c r="C687" s="15"/>
      <c r="E687" s="15"/>
      <c r="F687" s="17"/>
      <c r="G687" s="26"/>
      <c r="H687" s="26"/>
      <c r="I687" s="26"/>
      <c r="J687" s="26"/>
    </row>
    <row r="688" spans="1:10">
      <c r="A688" s="25"/>
      <c r="B688" s="15"/>
      <c r="C688" s="15"/>
      <c r="E688" s="15"/>
      <c r="F688" s="17"/>
      <c r="G688" s="26"/>
      <c r="H688" s="26"/>
      <c r="I688" s="26"/>
      <c r="J688" s="26"/>
    </row>
    <row r="689" spans="1:10">
      <c r="A689" s="25"/>
      <c r="B689" s="15"/>
      <c r="C689" s="15"/>
      <c r="E689" s="15"/>
      <c r="F689" s="17"/>
      <c r="G689" s="26"/>
      <c r="H689" s="26"/>
      <c r="I689" s="26"/>
      <c r="J689" s="26"/>
    </row>
    <row r="690" spans="1:10">
      <c r="A690" s="25"/>
      <c r="B690" s="15"/>
      <c r="C690" s="15"/>
      <c r="E690" s="15"/>
      <c r="F690" s="17"/>
      <c r="G690" s="26"/>
      <c r="H690" s="26"/>
      <c r="I690" s="26"/>
      <c r="J690" s="26"/>
    </row>
    <row r="691" spans="1:10">
      <c r="A691" s="25"/>
      <c r="B691" s="15"/>
      <c r="C691" s="15"/>
      <c r="E691" s="15"/>
      <c r="F691" s="17"/>
      <c r="G691" s="26"/>
      <c r="H691" s="26"/>
      <c r="I691" s="26"/>
      <c r="J691" s="26"/>
    </row>
    <row r="692" spans="1:10">
      <c r="A692" s="25"/>
      <c r="B692" s="15"/>
      <c r="C692" s="15"/>
      <c r="E692" s="15"/>
      <c r="F692" s="17"/>
      <c r="G692" s="26"/>
      <c r="H692" s="26"/>
      <c r="I692" s="26"/>
      <c r="J692" s="26"/>
    </row>
    <row r="693" spans="1:10">
      <c r="A693" s="25"/>
      <c r="B693" s="15"/>
      <c r="C693" s="15"/>
      <c r="E693" s="15"/>
      <c r="F693" s="17"/>
      <c r="G693" s="26"/>
      <c r="H693" s="26"/>
      <c r="I693" s="26"/>
      <c r="J693" s="26"/>
    </row>
    <row r="694" spans="1:10">
      <c r="A694" s="25"/>
      <c r="B694" s="15"/>
      <c r="C694" s="15"/>
      <c r="E694" s="15"/>
      <c r="F694" s="17"/>
      <c r="G694" s="26"/>
      <c r="H694" s="26"/>
      <c r="I694" s="26"/>
      <c r="J694" s="26"/>
    </row>
    <row r="695" spans="1:10">
      <c r="A695" s="25"/>
      <c r="B695" s="15"/>
      <c r="C695" s="15"/>
      <c r="E695" s="15"/>
      <c r="F695" s="17"/>
      <c r="G695" s="26"/>
      <c r="H695" s="26"/>
      <c r="I695" s="26"/>
      <c r="J695" s="26"/>
    </row>
    <row r="696" spans="1:10">
      <c r="A696" s="25"/>
      <c r="B696" s="15"/>
      <c r="C696" s="15"/>
      <c r="E696" s="15"/>
      <c r="F696" s="17"/>
      <c r="G696" s="26"/>
      <c r="H696" s="26"/>
      <c r="I696" s="26"/>
      <c r="J696" s="26"/>
    </row>
    <row r="697" spans="1:10">
      <c r="A697" s="25"/>
      <c r="B697" s="15"/>
      <c r="C697" s="15"/>
      <c r="E697" s="15"/>
      <c r="F697" s="17"/>
      <c r="G697" s="26"/>
      <c r="H697" s="26"/>
      <c r="I697" s="26"/>
      <c r="J697" s="26"/>
    </row>
    <row r="698" spans="1:10">
      <c r="A698" s="25"/>
      <c r="B698" s="15"/>
      <c r="C698" s="15"/>
      <c r="E698" s="15"/>
      <c r="F698" s="17"/>
      <c r="G698" s="26"/>
      <c r="H698" s="26"/>
      <c r="I698" s="26"/>
      <c r="J698" s="26"/>
    </row>
    <row r="699" spans="1:10">
      <c r="A699" s="25"/>
      <c r="B699" s="15"/>
      <c r="C699" s="15"/>
      <c r="E699" s="15"/>
      <c r="F699" s="17"/>
      <c r="G699" s="26"/>
      <c r="H699" s="26"/>
      <c r="I699" s="26"/>
      <c r="J699" s="26"/>
    </row>
    <row r="700" spans="1:10">
      <c r="A700" s="25"/>
      <c r="B700" s="15"/>
      <c r="C700" s="15"/>
      <c r="E700" s="15"/>
      <c r="F700" s="17"/>
      <c r="G700" s="26"/>
      <c r="H700" s="26"/>
      <c r="I700" s="26"/>
      <c r="J700" s="26"/>
    </row>
    <row r="701" spans="1:10">
      <c r="A701" s="25"/>
      <c r="B701" s="15"/>
      <c r="C701" s="15"/>
      <c r="E701" s="15"/>
      <c r="F701" s="17"/>
      <c r="G701" s="26"/>
      <c r="H701" s="26"/>
      <c r="I701" s="26"/>
      <c r="J701" s="26"/>
    </row>
    <row r="702" spans="1:10">
      <c r="A702" s="25"/>
      <c r="B702" s="15"/>
      <c r="C702" s="15"/>
      <c r="E702" s="15"/>
      <c r="F702" s="17"/>
      <c r="G702" s="26"/>
      <c r="H702" s="26"/>
      <c r="I702" s="26"/>
      <c r="J702" s="26"/>
    </row>
    <row r="703" spans="1:10">
      <c r="A703" s="25"/>
      <c r="B703" s="15"/>
      <c r="C703" s="15"/>
      <c r="E703" s="15"/>
      <c r="F703" s="17"/>
      <c r="G703" s="26"/>
      <c r="H703" s="26"/>
      <c r="I703" s="26"/>
      <c r="J703" s="26"/>
    </row>
    <row r="704" spans="1:10">
      <c r="A704" s="25"/>
      <c r="B704" s="15"/>
      <c r="C704" s="15"/>
      <c r="E704" s="15"/>
      <c r="F704" s="17"/>
      <c r="G704" s="26"/>
      <c r="H704" s="26"/>
      <c r="I704" s="26"/>
      <c r="J704" s="26"/>
    </row>
    <row r="705" spans="1:10">
      <c r="A705" s="25"/>
      <c r="B705" s="15"/>
      <c r="C705" s="15"/>
      <c r="E705" s="15"/>
      <c r="F705" s="17"/>
      <c r="G705" s="26"/>
      <c r="H705" s="26"/>
      <c r="I705" s="26"/>
      <c r="J705" s="26"/>
    </row>
    <row r="706" spans="1:10">
      <c r="A706" s="25"/>
      <c r="B706" s="15"/>
      <c r="C706" s="15"/>
      <c r="E706" s="15"/>
      <c r="F706" s="17"/>
      <c r="G706" s="26"/>
      <c r="H706" s="26"/>
      <c r="I706" s="26"/>
      <c r="J706" s="26"/>
    </row>
    <row r="707" spans="1:10">
      <c r="A707" s="25"/>
      <c r="B707" s="15"/>
      <c r="C707" s="15"/>
      <c r="E707" s="15"/>
      <c r="F707" s="17"/>
      <c r="G707" s="26"/>
      <c r="H707" s="26"/>
      <c r="I707" s="26"/>
      <c r="J707" s="26"/>
    </row>
    <row r="708" spans="1:10">
      <c r="A708" s="25"/>
      <c r="B708" s="15"/>
      <c r="C708" s="15"/>
      <c r="E708" s="15"/>
      <c r="F708" s="17"/>
      <c r="G708" s="26"/>
      <c r="H708" s="26"/>
      <c r="I708" s="26"/>
      <c r="J708" s="26"/>
    </row>
    <row r="709" spans="1:10">
      <c r="A709" s="25"/>
      <c r="B709" s="15"/>
      <c r="C709" s="15"/>
      <c r="E709" s="15"/>
      <c r="F709" s="17"/>
      <c r="G709" s="26"/>
      <c r="H709" s="26"/>
      <c r="I709" s="26"/>
      <c r="J709" s="26"/>
    </row>
    <row r="710" spans="1:10">
      <c r="A710" s="25"/>
      <c r="B710" s="15"/>
      <c r="C710" s="15"/>
      <c r="E710" s="15"/>
      <c r="F710" s="17"/>
      <c r="G710" s="26"/>
      <c r="H710" s="26"/>
      <c r="I710" s="26"/>
      <c r="J710" s="26"/>
    </row>
    <row r="711" spans="1:10">
      <c r="A711" s="25"/>
      <c r="B711" s="15"/>
      <c r="C711" s="15"/>
      <c r="E711" s="15"/>
      <c r="F711" s="17"/>
      <c r="G711" s="26"/>
      <c r="H711" s="26"/>
      <c r="I711" s="26"/>
      <c r="J711" s="26"/>
    </row>
    <row r="712" spans="1:10">
      <c r="A712" s="25"/>
      <c r="B712" s="15"/>
      <c r="C712" s="15"/>
      <c r="E712" s="15"/>
      <c r="F712" s="17"/>
      <c r="G712" s="26"/>
      <c r="H712" s="26"/>
      <c r="I712" s="26"/>
      <c r="J712" s="26"/>
    </row>
    <row r="713" spans="1:10">
      <c r="A713" s="25"/>
      <c r="B713" s="15"/>
      <c r="C713" s="15"/>
      <c r="E713" s="15"/>
      <c r="F713" s="17"/>
      <c r="G713" s="26"/>
      <c r="H713" s="26"/>
      <c r="I713" s="26"/>
      <c r="J713" s="26"/>
    </row>
    <row r="714" spans="1:10">
      <c r="A714" s="25"/>
      <c r="B714" s="15"/>
      <c r="C714" s="15"/>
      <c r="E714" s="15"/>
      <c r="F714" s="17"/>
      <c r="G714" s="26"/>
      <c r="H714" s="26"/>
      <c r="I714" s="26"/>
      <c r="J714" s="26"/>
    </row>
    <row r="715" spans="1:10">
      <c r="A715" s="25"/>
      <c r="B715" s="15"/>
      <c r="C715" s="15"/>
      <c r="E715" s="15"/>
      <c r="F715" s="17"/>
      <c r="G715" s="26"/>
      <c r="H715" s="26"/>
      <c r="I715" s="26"/>
      <c r="J715" s="26"/>
    </row>
    <row r="716" spans="1:10">
      <c r="A716" s="25"/>
      <c r="B716" s="15"/>
      <c r="C716" s="15"/>
      <c r="E716" s="15"/>
      <c r="F716" s="17"/>
      <c r="G716" s="26"/>
      <c r="H716" s="26"/>
      <c r="I716" s="26"/>
      <c r="J716" s="26"/>
    </row>
    <row r="717" spans="1:10">
      <c r="A717" s="25"/>
      <c r="B717" s="15"/>
      <c r="C717" s="15"/>
      <c r="E717" s="15"/>
      <c r="F717" s="17"/>
      <c r="G717" s="26"/>
      <c r="H717" s="26"/>
      <c r="I717" s="26"/>
      <c r="J717" s="26"/>
    </row>
    <row r="718" spans="1:10">
      <c r="A718" s="25"/>
      <c r="B718" s="15"/>
      <c r="C718" s="15"/>
      <c r="E718" s="15"/>
      <c r="F718" s="17"/>
      <c r="G718" s="26"/>
      <c r="H718" s="26"/>
      <c r="I718" s="26"/>
      <c r="J718" s="26"/>
    </row>
    <row r="719" spans="1:10">
      <c r="A719" s="25"/>
      <c r="B719" s="15"/>
      <c r="C719" s="15"/>
      <c r="E719" s="15"/>
      <c r="F719" s="17"/>
      <c r="G719" s="26"/>
      <c r="H719" s="26"/>
      <c r="I719" s="26"/>
      <c r="J719" s="26"/>
    </row>
    <row r="720" spans="1:10">
      <c r="A720" s="25"/>
      <c r="B720" s="15"/>
      <c r="C720" s="15"/>
      <c r="E720" s="15"/>
      <c r="F720" s="17"/>
      <c r="G720" s="26"/>
      <c r="H720" s="26"/>
      <c r="I720" s="26"/>
      <c r="J720" s="26"/>
    </row>
    <row r="721" spans="1:10">
      <c r="A721" s="25"/>
      <c r="B721" s="15"/>
      <c r="C721" s="15"/>
      <c r="E721" s="15"/>
      <c r="F721" s="17"/>
      <c r="G721" s="26"/>
      <c r="H721" s="26"/>
      <c r="I721" s="26"/>
      <c r="J721" s="26"/>
    </row>
    <row r="722" spans="1:10">
      <c r="A722" s="25"/>
      <c r="B722" s="15"/>
      <c r="C722" s="15"/>
      <c r="E722" s="15"/>
      <c r="F722" s="17"/>
      <c r="G722" s="26"/>
      <c r="H722" s="26"/>
      <c r="I722" s="26"/>
      <c r="J722" s="26"/>
    </row>
    <row r="723" spans="1:10">
      <c r="A723" s="25"/>
      <c r="B723" s="15"/>
      <c r="C723" s="15"/>
      <c r="E723" s="15"/>
      <c r="F723" s="17"/>
      <c r="G723" s="26"/>
      <c r="H723" s="26"/>
      <c r="I723" s="26"/>
      <c r="J723" s="26"/>
    </row>
    <row r="724" spans="1:10">
      <c r="A724" s="25"/>
      <c r="B724" s="15"/>
      <c r="C724" s="15"/>
      <c r="E724" s="15"/>
      <c r="F724" s="17"/>
      <c r="G724" s="26"/>
      <c r="H724" s="26"/>
      <c r="I724" s="26"/>
      <c r="J724" s="26"/>
    </row>
    <row r="725" spans="1:10">
      <c r="A725" s="25"/>
      <c r="B725" s="15"/>
      <c r="C725" s="15"/>
      <c r="E725" s="15"/>
      <c r="F725" s="17"/>
      <c r="G725" s="26"/>
      <c r="H725" s="26"/>
      <c r="I725" s="26"/>
      <c r="J725" s="26"/>
    </row>
    <row r="726" spans="1:10">
      <c r="A726" s="25"/>
      <c r="B726" s="15"/>
      <c r="C726" s="15"/>
      <c r="E726" s="15"/>
      <c r="F726" s="17"/>
      <c r="G726" s="26"/>
      <c r="H726" s="26"/>
      <c r="I726" s="26"/>
      <c r="J726" s="26"/>
    </row>
    <row r="727" spans="1:10">
      <c r="A727" s="25"/>
      <c r="B727" s="15"/>
      <c r="C727" s="15"/>
      <c r="E727" s="15"/>
      <c r="F727" s="17"/>
      <c r="G727" s="26"/>
      <c r="H727" s="26"/>
      <c r="I727" s="26"/>
      <c r="J727" s="26"/>
    </row>
    <row r="728" spans="1:10">
      <c r="A728" s="25"/>
      <c r="B728" s="15"/>
      <c r="C728" s="15"/>
      <c r="E728" s="15"/>
      <c r="F728" s="17"/>
      <c r="G728" s="26"/>
      <c r="H728" s="26"/>
      <c r="I728" s="26"/>
      <c r="J728" s="26"/>
    </row>
    <row r="729" spans="1:10">
      <c r="A729" s="25"/>
      <c r="B729" s="15"/>
      <c r="C729" s="15"/>
      <c r="E729" s="15"/>
      <c r="F729" s="17"/>
      <c r="G729" s="26"/>
      <c r="H729" s="26"/>
      <c r="I729" s="26"/>
      <c r="J729" s="26"/>
    </row>
    <row r="730" spans="1:10">
      <c r="A730" s="25"/>
      <c r="B730" s="15"/>
      <c r="C730" s="15"/>
      <c r="E730" s="15"/>
      <c r="F730" s="17"/>
      <c r="G730" s="26"/>
      <c r="H730" s="26"/>
      <c r="I730" s="26"/>
      <c r="J730" s="26"/>
    </row>
    <row r="731" spans="1:10">
      <c r="A731" s="25"/>
      <c r="B731" s="15"/>
      <c r="C731" s="15"/>
      <c r="E731" s="15"/>
      <c r="F731" s="17"/>
      <c r="G731" s="26"/>
      <c r="H731" s="26"/>
      <c r="I731" s="26"/>
      <c r="J731" s="26"/>
    </row>
    <row r="732" spans="1:10">
      <c r="A732" s="25"/>
      <c r="B732" s="15"/>
      <c r="C732" s="15"/>
      <c r="E732" s="15"/>
      <c r="F732" s="17"/>
      <c r="G732" s="26"/>
      <c r="H732" s="26"/>
      <c r="I732" s="26"/>
      <c r="J732" s="26"/>
    </row>
    <row r="733" spans="1:10">
      <c r="A733" s="25"/>
      <c r="B733" s="15"/>
      <c r="C733" s="15"/>
      <c r="E733" s="15"/>
      <c r="F733" s="17"/>
      <c r="G733" s="26"/>
      <c r="H733" s="26"/>
      <c r="I733" s="26"/>
      <c r="J733" s="26"/>
    </row>
    <row r="734" spans="1:10">
      <c r="A734" s="25"/>
      <c r="B734" s="15"/>
      <c r="C734" s="15"/>
      <c r="E734" s="15"/>
      <c r="F734" s="17"/>
      <c r="G734" s="26"/>
      <c r="H734" s="26"/>
      <c r="I734" s="26"/>
      <c r="J734" s="26"/>
    </row>
    <row r="735" spans="1:10">
      <c r="A735" s="25"/>
      <c r="B735" s="15"/>
      <c r="C735" s="15"/>
      <c r="E735" s="15"/>
      <c r="F735" s="17"/>
      <c r="G735" s="26"/>
      <c r="H735" s="26"/>
      <c r="I735" s="26"/>
      <c r="J735" s="26"/>
    </row>
    <row r="736" spans="1:10">
      <c r="A736" s="25"/>
      <c r="B736" s="15"/>
      <c r="C736" s="15"/>
      <c r="E736" s="15"/>
      <c r="F736" s="17"/>
      <c r="G736" s="26"/>
      <c r="H736" s="26"/>
      <c r="I736" s="26"/>
      <c r="J736" s="26"/>
    </row>
    <row r="737" spans="1:10">
      <c r="A737" s="25"/>
      <c r="B737" s="15"/>
      <c r="C737" s="15"/>
      <c r="E737" s="15"/>
      <c r="F737" s="17"/>
      <c r="G737" s="26"/>
      <c r="H737" s="26"/>
      <c r="I737" s="26"/>
      <c r="J737" s="26"/>
    </row>
    <row r="738" spans="1:10">
      <c r="A738" s="25"/>
      <c r="B738" s="15"/>
      <c r="C738" s="15"/>
      <c r="E738" s="15"/>
      <c r="F738" s="17"/>
      <c r="G738" s="26"/>
      <c r="H738" s="26"/>
      <c r="I738" s="26"/>
      <c r="J738" s="26"/>
    </row>
    <row r="739" spans="1:10">
      <c r="A739" s="25"/>
      <c r="B739" s="15"/>
      <c r="C739" s="15"/>
      <c r="E739" s="15"/>
      <c r="F739" s="17"/>
      <c r="G739" s="26"/>
      <c r="H739" s="26"/>
      <c r="I739" s="26"/>
      <c r="J739" s="26"/>
    </row>
    <row r="740" spans="1:10">
      <c r="A740" s="25"/>
      <c r="B740" s="15"/>
      <c r="C740" s="15"/>
      <c r="E740" s="15"/>
      <c r="F740" s="17"/>
      <c r="G740" s="26"/>
      <c r="H740" s="26"/>
      <c r="I740" s="26"/>
      <c r="J740" s="26"/>
    </row>
    <row r="741" spans="1:10">
      <c r="A741" s="25"/>
      <c r="B741" s="15"/>
      <c r="C741" s="15"/>
      <c r="E741" s="15"/>
      <c r="F741" s="17"/>
      <c r="G741" s="26"/>
      <c r="H741" s="26"/>
      <c r="I741" s="26"/>
      <c r="J741" s="26"/>
    </row>
    <row r="742" spans="1:10">
      <c r="A742" s="25"/>
      <c r="B742" s="15"/>
      <c r="C742" s="15"/>
      <c r="E742" s="15"/>
      <c r="F742" s="17"/>
      <c r="G742" s="26"/>
      <c r="H742" s="26"/>
      <c r="I742" s="26"/>
      <c r="J742" s="26"/>
    </row>
    <row r="743" spans="1:10">
      <c r="A743" s="25"/>
      <c r="B743" s="15"/>
      <c r="C743" s="15"/>
      <c r="E743" s="15"/>
      <c r="F743" s="17"/>
      <c r="G743" s="26"/>
      <c r="H743" s="26"/>
      <c r="I743" s="26"/>
      <c r="J743" s="26"/>
    </row>
    <row r="744" spans="1:10">
      <c r="A744" s="25"/>
      <c r="B744" s="15"/>
      <c r="C744" s="15"/>
      <c r="E744" s="15"/>
      <c r="F744" s="17"/>
      <c r="G744" s="26"/>
      <c r="H744" s="26"/>
      <c r="I744" s="26"/>
      <c r="J744" s="26"/>
    </row>
    <row r="745" spans="1:10">
      <c r="A745" s="25"/>
      <c r="B745" s="15"/>
      <c r="C745" s="15"/>
      <c r="E745" s="15"/>
      <c r="F745" s="17"/>
      <c r="G745" s="26"/>
      <c r="H745" s="26"/>
      <c r="I745" s="26"/>
      <c r="J745" s="26"/>
    </row>
    <row r="746" spans="1:10">
      <c r="A746" s="25"/>
      <c r="B746" s="15"/>
      <c r="C746" s="15"/>
      <c r="E746" s="15"/>
      <c r="F746" s="17"/>
      <c r="G746" s="26"/>
      <c r="H746" s="26"/>
      <c r="I746" s="26"/>
      <c r="J746" s="26"/>
    </row>
    <row r="747" spans="1:10">
      <c r="A747" s="25"/>
      <c r="B747" s="15"/>
      <c r="C747" s="15"/>
      <c r="E747" s="15"/>
      <c r="F747" s="17"/>
      <c r="G747" s="26"/>
      <c r="H747" s="26"/>
      <c r="I747" s="26"/>
      <c r="J747" s="26"/>
    </row>
    <row r="748" spans="1:10">
      <c r="A748" s="25"/>
      <c r="B748" s="15"/>
      <c r="C748" s="15"/>
      <c r="E748" s="15"/>
      <c r="F748" s="17"/>
      <c r="G748" s="26"/>
      <c r="H748" s="26"/>
      <c r="I748" s="26"/>
      <c r="J748" s="26"/>
    </row>
    <row r="749" spans="1:10">
      <c r="A749" s="25"/>
      <c r="B749" s="15"/>
      <c r="C749" s="15"/>
      <c r="E749" s="15"/>
      <c r="F749" s="17"/>
      <c r="G749" s="26"/>
      <c r="H749" s="26"/>
      <c r="I749" s="26"/>
      <c r="J749" s="26"/>
    </row>
    <row r="750" spans="1:10">
      <c r="A750" s="25"/>
      <c r="B750" s="15"/>
      <c r="C750" s="15"/>
      <c r="E750" s="15"/>
      <c r="F750" s="17"/>
      <c r="G750" s="26"/>
      <c r="H750" s="26"/>
      <c r="I750" s="26"/>
      <c r="J750" s="26"/>
    </row>
    <row r="751" spans="1:10">
      <c r="A751" s="25"/>
      <c r="B751" s="15"/>
      <c r="C751" s="15"/>
      <c r="E751" s="15"/>
      <c r="F751" s="17"/>
      <c r="G751" s="26"/>
      <c r="H751" s="26"/>
      <c r="I751" s="26"/>
      <c r="J751" s="26"/>
    </row>
    <row r="752" spans="1:10">
      <c r="A752" s="25"/>
      <c r="B752" s="15"/>
      <c r="C752" s="15"/>
      <c r="E752" s="15"/>
      <c r="F752" s="17"/>
      <c r="G752" s="26"/>
      <c r="H752" s="26"/>
      <c r="I752" s="26"/>
      <c r="J752" s="26"/>
    </row>
    <row r="753" spans="1:10">
      <c r="A753" s="25"/>
      <c r="B753" s="15"/>
      <c r="C753" s="15"/>
      <c r="E753" s="15"/>
      <c r="F753" s="17"/>
      <c r="G753" s="26"/>
      <c r="H753" s="26"/>
      <c r="I753" s="26"/>
      <c r="J753" s="26"/>
    </row>
    <row r="754" spans="1:10">
      <c r="A754" s="25"/>
      <c r="B754" s="15"/>
      <c r="C754" s="15"/>
      <c r="E754" s="15"/>
      <c r="F754" s="17"/>
      <c r="G754" s="26"/>
      <c r="H754" s="26"/>
      <c r="I754" s="26"/>
      <c r="J754" s="26"/>
    </row>
    <row r="755" spans="1:10">
      <c r="A755" s="25"/>
      <c r="B755" s="15"/>
      <c r="C755" s="15"/>
      <c r="E755" s="15"/>
      <c r="F755" s="17"/>
      <c r="G755" s="26"/>
      <c r="H755" s="26"/>
      <c r="I755" s="26"/>
      <c r="J755" s="26"/>
    </row>
    <row r="756" spans="1:10">
      <c r="A756" s="25"/>
      <c r="B756" s="15"/>
      <c r="C756" s="15"/>
      <c r="E756" s="15"/>
      <c r="F756" s="17"/>
      <c r="G756" s="26"/>
      <c r="H756" s="26"/>
      <c r="I756" s="26"/>
      <c r="J756" s="26"/>
    </row>
    <row r="757" spans="1:10">
      <c r="A757" s="25"/>
      <c r="B757" s="15"/>
      <c r="C757" s="15"/>
      <c r="E757" s="15"/>
      <c r="F757" s="17"/>
      <c r="G757" s="26"/>
      <c r="H757" s="26"/>
      <c r="I757" s="26"/>
      <c r="J757" s="26"/>
    </row>
    <row r="758" spans="1:10">
      <c r="A758" s="25"/>
      <c r="B758" s="15"/>
      <c r="C758" s="15"/>
      <c r="E758" s="15"/>
      <c r="F758" s="17"/>
      <c r="G758" s="26"/>
      <c r="H758" s="26"/>
      <c r="I758" s="26"/>
      <c r="J758" s="26"/>
    </row>
    <row r="759" spans="1:10">
      <c r="A759" s="25"/>
      <c r="B759" s="15"/>
      <c r="C759" s="15"/>
      <c r="E759" s="15"/>
      <c r="F759" s="17"/>
      <c r="G759" s="26"/>
      <c r="H759" s="26"/>
      <c r="I759" s="26"/>
      <c r="J759" s="26"/>
    </row>
    <row r="760" spans="1:10">
      <c r="A760" s="25"/>
      <c r="B760" s="15"/>
      <c r="C760" s="15"/>
      <c r="E760" s="15"/>
      <c r="F760" s="17"/>
      <c r="G760" s="26"/>
      <c r="H760" s="26"/>
      <c r="I760" s="26"/>
      <c r="J760" s="26"/>
    </row>
    <row r="761" spans="1:10">
      <c r="A761" s="25"/>
      <c r="B761" s="15"/>
      <c r="C761" s="15"/>
      <c r="E761" s="15"/>
      <c r="F761" s="17"/>
      <c r="G761" s="26"/>
      <c r="H761" s="26"/>
      <c r="I761" s="26"/>
      <c r="J761" s="26"/>
    </row>
    <row r="762" spans="1:10">
      <c r="A762" s="25"/>
      <c r="B762" s="15"/>
      <c r="C762" s="15"/>
      <c r="E762" s="15"/>
      <c r="F762" s="17"/>
      <c r="G762" s="26"/>
      <c r="H762" s="26"/>
      <c r="I762" s="26"/>
      <c r="J762" s="26"/>
    </row>
    <row r="763" spans="1:10">
      <c r="A763" s="25"/>
      <c r="B763" s="15"/>
      <c r="C763" s="15"/>
      <c r="E763" s="15"/>
      <c r="F763" s="17"/>
      <c r="G763" s="26"/>
      <c r="H763" s="26"/>
      <c r="I763" s="26"/>
      <c r="J763" s="26"/>
    </row>
    <row r="764" spans="1:10">
      <c r="A764" s="25"/>
      <c r="B764" s="15"/>
      <c r="C764" s="15"/>
      <c r="E764" s="15"/>
      <c r="F764" s="17"/>
      <c r="G764" s="26"/>
      <c r="H764" s="26"/>
      <c r="I764" s="26"/>
      <c r="J764" s="26"/>
    </row>
    <row r="765" spans="1:10">
      <c r="A765" s="25"/>
      <c r="B765" s="15"/>
      <c r="C765" s="15"/>
      <c r="E765" s="15"/>
      <c r="F765" s="17"/>
      <c r="G765" s="26"/>
      <c r="H765" s="26"/>
      <c r="I765" s="26"/>
      <c r="J765" s="26"/>
    </row>
    <row r="766" spans="1:10">
      <c r="A766" s="25"/>
      <c r="B766" s="15"/>
      <c r="C766" s="15"/>
      <c r="E766" s="15"/>
      <c r="F766" s="17"/>
      <c r="G766" s="26"/>
      <c r="H766" s="26"/>
      <c r="I766" s="26"/>
      <c r="J766" s="26"/>
    </row>
    <row r="767" spans="1:10">
      <c r="A767" s="25"/>
      <c r="B767" s="15"/>
      <c r="C767" s="15"/>
      <c r="E767" s="15"/>
      <c r="F767" s="17"/>
      <c r="G767" s="26"/>
      <c r="H767" s="26"/>
      <c r="I767" s="26"/>
      <c r="J767" s="26"/>
    </row>
    <row r="768" spans="1:10">
      <c r="A768" s="25"/>
      <c r="B768" s="15"/>
      <c r="C768" s="15"/>
      <c r="E768" s="15"/>
      <c r="F768" s="17"/>
      <c r="G768" s="26"/>
      <c r="H768" s="26"/>
      <c r="I768" s="26"/>
      <c r="J768" s="26"/>
    </row>
    <row r="769" spans="1:10">
      <c r="A769" s="25"/>
      <c r="B769" s="15"/>
      <c r="C769" s="15"/>
      <c r="E769" s="15"/>
      <c r="F769" s="17"/>
      <c r="G769" s="26"/>
      <c r="H769" s="26"/>
      <c r="I769" s="26"/>
      <c r="J769" s="26"/>
    </row>
    <row r="770" spans="1:10">
      <c r="A770" s="25"/>
      <c r="B770" s="15"/>
      <c r="C770" s="15"/>
      <c r="E770" s="15"/>
      <c r="F770" s="17"/>
      <c r="G770" s="26"/>
      <c r="H770" s="26"/>
      <c r="I770" s="26"/>
      <c r="J770" s="26"/>
    </row>
    <row r="771" spans="1:10">
      <c r="A771" s="25"/>
      <c r="B771" s="15"/>
      <c r="C771" s="15"/>
      <c r="E771" s="15"/>
      <c r="F771" s="17"/>
      <c r="G771" s="26"/>
      <c r="H771" s="26"/>
      <c r="I771" s="26"/>
      <c r="J771" s="26"/>
    </row>
    <row r="772" spans="1:10">
      <c r="A772" s="25"/>
      <c r="B772" s="15"/>
      <c r="C772" s="15"/>
      <c r="E772" s="15"/>
      <c r="F772" s="17"/>
      <c r="G772" s="26"/>
      <c r="H772" s="26"/>
      <c r="I772" s="26"/>
      <c r="J772" s="26"/>
    </row>
    <row r="773" spans="1:10">
      <c r="A773" s="25"/>
      <c r="B773" s="15"/>
      <c r="C773" s="15"/>
      <c r="E773" s="15"/>
      <c r="F773" s="17"/>
      <c r="G773" s="26"/>
      <c r="H773" s="26"/>
      <c r="I773" s="26"/>
      <c r="J773" s="26"/>
    </row>
    <row r="774" spans="1:10">
      <c r="A774" s="25"/>
      <c r="B774" s="15"/>
      <c r="C774" s="15"/>
      <c r="E774" s="15"/>
      <c r="F774" s="17"/>
      <c r="G774" s="26"/>
      <c r="H774" s="26"/>
      <c r="I774" s="26"/>
      <c r="J774" s="26"/>
    </row>
    <row r="775" spans="1:10">
      <c r="A775" s="25"/>
      <c r="B775" s="15"/>
      <c r="C775" s="15"/>
      <c r="E775" s="15"/>
      <c r="F775" s="17"/>
      <c r="G775" s="26"/>
      <c r="H775" s="26"/>
      <c r="I775" s="26"/>
      <c r="J775" s="26"/>
    </row>
    <row r="776" spans="1:10">
      <c r="A776" s="25"/>
      <c r="B776" s="15"/>
      <c r="C776" s="15"/>
      <c r="E776" s="15"/>
      <c r="F776" s="17"/>
      <c r="G776" s="26"/>
      <c r="H776" s="26"/>
      <c r="I776" s="26"/>
      <c r="J776" s="26"/>
    </row>
    <row r="777" spans="1:10">
      <c r="A777" s="25"/>
      <c r="B777" s="15"/>
      <c r="C777" s="15"/>
      <c r="E777" s="15"/>
      <c r="F777" s="17"/>
      <c r="G777" s="26"/>
      <c r="H777" s="26"/>
      <c r="I777" s="26"/>
      <c r="J777" s="26"/>
    </row>
    <row r="778" spans="1:10">
      <c r="A778" s="25"/>
      <c r="B778" s="15"/>
      <c r="C778" s="15"/>
      <c r="E778" s="15"/>
      <c r="F778" s="17"/>
      <c r="G778" s="26"/>
      <c r="H778" s="26"/>
      <c r="I778" s="26"/>
      <c r="J778" s="26"/>
    </row>
    <row r="779" spans="1:10">
      <c r="A779" s="25"/>
      <c r="B779" s="15"/>
      <c r="C779" s="15"/>
      <c r="E779" s="15"/>
      <c r="F779" s="17"/>
      <c r="G779" s="26"/>
      <c r="H779" s="26"/>
      <c r="I779" s="26"/>
      <c r="J779" s="26"/>
    </row>
    <row r="780" spans="1:10">
      <c r="A780" s="25"/>
      <c r="B780" s="15"/>
      <c r="C780" s="15"/>
      <c r="E780" s="15"/>
      <c r="F780" s="17"/>
      <c r="G780" s="26"/>
      <c r="H780" s="26"/>
      <c r="I780" s="26"/>
      <c r="J780" s="26"/>
    </row>
    <row r="781" spans="1:10">
      <c r="A781" s="25"/>
      <c r="B781" s="15"/>
      <c r="C781" s="15"/>
      <c r="E781" s="15"/>
      <c r="F781" s="17"/>
      <c r="G781" s="26"/>
      <c r="H781" s="26"/>
      <c r="I781" s="26"/>
      <c r="J781" s="26"/>
    </row>
    <row r="782" spans="1:10">
      <c r="A782" s="25"/>
      <c r="B782" s="15"/>
      <c r="C782" s="15"/>
      <c r="E782" s="15"/>
      <c r="F782" s="17"/>
      <c r="G782" s="26"/>
      <c r="H782" s="26"/>
      <c r="I782" s="26"/>
      <c r="J782" s="26"/>
    </row>
    <row r="783" spans="1:10">
      <c r="A783" s="25"/>
      <c r="B783" s="15"/>
      <c r="C783" s="15"/>
      <c r="E783" s="15"/>
      <c r="F783" s="17"/>
      <c r="G783" s="26"/>
      <c r="H783" s="26"/>
      <c r="I783" s="26"/>
      <c r="J783" s="26"/>
    </row>
    <row r="784" spans="1:10">
      <c r="A784" s="25"/>
      <c r="B784" s="15"/>
      <c r="C784" s="15"/>
      <c r="E784" s="15"/>
      <c r="F784" s="17"/>
      <c r="G784" s="26"/>
      <c r="H784" s="26"/>
      <c r="I784" s="26"/>
      <c r="J784" s="26"/>
    </row>
    <row r="785" spans="1:10">
      <c r="A785" s="25"/>
      <c r="B785" s="15"/>
      <c r="C785" s="15"/>
      <c r="E785" s="15"/>
      <c r="F785" s="17"/>
      <c r="G785" s="26"/>
      <c r="H785" s="26"/>
      <c r="I785" s="26"/>
      <c r="J785" s="26"/>
    </row>
    <row r="786" spans="1:10">
      <c r="A786" s="25"/>
      <c r="B786" s="15"/>
      <c r="C786" s="15"/>
      <c r="E786" s="15"/>
      <c r="F786" s="17"/>
      <c r="G786" s="26"/>
      <c r="H786" s="26"/>
      <c r="I786" s="26"/>
      <c r="J786" s="26"/>
    </row>
    <row r="787" spans="1:10">
      <c r="A787" s="25"/>
      <c r="B787" s="15"/>
      <c r="C787" s="15"/>
      <c r="E787" s="15"/>
      <c r="F787" s="17"/>
      <c r="G787" s="26"/>
      <c r="H787" s="26"/>
      <c r="I787" s="26"/>
      <c r="J787" s="26"/>
    </row>
    <row r="788" spans="1:10">
      <c r="A788" s="25"/>
      <c r="B788" s="15"/>
      <c r="C788" s="15"/>
      <c r="E788" s="15"/>
      <c r="F788" s="17"/>
      <c r="G788" s="26"/>
      <c r="H788" s="26"/>
      <c r="I788" s="26"/>
      <c r="J788" s="26"/>
    </row>
    <row r="789" spans="1:10">
      <c r="A789" s="25"/>
      <c r="B789" s="15"/>
      <c r="C789" s="15"/>
      <c r="E789" s="15"/>
      <c r="F789" s="17"/>
      <c r="G789" s="26"/>
      <c r="H789" s="26"/>
      <c r="I789" s="26"/>
      <c r="J789" s="26"/>
    </row>
    <row r="790" spans="1:10">
      <c r="A790" s="25"/>
      <c r="B790" s="15"/>
      <c r="C790" s="15"/>
      <c r="E790" s="15"/>
      <c r="F790" s="17"/>
      <c r="G790" s="26"/>
      <c r="H790" s="26"/>
      <c r="I790" s="26"/>
      <c r="J790" s="26"/>
    </row>
    <row r="791" spans="1:10">
      <c r="A791" s="25"/>
      <c r="B791" s="15"/>
      <c r="C791" s="15"/>
      <c r="E791" s="15"/>
      <c r="F791" s="17"/>
      <c r="G791" s="26"/>
      <c r="H791" s="26"/>
      <c r="I791" s="26"/>
      <c r="J791" s="26"/>
    </row>
    <row r="792" spans="1:10">
      <c r="A792" s="25"/>
      <c r="B792" s="15"/>
      <c r="C792" s="15"/>
      <c r="E792" s="15"/>
      <c r="F792" s="17"/>
      <c r="G792" s="26"/>
      <c r="H792" s="26"/>
      <c r="I792" s="26"/>
      <c r="J792" s="26"/>
    </row>
    <row r="793" spans="1:10">
      <c r="A793" s="25"/>
      <c r="B793" s="15"/>
      <c r="C793" s="15"/>
      <c r="E793" s="15"/>
      <c r="F793" s="17"/>
      <c r="G793" s="26"/>
      <c r="H793" s="26"/>
      <c r="I793" s="26"/>
      <c r="J793" s="26"/>
    </row>
    <row r="794" spans="1:10">
      <c r="A794" s="25"/>
      <c r="B794" s="15"/>
      <c r="C794" s="15"/>
      <c r="E794" s="15"/>
      <c r="F794" s="17"/>
      <c r="G794" s="26"/>
      <c r="H794" s="26"/>
      <c r="I794" s="26"/>
      <c r="J794" s="26"/>
    </row>
    <row r="795" spans="1:10">
      <c r="A795" s="25"/>
      <c r="B795" s="15"/>
      <c r="C795" s="15"/>
      <c r="E795" s="15"/>
      <c r="F795" s="17"/>
      <c r="G795" s="26"/>
      <c r="H795" s="26"/>
      <c r="I795" s="26"/>
      <c r="J795" s="26"/>
    </row>
    <row r="796" spans="1:10">
      <c r="A796" s="25"/>
      <c r="B796" s="15"/>
      <c r="C796" s="15"/>
      <c r="E796" s="15"/>
      <c r="F796" s="17"/>
      <c r="G796" s="26"/>
      <c r="H796" s="26"/>
      <c r="I796" s="26"/>
      <c r="J796" s="26"/>
    </row>
    <row r="797" spans="1:10">
      <c r="A797" s="25"/>
      <c r="B797" s="15"/>
      <c r="C797" s="15"/>
      <c r="E797" s="15"/>
      <c r="F797" s="17"/>
      <c r="G797" s="26"/>
      <c r="H797" s="26"/>
      <c r="I797" s="26"/>
      <c r="J797" s="26"/>
    </row>
    <row r="798" spans="1:10">
      <c r="A798" s="25"/>
      <c r="B798" s="15"/>
      <c r="C798" s="15"/>
      <c r="E798" s="15"/>
      <c r="F798" s="17"/>
      <c r="G798" s="26"/>
      <c r="H798" s="26"/>
      <c r="I798" s="26"/>
      <c r="J798" s="26"/>
    </row>
    <row r="799" spans="1:10">
      <c r="A799" s="25"/>
      <c r="B799" s="15"/>
      <c r="C799" s="15"/>
      <c r="E799" s="15"/>
      <c r="F799" s="17"/>
      <c r="G799" s="26"/>
      <c r="H799" s="26"/>
      <c r="I799" s="26"/>
      <c r="J799" s="26"/>
    </row>
    <row r="800" spans="1:10">
      <c r="A800" s="25"/>
      <c r="B800" s="15"/>
      <c r="C800" s="15"/>
      <c r="E800" s="15"/>
      <c r="F800" s="17"/>
      <c r="G800" s="26"/>
      <c r="H800" s="26"/>
      <c r="I800" s="26"/>
      <c r="J800" s="26"/>
    </row>
    <row r="801" spans="1:10">
      <c r="A801" s="25"/>
      <c r="B801" s="15"/>
      <c r="C801" s="15"/>
      <c r="E801" s="15"/>
      <c r="F801" s="17"/>
      <c r="G801" s="26"/>
      <c r="H801" s="26"/>
      <c r="I801" s="26"/>
      <c r="J801" s="26"/>
    </row>
    <row r="802" spans="1:10">
      <c r="A802" s="25"/>
      <c r="B802" s="15"/>
      <c r="C802" s="15"/>
      <c r="E802" s="15"/>
      <c r="F802" s="17"/>
      <c r="G802" s="26"/>
      <c r="H802" s="26"/>
      <c r="I802" s="26"/>
      <c r="J802" s="26"/>
    </row>
    <row r="803" spans="1:10">
      <c r="A803" s="25"/>
      <c r="B803" s="15"/>
      <c r="C803" s="15"/>
      <c r="E803" s="15"/>
      <c r="F803" s="17"/>
      <c r="G803" s="26"/>
      <c r="H803" s="26"/>
      <c r="I803" s="26"/>
      <c r="J803" s="26"/>
    </row>
    <row r="804" spans="1:10">
      <c r="A804" s="25"/>
      <c r="B804" s="15"/>
      <c r="C804" s="15"/>
      <c r="E804" s="15"/>
      <c r="F804" s="17"/>
      <c r="G804" s="26"/>
      <c r="H804" s="26"/>
      <c r="I804" s="26"/>
      <c r="J804" s="26"/>
    </row>
    <row r="805" spans="1:10">
      <c r="A805" s="25"/>
      <c r="B805" s="15"/>
      <c r="C805" s="15"/>
      <c r="E805" s="15"/>
      <c r="F805" s="17"/>
      <c r="G805" s="26"/>
      <c r="H805" s="26"/>
      <c r="I805" s="26"/>
      <c r="J805" s="26"/>
    </row>
    <row r="806" spans="1:10">
      <c r="A806" s="25"/>
      <c r="B806" s="15"/>
      <c r="C806" s="15"/>
      <c r="E806" s="15"/>
      <c r="F806" s="17"/>
      <c r="G806" s="26"/>
      <c r="H806" s="26"/>
      <c r="I806" s="26"/>
      <c r="J806" s="26"/>
    </row>
    <row r="807" spans="1:10">
      <c r="A807" s="25"/>
      <c r="B807" s="15"/>
      <c r="C807" s="15"/>
      <c r="E807" s="15"/>
      <c r="F807" s="17"/>
      <c r="G807" s="26"/>
      <c r="H807" s="26"/>
      <c r="I807" s="26"/>
      <c r="J807" s="26"/>
    </row>
    <row r="808" spans="1:10">
      <c r="A808" s="25"/>
      <c r="B808" s="15"/>
      <c r="C808" s="15"/>
      <c r="E808" s="15"/>
      <c r="F808" s="17"/>
      <c r="G808" s="26"/>
      <c r="H808" s="26"/>
      <c r="I808" s="26"/>
      <c r="J808" s="26"/>
    </row>
    <row r="809" spans="1:10">
      <c r="A809" s="25"/>
      <c r="B809" s="15"/>
      <c r="C809" s="15"/>
      <c r="E809" s="15"/>
      <c r="F809" s="17"/>
      <c r="G809" s="26"/>
      <c r="H809" s="26"/>
      <c r="I809" s="26"/>
      <c r="J809" s="26"/>
    </row>
    <row r="810" spans="1:10">
      <c r="A810" s="25"/>
      <c r="B810" s="15"/>
      <c r="C810" s="15"/>
      <c r="E810" s="15"/>
      <c r="F810" s="17"/>
      <c r="G810" s="26"/>
      <c r="H810" s="26"/>
      <c r="I810" s="26"/>
      <c r="J810" s="26"/>
    </row>
    <row r="811" spans="1:10">
      <c r="A811" s="25"/>
      <c r="B811" s="15"/>
      <c r="C811" s="15"/>
      <c r="E811" s="15"/>
      <c r="F811" s="17"/>
      <c r="G811" s="26"/>
      <c r="H811" s="26"/>
      <c r="I811" s="26"/>
      <c r="J811" s="26"/>
    </row>
    <row r="812" spans="1:10">
      <c r="A812" s="25"/>
      <c r="B812" s="15"/>
      <c r="C812" s="15"/>
      <c r="E812" s="15"/>
      <c r="F812" s="17"/>
      <c r="G812" s="26"/>
      <c r="H812" s="26"/>
      <c r="I812" s="26"/>
      <c r="J812" s="26"/>
    </row>
    <row r="813" spans="1:10">
      <c r="A813" s="25"/>
      <c r="B813" s="15"/>
      <c r="C813" s="15"/>
      <c r="E813" s="15"/>
      <c r="F813" s="17"/>
      <c r="G813" s="26"/>
      <c r="H813" s="26"/>
      <c r="I813" s="26"/>
      <c r="J813" s="26"/>
    </row>
    <row r="814" spans="1:10">
      <c r="A814" s="25"/>
      <c r="B814" s="15"/>
      <c r="C814" s="15"/>
      <c r="E814" s="15"/>
      <c r="F814" s="17"/>
      <c r="G814" s="26"/>
      <c r="H814" s="26"/>
      <c r="I814" s="26"/>
      <c r="J814" s="26"/>
    </row>
    <row r="815" spans="1:10">
      <c r="A815" s="25"/>
      <c r="B815" s="15"/>
      <c r="C815" s="15"/>
      <c r="E815" s="15"/>
      <c r="F815" s="17"/>
      <c r="G815" s="26"/>
      <c r="H815" s="26"/>
      <c r="I815" s="26"/>
      <c r="J815" s="26"/>
    </row>
    <row r="816" spans="1:10">
      <c r="A816" s="25"/>
      <c r="B816" s="15"/>
      <c r="C816" s="15"/>
      <c r="E816" s="15"/>
      <c r="F816" s="17"/>
      <c r="G816" s="26"/>
      <c r="H816" s="26"/>
      <c r="I816" s="26"/>
      <c r="J816" s="26"/>
    </row>
    <row r="817" spans="1:10">
      <c r="A817" s="25"/>
      <c r="B817" s="15"/>
      <c r="C817" s="15"/>
      <c r="E817" s="15"/>
      <c r="F817" s="17"/>
      <c r="G817" s="26"/>
      <c r="H817" s="26"/>
      <c r="I817" s="26"/>
      <c r="J817" s="26"/>
    </row>
    <row r="818" spans="1:10">
      <c r="A818" s="25"/>
      <c r="B818" s="15"/>
      <c r="C818" s="15"/>
      <c r="E818" s="15"/>
      <c r="F818" s="17"/>
      <c r="G818" s="26"/>
      <c r="H818" s="26"/>
      <c r="I818" s="26"/>
      <c r="J818" s="26"/>
    </row>
    <row r="819" spans="1:10">
      <c r="A819" s="25"/>
      <c r="B819" s="15"/>
      <c r="C819" s="15"/>
      <c r="E819" s="15"/>
      <c r="F819" s="17"/>
      <c r="G819" s="26"/>
      <c r="H819" s="26"/>
      <c r="I819" s="26"/>
      <c r="J819" s="26"/>
    </row>
    <row r="820" spans="1:10">
      <c r="A820" s="25"/>
      <c r="B820" s="15"/>
      <c r="C820" s="15"/>
      <c r="E820" s="15"/>
      <c r="F820" s="17"/>
      <c r="G820" s="26"/>
      <c r="H820" s="26"/>
      <c r="I820" s="26"/>
      <c r="J820" s="26"/>
    </row>
    <row r="821" spans="1:10">
      <c r="A821" s="25"/>
      <c r="B821" s="15"/>
      <c r="C821" s="15"/>
      <c r="E821" s="15"/>
      <c r="F821" s="17"/>
      <c r="G821" s="26"/>
      <c r="H821" s="26"/>
      <c r="I821" s="26"/>
      <c r="J821" s="26"/>
    </row>
    <row r="822" spans="1:10">
      <c r="A822" s="25"/>
      <c r="B822" s="15"/>
      <c r="C822" s="15"/>
      <c r="E822" s="15"/>
      <c r="F822" s="17"/>
      <c r="G822" s="26"/>
      <c r="H822" s="26"/>
      <c r="I822" s="26"/>
      <c r="J822" s="26"/>
    </row>
    <row r="823" spans="1:10">
      <c r="A823" s="25"/>
      <c r="B823" s="15"/>
      <c r="C823" s="15"/>
      <c r="E823" s="15"/>
      <c r="F823" s="17"/>
      <c r="G823" s="26"/>
      <c r="H823" s="26"/>
      <c r="I823" s="26"/>
      <c r="J823" s="26"/>
    </row>
    <row r="824" spans="1:10">
      <c r="A824" s="25"/>
      <c r="B824" s="15"/>
      <c r="C824" s="15"/>
      <c r="E824" s="15"/>
      <c r="F824" s="17"/>
      <c r="G824" s="26"/>
      <c r="H824" s="26"/>
      <c r="I824" s="26"/>
      <c r="J824" s="26"/>
    </row>
    <row r="825" spans="1:10">
      <c r="A825" s="25"/>
      <c r="B825" s="15"/>
      <c r="C825" s="15"/>
      <c r="E825" s="15"/>
      <c r="F825" s="17"/>
      <c r="G825" s="26"/>
      <c r="H825" s="26"/>
      <c r="I825" s="26"/>
      <c r="J825" s="26"/>
    </row>
    <row r="826" spans="1:10">
      <c r="A826" s="25"/>
      <c r="B826" s="15"/>
      <c r="C826" s="15"/>
      <c r="E826" s="15"/>
      <c r="F826" s="17"/>
      <c r="G826" s="26"/>
      <c r="H826" s="26"/>
      <c r="I826" s="26"/>
      <c r="J826" s="26"/>
    </row>
    <row r="827" spans="1:10">
      <c r="A827" s="25"/>
      <c r="B827" s="15"/>
      <c r="C827" s="15"/>
      <c r="E827" s="15"/>
      <c r="F827" s="17"/>
      <c r="G827" s="26"/>
      <c r="H827" s="26"/>
      <c r="I827" s="26"/>
      <c r="J827" s="26"/>
    </row>
    <row r="828" spans="1:10">
      <c r="A828" s="25"/>
      <c r="B828" s="15"/>
      <c r="C828" s="15"/>
      <c r="E828" s="15"/>
      <c r="F828" s="17"/>
      <c r="G828" s="26"/>
      <c r="H828" s="26"/>
      <c r="I828" s="26"/>
      <c r="J828" s="26"/>
    </row>
    <row r="829" spans="1:10">
      <c r="A829" s="25"/>
      <c r="B829" s="15"/>
      <c r="C829" s="15"/>
      <c r="E829" s="15"/>
      <c r="F829" s="17"/>
      <c r="G829" s="26"/>
      <c r="H829" s="26"/>
      <c r="I829" s="26"/>
      <c r="J829" s="26"/>
    </row>
    <row r="830" spans="1:10">
      <c r="A830" s="25"/>
      <c r="B830" s="15"/>
      <c r="C830" s="15"/>
      <c r="E830" s="15"/>
      <c r="F830" s="17"/>
      <c r="G830" s="26"/>
      <c r="H830" s="26"/>
      <c r="I830" s="26"/>
      <c r="J830" s="26"/>
    </row>
    <row r="831" spans="1:10">
      <c r="A831" s="25"/>
      <c r="B831" s="15"/>
      <c r="C831" s="15"/>
      <c r="E831" s="15"/>
      <c r="F831" s="17"/>
      <c r="G831" s="26"/>
      <c r="H831" s="26"/>
      <c r="I831" s="26"/>
      <c r="J831" s="26"/>
    </row>
    <row r="832" spans="1:10">
      <c r="A832" s="25"/>
      <c r="B832" s="15"/>
      <c r="C832" s="15"/>
      <c r="E832" s="15"/>
      <c r="F832" s="17"/>
      <c r="G832" s="26"/>
      <c r="H832" s="26"/>
      <c r="I832" s="26"/>
      <c r="J832" s="26"/>
    </row>
    <row r="833" spans="1:10">
      <c r="A833" s="25"/>
      <c r="B833" s="15"/>
      <c r="C833" s="15"/>
      <c r="E833" s="15"/>
      <c r="F833" s="17"/>
      <c r="G833" s="26"/>
      <c r="H833" s="26"/>
      <c r="I833" s="26"/>
      <c r="J833" s="26"/>
    </row>
    <row r="834" spans="1:10">
      <c r="A834" s="25"/>
      <c r="B834" s="15"/>
      <c r="C834" s="15"/>
      <c r="E834" s="15"/>
      <c r="F834" s="17"/>
      <c r="G834" s="26"/>
      <c r="H834" s="26"/>
      <c r="I834" s="26"/>
      <c r="J834" s="26"/>
    </row>
    <row r="835" spans="1:10">
      <c r="A835" s="25"/>
      <c r="B835" s="15"/>
      <c r="C835" s="15"/>
      <c r="E835" s="15"/>
      <c r="F835" s="17"/>
      <c r="G835" s="26"/>
      <c r="H835" s="26"/>
      <c r="I835" s="26"/>
      <c r="J835" s="26"/>
    </row>
    <row r="836" spans="1:10">
      <c r="A836" s="25"/>
      <c r="B836" s="15"/>
      <c r="C836" s="15"/>
      <c r="E836" s="15"/>
      <c r="F836" s="17"/>
      <c r="G836" s="26"/>
      <c r="H836" s="26"/>
      <c r="I836" s="26"/>
      <c r="J836" s="26"/>
    </row>
    <row r="837" spans="1:10">
      <c r="A837" s="25"/>
      <c r="B837" s="15"/>
      <c r="C837" s="15"/>
      <c r="E837" s="15"/>
      <c r="F837" s="17"/>
      <c r="G837" s="26"/>
      <c r="H837" s="26"/>
      <c r="I837" s="26"/>
      <c r="J837" s="26"/>
    </row>
    <row r="838" spans="1:10">
      <c r="A838" s="25"/>
      <c r="B838" s="15"/>
      <c r="C838" s="15"/>
      <c r="E838" s="15"/>
      <c r="F838" s="17"/>
      <c r="G838" s="26"/>
      <c r="H838" s="26"/>
      <c r="I838" s="26"/>
      <c r="J838" s="26"/>
    </row>
    <row r="839" spans="1:10">
      <c r="A839" s="25"/>
      <c r="B839" s="15"/>
      <c r="C839" s="15"/>
      <c r="E839" s="15"/>
      <c r="F839" s="17"/>
      <c r="G839" s="26"/>
      <c r="H839" s="26"/>
      <c r="I839" s="26"/>
      <c r="J839" s="26"/>
    </row>
    <row r="840" spans="1:10">
      <c r="A840" s="25"/>
      <c r="B840" s="15"/>
      <c r="C840" s="15"/>
      <c r="E840" s="15"/>
      <c r="F840" s="17"/>
      <c r="G840" s="26"/>
      <c r="H840" s="26"/>
      <c r="I840" s="26"/>
      <c r="J840" s="26"/>
    </row>
    <row r="841" spans="1:10">
      <c r="A841" s="25"/>
      <c r="B841" s="15"/>
      <c r="C841" s="15"/>
      <c r="E841" s="15"/>
      <c r="F841" s="17"/>
      <c r="G841" s="26"/>
      <c r="H841" s="26"/>
      <c r="I841" s="26"/>
      <c r="J841" s="26"/>
    </row>
    <row r="842" spans="1:10">
      <c r="A842" s="25"/>
      <c r="B842" s="15"/>
      <c r="C842" s="15"/>
      <c r="E842" s="15"/>
      <c r="F842" s="17"/>
      <c r="G842" s="26"/>
      <c r="H842" s="26"/>
      <c r="I842" s="26"/>
      <c r="J842" s="26"/>
    </row>
    <row r="843" spans="1:10">
      <c r="A843" s="25"/>
      <c r="B843" s="15"/>
      <c r="C843" s="15"/>
      <c r="E843" s="15"/>
      <c r="F843" s="17"/>
      <c r="G843" s="26"/>
      <c r="H843" s="26"/>
      <c r="I843" s="26"/>
      <c r="J843" s="26"/>
    </row>
    <row r="844" spans="1:10">
      <c r="A844" s="25"/>
      <c r="B844" s="15"/>
      <c r="C844" s="15"/>
      <c r="E844" s="15"/>
      <c r="F844" s="17"/>
      <c r="G844" s="26"/>
      <c r="H844" s="26"/>
      <c r="I844" s="26"/>
      <c r="J844" s="26"/>
    </row>
    <row r="845" spans="1:10">
      <c r="A845" s="25"/>
      <c r="B845" s="15"/>
      <c r="C845" s="15"/>
      <c r="E845" s="15"/>
      <c r="F845" s="17"/>
      <c r="G845" s="26"/>
      <c r="H845" s="26"/>
      <c r="I845" s="26"/>
      <c r="J845" s="26"/>
    </row>
    <row r="846" spans="1:10">
      <c r="A846" s="25"/>
      <c r="B846" s="15"/>
      <c r="C846" s="15"/>
      <c r="E846" s="15"/>
      <c r="F846" s="17"/>
      <c r="G846" s="26"/>
      <c r="H846" s="26"/>
      <c r="I846" s="26"/>
      <c r="J846" s="26"/>
    </row>
    <row r="847" spans="1:10">
      <c r="A847" s="25"/>
      <c r="B847" s="15"/>
      <c r="C847" s="15"/>
      <c r="E847" s="15"/>
      <c r="F847" s="17"/>
      <c r="G847" s="26"/>
      <c r="H847" s="26"/>
      <c r="I847" s="26"/>
      <c r="J847" s="26"/>
    </row>
    <row r="848" spans="1:10">
      <c r="A848" s="25"/>
      <c r="B848" s="15"/>
      <c r="C848" s="15"/>
      <c r="E848" s="15"/>
      <c r="F848" s="17"/>
      <c r="G848" s="26"/>
      <c r="H848" s="26"/>
      <c r="I848" s="26"/>
      <c r="J848" s="26"/>
    </row>
    <row r="849" spans="1:10">
      <c r="A849" s="25"/>
      <c r="B849" s="15"/>
      <c r="C849" s="15"/>
      <c r="E849" s="15"/>
      <c r="F849" s="17"/>
      <c r="G849" s="26"/>
      <c r="H849" s="26"/>
      <c r="I849" s="26"/>
      <c r="J849" s="26"/>
    </row>
    <row r="850" spans="1:10">
      <c r="A850" s="25"/>
      <c r="B850" s="15"/>
      <c r="C850" s="15"/>
      <c r="E850" s="15"/>
      <c r="F850" s="17"/>
      <c r="G850" s="26"/>
      <c r="H850" s="26"/>
      <c r="I850" s="26"/>
      <c r="J850" s="26"/>
    </row>
    <row r="851" spans="1:10">
      <c r="A851" s="25"/>
      <c r="B851" s="15"/>
      <c r="C851" s="15"/>
      <c r="E851" s="15"/>
      <c r="F851" s="17"/>
      <c r="G851" s="26"/>
      <c r="H851" s="26"/>
      <c r="I851" s="26"/>
      <c r="J851" s="26"/>
    </row>
    <row r="852" spans="1:10">
      <c r="A852" s="25"/>
      <c r="B852" s="15"/>
      <c r="C852" s="15"/>
      <c r="E852" s="15"/>
      <c r="F852" s="17"/>
      <c r="G852" s="26"/>
      <c r="H852" s="26"/>
      <c r="I852" s="26"/>
      <c r="J852" s="26"/>
    </row>
    <row r="853" spans="1:10">
      <c r="A853" s="25"/>
      <c r="B853" s="15"/>
      <c r="C853" s="15"/>
      <c r="E853" s="15"/>
      <c r="F853" s="17"/>
      <c r="G853" s="26"/>
      <c r="H853" s="26"/>
      <c r="I853" s="26"/>
      <c r="J853" s="26"/>
    </row>
    <row r="854" spans="1:10">
      <c r="A854" s="25"/>
      <c r="B854" s="15"/>
      <c r="C854" s="15"/>
      <c r="E854" s="15"/>
      <c r="F854" s="17"/>
      <c r="G854" s="26"/>
      <c r="H854" s="26"/>
      <c r="I854" s="26"/>
      <c r="J854" s="26"/>
    </row>
    <row r="855" spans="1:10">
      <c r="A855" s="25"/>
      <c r="B855" s="15"/>
      <c r="C855" s="15"/>
      <c r="E855" s="15"/>
      <c r="F855" s="17"/>
      <c r="G855" s="26"/>
      <c r="H855" s="26"/>
      <c r="I855" s="26"/>
      <c r="J855" s="26"/>
    </row>
    <row r="856" spans="1:10">
      <c r="A856" s="25"/>
      <c r="B856" s="15"/>
      <c r="C856" s="15"/>
      <c r="E856" s="15"/>
      <c r="F856" s="17"/>
      <c r="G856" s="26"/>
      <c r="H856" s="26"/>
      <c r="I856" s="26"/>
      <c r="J856" s="26"/>
    </row>
    <row r="857" spans="1:10">
      <c r="A857" s="25"/>
      <c r="B857" s="15"/>
      <c r="C857" s="15"/>
      <c r="E857" s="15"/>
      <c r="F857" s="17"/>
      <c r="G857" s="26"/>
      <c r="H857" s="26"/>
      <c r="I857" s="26"/>
      <c r="J857" s="26"/>
    </row>
    <row r="858" spans="1:10">
      <c r="A858" s="25"/>
      <c r="B858" s="15"/>
      <c r="C858" s="15"/>
      <c r="E858" s="15"/>
      <c r="F858" s="17"/>
      <c r="G858" s="26"/>
      <c r="H858" s="26"/>
      <c r="I858" s="26"/>
      <c r="J858" s="26"/>
    </row>
    <row r="859" spans="1:10">
      <c r="A859" s="25"/>
      <c r="B859" s="15"/>
      <c r="C859" s="15"/>
      <c r="E859" s="15"/>
      <c r="F859" s="17"/>
      <c r="G859" s="26"/>
      <c r="H859" s="26"/>
      <c r="I859" s="26"/>
      <c r="J859" s="26"/>
    </row>
    <row r="860" spans="1:10">
      <c r="A860" s="25"/>
      <c r="B860" s="15"/>
      <c r="C860" s="15"/>
      <c r="E860" s="15"/>
      <c r="F860" s="17"/>
      <c r="G860" s="26"/>
      <c r="H860" s="26"/>
      <c r="I860" s="26"/>
      <c r="J860" s="26"/>
    </row>
    <row r="861" spans="1:10">
      <c r="A861" s="25"/>
      <c r="B861" s="15"/>
      <c r="C861" s="15"/>
      <c r="E861" s="15"/>
      <c r="F861" s="17"/>
      <c r="G861" s="26"/>
      <c r="H861" s="26"/>
      <c r="I861" s="26"/>
      <c r="J861" s="26"/>
    </row>
    <row r="862" spans="1:10">
      <c r="A862" s="25"/>
      <c r="B862" s="15"/>
      <c r="C862" s="15"/>
      <c r="E862" s="15"/>
      <c r="F862" s="17"/>
      <c r="G862" s="26"/>
      <c r="H862" s="26"/>
      <c r="I862" s="26"/>
      <c r="J862" s="26"/>
    </row>
    <row r="863" spans="1:10">
      <c r="A863" s="25"/>
      <c r="B863" s="15"/>
      <c r="C863" s="15"/>
      <c r="E863" s="15"/>
      <c r="F863" s="17"/>
      <c r="G863" s="26"/>
      <c r="H863" s="26"/>
      <c r="I863" s="26"/>
      <c r="J863" s="26"/>
    </row>
    <row r="864" spans="1:10">
      <c r="A864" s="25"/>
      <c r="B864" s="15"/>
      <c r="C864" s="15"/>
      <c r="E864" s="15"/>
      <c r="F864" s="17"/>
      <c r="G864" s="26"/>
      <c r="H864" s="26"/>
      <c r="I864" s="26"/>
      <c r="J864" s="26"/>
    </row>
    <row r="865" spans="1:10">
      <c r="A865" s="25"/>
      <c r="B865" s="15"/>
      <c r="C865" s="15"/>
      <c r="E865" s="15"/>
      <c r="F865" s="17"/>
      <c r="G865" s="26"/>
      <c r="H865" s="26"/>
      <c r="I865" s="26"/>
      <c r="J865" s="26"/>
    </row>
    <row r="866" spans="1:10">
      <c r="A866" s="25"/>
      <c r="B866" s="15"/>
      <c r="C866" s="15"/>
      <c r="E866" s="15"/>
      <c r="F866" s="17"/>
      <c r="G866" s="26"/>
      <c r="H866" s="26"/>
      <c r="I866" s="26"/>
      <c r="J866" s="26"/>
    </row>
    <row r="867" spans="1:10">
      <c r="A867" s="25"/>
      <c r="B867" s="15"/>
      <c r="C867" s="15"/>
      <c r="E867" s="15"/>
      <c r="F867" s="17"/>
      <c r="G867" s="26"/>
      <c r="H867" s="26"/>
      <c r="I867" s="26"/>
      <c r="J867" s="26"/>
    </row>
    <row r="868" spans="1:10">
      <c r="A868" s="25"/>
      <c r="B868" s="15"/>
      <c r="C868" s="15"/>
      <c r="E868" s="15"/>
      <c r="F868" s="17"/>
      <c r="G868" s="26"/>
      <c r="H868" s="26"/>
      <c r="I868" s="26"/>
      <c r="J868" s="26"/>
    </row>
    <row r="869" spans="1:10">
      <c r="A869" s="25"/>
      <c r="B869" s="15"/>
      <c r="C869" s="15"/>
      <c r="E869" s="15"/>
      <c r="F869" s="17"/>
      <c r="G869" s="26"/>
      <c r="H869" s="26"/>
      <c r="I869" s="26"/>
      <c r="J869" s="26"/>
    </row>
    <row r="870" spans="1:10">
      <c r="A870" s="25"/>
      <c r="B870" s="15"/>
      <c r="C870" s="15"/>
      <c r="E870" s="15"/>
      <c r="F870" s="17"/>
      <c r="G870" s="26"/>
      <c r="H870" s="26"/>
      <c r="I870" s="26"/>
      <c r="J870" s="26"/>
    </row>
    <row r="871" spans="1:10">
      <c r="A871" s="25"/>
      <c r="B871" s="15"/>
      <c r="C871" s="15"/>
      <c r="E871" s="15"/>
      <c r="F871" s="17"/>
      <c r="G871" s="26"/>
      <c r="H871" s="26"/>
      <c r="I871" s="26"/>
      <c r="J871" s="26"/>
    </row>
    <row r="872" spans="1:10">
      <c r="A872" s="25"/>
      <c r="B872" s="15"/>
      <c r="C872" s="15"/>
      <c r="E872" s="15"/>
      <c r="F872" s="17"/>
      <c r="G872" s="26"/>
      <c r="H872" s="26"/>
      <c r="I872" s="26"/>
      <c r="J872" s="26"/>
    </row>
    <row r="873" spans="1:10">
      <c r="A873" s="25"/>
      <c r="B873" s="15"/>
      <c r="C873" s="15"/>
      <c r="E873" s="15"/>
      <c r="F873" s="17"/>
      <c r="G873" s="26"/>
      <c r="H873" s="26"/>
      <c r="I873" s="26"/>
      <c r="J873" s="26"/>
    </row>
    <row r="874" spans="1:10">
      <c r="A874" s="25"/>
      <c r="B874" s="15"/>
      <c r="C874" s="15"/>
      <c r="E874" s="15"/>
      <c r="F874" s="17"/>
      <c r="G874" s="26"/>
      <c r="H874" s="26"/>
      <c r="I874" s="26"/>
      <c r="J874" s="26"/>
    </row>
    <row r="875" spans="1:10">
      <c r="A875" s="25"/>
      <c r="B875" s="15"/>
      <c r="C875" s="15"/>
      <c r="E875" s="15"/>
      <c r="F875" s="17"/>
      <c r="G875" s="26"/>
      <c r="H875" s="26"/>
      <c r="I875" s="26"/>
      <c r="J875" s="26"/>
    </row>
    <row r="876" spans="1:10">
      <c r="A876" s="25"/>
      <c r="B876" s="15"/>
      <c r="C876" s="15"/>
      <c r="E876" s="15"/>
      <c r="F876" s="17"/>
      <c r="G876" s="26"/>
      <c r="H876" s="26"/>
      <c r="I876" s="26"/>
      <c r="J876" s="26"/>
    </row>
    <row r="877" spans="1:10">
      <c r="A877" s="25"/>
      <c r="B877" s="15"/>
      <c r="C877" s="15"/>
      <c r="E877" s="15"/>
      <c r="F877" s="17"/>
      <c r="G877" s="26"/>
      <c r="H877" s="26"/>
      <c r="I877" s="26"/>
      <c r="J877" s="26"/>
    </row>
    <row r="878" spans="1:10">
      <c r="A878" s="25"/>
      <c r="B878" s="15"/>
      <c r="C878" s="15"/>
      <c r="E878" s="15"/>
      <c r="F878" s="17"/>
      <c r="G878" s="26"/>
      <c r="H878" s="26"/>
      <c r="I878" s="26"/>
      <c r="J878" s="26"/>
    </row>
    <row r="879" spans="1:10">
      <c r="A879" s="25"/>
      <c r="B879" s="15"/>
      <c r="C879" s="15"/>
      <c r="E879" s="15"/>
      <c r="F879" s="17"/>
      <c r="G879" s="26"/>
      <c r="H879" s="26"/>
      <c r="I879" s="26"/>
      <c r="J879" s="26"/>
    </row>
    <row r="880" spans="1:10">
      <c r="A880" s="25"/>
      <c r="B880" s="15"/>
      <c r="C880" s="15"/>
      <c r="E880" s="15"/>
      <c r="F880" s="17"/>
      <c r="G880" s="26"/>
      <c r="H880" s="26"/>
      <c r="I880" s="26"/>
      <c r="J880" s="26"/>
    </row>
    <row r="881" spans="1:10">
      <c r="A881" s="25"/>
      <c r="B881" s="15"/>
      <c r="C881" s="15"/>
      <c r="E881" s="15"/>
      <c r="F881" s="17"/>
      <c r="G881" s="26"/>
      <c r="H881" s="26"/>
      <c r="I881" s="26"/>
      <c r="J881" s="26"/>
    </row>
    <row r="882" spans="1:10">
      <c r="A882" s="25"/>
      <c r="B882" s="15"/>
      <c r="C882" s="15"/>
      <c r="E882" s="15"/>
      <c r="F882" s="17"/>
      <c r="G882" s="26"/>
      <c r="H882" s="26"/>
      <c r="I882" s="26"/>
      <c r="J882" s="26"/>
    </row>
    <row r="883" spans="1:10">
      <c r="A883" s="25"/>
      <c r="B883" s="15"/>
      <c r="C883" s="15"/>
      <c r="E883" s="15"/>
      <c r="F883" s="17"/>
      <c r="G883" s="26"/>
      <c r="H883" s="26"/>
      <c r="I883" s="26"/>
      <c r="J883" s="26"/>
    </row>
    <row r="884" spans="1:10">
      <c r="A884" s="25"/>
      <c r="B884" s="15"/>
      <c r="C884" s="15"/>
      <c r="E884" s="15"/>
      <c r="F884" s="17"/>
      <c r="G884" s="26"/>
      <c r="H884" s="26"/>
      <c r="I884" s="26"/>
      <c r="J884" s="26"/>
    </row>
    <row r="885" spans="1:10">
      <c r="A885" s="25"/>
      <c r="B885" s="15"/>
      <c r="C885" s="15"/>
      <c r="E885" s="15"/>
      <c r="F885" s="17"/>
      <c r="G885" s="26"/>
      <c r="H885" s="26"/>
      <c r="I885" s="26"/>
      <c r="J885" s="26"/>
    </row>
    <row r="886" spans="1:10">
      <c r="A886" s="25"/>
      <c r="B886" s="15"/>
      <c r="C886" s="15"/>
      <c r="E886" s="15"/>
      <c r="F886" s="17"/>
      <c r="G886" s="26"/>
      <c r="H886" s="26"/>
      <c r="I886" s="26"/>
      <c r="J886" s="26"/>
    </row>
    <row r="887" spans="1:10">
      <c r="A887" s="25"/>
      <c r="B887" s="15"/>
      <c r="C887" s="15"/>
      <c r="E887" s="15"/>
      <c r="F887" s="17"/>
      <c r="G887" s="26"/>
      <c r="H887" s="26"/>
      <c r="I887" s="26"/>
      <c r="J887" s="26"/>
    </row>
    <row r="888" spans="1:10">
      <c r="A888" s="25"/>
      <c r="B888" s="15"/>
      <c r="C888" s="15"/>
      <c r="E888" s="15"/>
      <c r="F888" s="17"/>
      <c r="G888" s="26"/>
      <c r="H888" s="26"/>
      <c r="I888" s="26"/>
      <c r="J888" s="26"/>
    </row>
    <row r="889" spans="1:10">
      <c r="A889" s="25"/>
      <c r="B889" s="15"/>
      <c r="C889" s="15"/>
      <c r="E889" s="15"/>
      <c r="F889" s="17"/>
      <c r="G889" s="26"/>
      <c r="H889" s="26"/>
      <c r="I889" s="26"/>
      <c r="J889" s="26"/>
    </row>
    <row r="890" spans="1:10">
      <c r="A890" s="25"/>
      <c r="B890" s="15"/>
      <c r="C890" s="15"/>
      <c r="E890" s="15"/>
      <c r="F890" s="17"/>
      <c r="G890" s="26"/>
      <c r="H890" s="26"/>
      <c r="I890" s="26"/>
      <c r="J890" s="26"/>
    </row>
    <row r="891" spans="1:10">
      <c r="A891" s="25"/>
      <c r="B891" s="15"/>
      <c r="C891" s="15"/>
      <c r="E891" s="15"/>
      <c r="F891" s="17"/>
      <c r="G891" s="26"/>
      <c r="H891" s="26"/>
      <c r="I891" s="26"/>
      <c r="J891" s="26"/>
    </row>
    <row r="892" spans="1:10">
      <c r="A892" s="25"/>
      <c r="B892" s="15"/>
      <c r="C892" s="15"/>
      <c r="E892" s="15"/>
      <c r="F892" s="17"/>
      <c r="G892" s="26"/>
      <c r="H892" s="26"/>
      <c r="I892" s="26"/>
      <c r="J892" s="26"/>
    </row>
    <row r="893" spans="1:10">
      <c r="A893" s="25"/>
      <c r="B893" s="15"/>
      <c r="C893" s="15"/>
      <c r="E893" s="15"/>
      <c r="F893" s="17"/>
      <c r="G893" s="26"/>
      <c r="H893" s="26"/>
      <c r="I893" s="26"/>
      <c r="J893" s="26"/>
    </row>
    <row r="894" spans="1:10">
      <c r="A894" s="25"/>
      <c r="B894" s="15"/>
      <c r="C894" s="15"/>
      <c r="E894" s="15"/>
      <c r="F894" s="17"/>
      <c r="G894" s="26"/>
      <c r="H894" s="26"/>
      <c r="I894" s="26"/>
      <c r="J894" s="26"/>
    </row>
    <row r="895" spans="1:10">
      <c r="A895" s="25"/>
      <c r="B895" s="15"/>
      <c r="C895" s="15"/>
      <c r="E895" s="15"/>
      <c r="F895" s="17"/>
      <c r="G895" s="26"/>
      <c r="H895" s="26"/>
      <c r="I895" s="26"/>
      <c r="J895" s="26"/>
    </row>
    <row r="896" spans="1:10">
      <c r="A896" s="25"/>
      <c r="B896" s="15"/>
      <c r="C896" s="15"/>
      <c r="E896" s="15"/>
      <c r="F896" s="17"/>
      <c r="G896" s="26"/>
      <c r="H896" s="26"/>
      <c r="I896" s="26"/>
      <c r="J896" s="26"/>
    </row>
    <row r="897" spans="1:10">
      <c r="A897" s="25"/>
      <c r="B897" s="15"/>
      <c r="C897" s="15"/>
      <c r="E897" s="15"/>
      <c r="F897" s="17"/>
      <c r="G897" s="26"/>
      <c r="H897" s="26"/>
      <c r="I897" s="26"/>
      <c r="J897" s="26"/>
    </row>
    <row r="898" spans="1:10">
      <c r="A898" s="25"/>
      <c r="B898" s="15"/>
      <c r="C898" s="15"/>
      <c r="E898" s="15"/>
      <c r="F898" s="17"/>
      <c r="G898" s="26"/>
      <c r="H898" s="26"/>
      <c r="I898" s="26"/>
      <c r="J898" s="26"/>
    </row>
    <row r="899" spans="1:10">
      <c r="A899" s="25"/>
      <c r="B899" s="15"/>
      <c r="C899" s="15"/>
      <c r="E899" s="15"/>
      <c r="F899" s="17"/>
      <c r="G899" s="26"/>
      <c r="H899" s="26"/>
      <c r="I899" s="26"/>
      <c r="J899" s="26"/>
    </row>
    <row r="900" spans="1:10">
      <c r="A900" s="25"/>
      <c r="B900" s="15"/>
      <c r="C900" s="15"/>
      <c r="E900" s="15"/>
      <c r="F900" s="17"/>
      <c r="G900" s="26"/>
      <c r="H900" s="26"/>
      <c r="I900" s="26"/>
      <c r="J900" s="26"/>
    </row>
    <row r="901" spans="1:10">
      <c r="A901" s="25"/>
      <c r="B901" s="15"/>
      <c r="C901" s="15"/>
      <c r="E901" s="15"/>
      <c r="F901" s="17"/>
      <c r="G901" s="26"/>
      <c r="H901" s="26"/>
      <c r="I901" s="26"/>
      <c r="J901" s="26"/>
    </row>
    <row r="902" spans="1:10">
      <c r="A902" s="25"/>
      <c r="B902" s="15"/>
      <c r="C902" s="15"/>
      <c r="E902" s="15"/>
      <c r="F902" s="17"/>
      <c r="G902" s="26"/>
      <c r="H902" s="26"/>
      <c r="I902" s="26"/>
      <c r="J902" s="26"/>
    </row>
    <row r="903" spans="1:10">
      <c r="A903" s="25"/>
      <c r="B903" s="15"/>
      <c r="C903" s="15"/>
      <c r="E903" s="15"/>
      <c r="F903" s="17"/>
      <c r="G903" s="26"/>
      <c r="H903" s="26"/>
      <c r="I903" s="26"/>
      <c r="J903" s="26"/>
    </row>
    <row r="904" spans="1:10">
      <c r="A904" s="25"/>
      <c r="B904" s="15"/>
      <c r="C904" s="15"/>
      <c r="E904" s="15"/>
      <c r="F904" s="17"/>
      <c r="G904" s="26"/>
      <c r="H904" s="26"/>
      <c r="I904" s="26"/>
      <c r="J904" s="26"/>
    </row>
    <row r="905" spans="1:10">
      <c r="A905" s="25"/>
      <c r="B905" s="15"/>
      <c r="C905" s="15"/>
      <c r="E905" s="15"/>
      <c r="F905" s="17"/>
      <c r="G905" s="26"/>
      <c r="H905" s="26"/>
      <c r="I905" s="26"/>
      <c r="J905" s="26"/>
    </row>
    <row r="906" spans="1:10">
      <c r="A906" s="25"/>
      <c r="B906" s="15"/>
      <c r="C906" s="15"/>
      <c r="E906" s="15"/>
      <c r="F906" s="17"/>
      <c r="G906" s="26"/>
      <c r="H906" s="26"/>
      <c r="I906" s="26"/>
      <c r="J906" s="26"/>
    </row>
    <row r="907" spans="1:10">
      <c r="A907" s="25"/>
      <c r="B907" s="15"/>
      <c r="C907" s="15"/>
      <c r="E907" s="15"/>
      <c r="F907" s="17"/>
      <c r="G907" s="26"/>
      <c r="H907" s="26"/>
      <c r="I907" s="26"/>
      <c r="J907" s="26"/>
    </row>
    <row r="908" spans="1:10">
      <c r="A908" s="25"/>
      <c r="B908" s="15"/>
      <c r="C908" s="15"/>
      <c r="E908" s="15"/>
      <c r="F908" s="17"/>
      <c r="G908" s="26"/>
      <c r="H908" s="26"/>
      <c r="I908" s="26"/>
      <c r="J908" s="26"/>
    </row>
    <row r="909" spans="1:10">
      <c r="A909" s="25"/>
      <c r="B909" s="15"/>
      <c r="C909" s="15"/>
      <c r="E909" s="15"/>
      <c r="F909" s="17"/>
      <c r="G909" s="26"/>
      <c r="H909" s="26"/>
      <c r="I909" s="26"/>
      <c r="J909" s="26"/>
    </row>
    <row r="910" spans="1:10">
      <c r="A910" s="25"/>
      <c r="B910" s="15"/>
      <c r="C910" s="15"/>
      <c r="E910" s="15"/>
      <c r="F910" s="17"/>
      <c r="G910" s="26"/>
      <c r="H910" s="26"/>
      <c r="I910" s="26"/>
      <c r="J910" s="26"/>
    </row>
    <row r="911" spans="1:10">
      <c r="A911" s="25"/>
      <c r="B911" s="15"/>
      <c r="C911" s="15"/>
      <c r="E911" s="15"/>
      <c r="F911" s="17"/>
      <c r="G911" s="26"/>
      <c r="H911" s="26"/>
      <c r="I911" s="26"/>
      <c r="J911" s="26"/>
    </row>
    <row r="912" spans="1:10">
      <c r="A912" s="25"/>
      <c r="B912" s="15"/>
      <c r="C912" s="15"/>
      <c r="E912" s="15"/>
      <c r="F912" s="17"/>
      <c r="G912" s="26"/>
      <c r="H912" s="26"/>
      <c r="I912" s="26"/>
      <c r="J912" s="26"/>
    </row>
    <row r="913" spans="1:10">
      <c r="A913" s="25"/>
      <c r="B913" s="15"/>
      <c r="C913" s="15"/>
      <c r="E913" s="15"/>
      <c r="F913" s="17"/>
      <c r="G913" s="26"/>
      <c r="H913" s="26"/>
      <c r="I913" s="26"/>
      <c r="J913" s="26"/>
    </row>
    <row r="914" spans="1:10">
      <c r="A914" s="25"/>
      <c r="B914" s="15"/>
      <c r="C914" s="15"/>
      <c r="E914" s="15"/>
      <c r="F914" s="17"/>
      <c r="G914" s="26"/>
      <c r="H914" s="26"/>
      <c r="I914" s="26"/>
      <c r="J914" s="26"/>
    </row>
    <row r="915" spans="1:10">
      <c r="A915" s="25"/>
      <c r="B915" s="15"/>
      <c r="C915" s="15"/>
      <c r="E915" s="15"/>
      <c r="F915" s="17"/>
      <c r="G915" s="26"/>
      <c r="H915" s="26"/>
      <c r="I915" s="26"/>
      <c r="J915" s="26"/>
    </row>
    <row r="916" spans="1:10">
      <c r="A916" s="25"/>
      <c r="B916" s="15"/>
      <c r="C916" s="15"/>
      <c r="E916" s="15"/>
      <c r="F916" s="17"/>
      <c r="G916" s="26"/>
      <c r="H916" s="26"/>
      <c r="I916" s="26"/>
      <c r="J916" s="26"/>
    </row>
    <row r="917" spans="1:10">
      <c r="A917" s="25"/>
      <c r="B917" s="15"/>
      <c r="C917" s="15"/>
      <c r="E917" s="15"/>
      <c r="F917" s="17"/>
      <c r="G917" s="26"/>
      <c r="H917" s="26"/>
      <c r="I917" s="26"/>
      <c r="J917" s="26"/>
    </row>
    <row r="918" spans="1:10">
      <c r="A918" s="25"/>
      <c r="B918" s="15"/>
      <c r="C918" s="15"/>
      <c r="E918" s="15"/>
      <c r="F918" s="17"/>
      <c r="G918" s="26"/>
      <c r="H918" s="26"/>
      <c r="I918" s="26"/>
      <c r="J918" s="26"/>
    </row>
    <row r="919" spans="1:10">
      <c r="A919" s="25"/>
      <c r="B919" s="15"/>
      <c r="C919" s="15"/>
      <c r="E919" s="15"/>
      <c r="F919" s="17"/>
      <c r="G919" s="26"/>
      <c r="H919" s="26"/>
      <c r="I919" s="26"/>
      <c r="J919" s="26"/>
    </row>
    <row r="920" spans="1:10">
      <c r="A920" s="25"/>
      <c r="B920" s="15"/>
      <c r="C920" s="15"/>
      <c r="E920" s="15"/>
      <c r="F920" s="17"/>
      <c r="G920" s="26"/>
      <c r="H920" s="26"/>
      <c r="I920" s="26"/>
      <c r="J920" s="26"/>
    </row>
    <row r="921" spans="1:10">
      <c r="A921" s="25"/>
      <c r="B921" s="15"/>
      <c r="C921" s="15"/>
      <c r="E921" s="15"/>
      <c r="F921" s="17"/>
      <c r="G921" s="26"/>
      <c r="H921" s="26"/>
      <c r="I921" s="26"/>
      <c r="J921" s="26"/>
    </row>
    <row r="922" spans="1:10">
      <c r="A922" s="25"/>
      <c r="B922" s="15"/>
      <c r="C922" s="15"/>
      <c r="E922" s="15"/>
      <c r="F922" s="17"/>
      <c r="G922" s="26"/>
      <c r="H922" s="26"/>
      <c r="I922" s="26"/>
      <c r="J922" s="26"/>
    </row>
    <row r="923" spans="1:10">
      <c r="A923" s="25"/>
      <c r="B923" s="15"/>
      <c r="C923" s="15"/>
      <c r="E923" s="15"/>
      <c r="F923" s="17"/>
      <c r="G923" s="26"/>
      <c r="H923" s="26"/>
      <c r="I923" s="26"/>
      <c r="J923" s="26"/>
    </row>
    <row r="924" spans="1:10">
      <c r="A924" s="25"/>
      <c r="B924" s="15"/>
      <c r="C924" s="15"/>
      <c r="E924" s="15"/>
      <c r="F924" s="17"/>
      <c r="G924" s="26"/>
      <c r="H924" s="26"/>
      <c r="I924" s="26"/>
      <c r="J924" s="26"/>
    </row>
    <row r="925" spans="1:10">
      <c r="A925" s="25"/>
      <c r="B925" s="15"/>
      <c r="C925" s="15"/>
      <c r="E925" s="15"/>
      <c r="F925" s="17"/>
      <c r="G925" s="26"/>
      <c r="H925" s="26"/>
      <c r="I925" s="26"/>
      <c r="J925" s="26"/>
    </row>
    <row r="926" spans="1:10">
      <c r="A926" s="25"/>
      <c r="B926" s="15"/>
      <c r="C926" s="15"/>
      <c r="E926" s="15"/>
      <c r="F926" s="17"/>
      <c r="G926" s="26"/>
      <c r="H926" s="26"/>
      <c r="I926" s="26"/>
      <c r="J926" s="26"/>
    </row>
    <row r="927" spans="1:10">
      <c r="A927" s="25"/>
      <c r="B927" s="15"/>
      <c r="C927" s="15"/>
      <c r="E927" s="15"/>
      <c r="F927" s="17"/>
      <c r="G927" s="26"/>
      <c r="H927" s="26"/>
      <c r="I927" s="26"/>
      <c r="J927" s="26"/>
    </row>
    <row r="928" spans="1:10">
      <c r="A928" s="25"/>
      <c r="B928" s="15"/>
      <c r="C928" s="15"/>
      <c r="E928" s="15"/>
      <c r="F928" s="17"/>
      <c r="G928" s="26"/>
      <c r="H928" s="26"/>
      <c r="I928" s="26"/>
      <c r="J928" s="26"/>
    </row>
    <row r="929" spans="1:10">
      <c r="A929" s="25"/>
      <c r="B929" s="15"/>
      <c r="C929" s="15"/>
      <c r="E929" s="15"/>
      <c r="F929" s="17"/>
      <c r="G929" s="26"/>
      <c r="H929" s="26"/>
      <c r="I929" s="26"/>
      <c r="J929" s="26"/>
    </row>
    <row r="930" spans="1:10">
      <c r="A930" s="25"/>
      <c r="B930" s="15"/>
      <c r="C930" s="15"/>
      <c r="E930" s="15"/>
      <c r="F930" s="17"/>
      <c r="G930" s="26"/>
      <c r="H930" s="26"/>
      <c r="I930" s="26"/>
      <c r="J930" s="26"/>
    </row>
    <row r="931" spans="1:10">
      <c r="A931" s="25"/>
      <c r="B931" s="15"/>
      <c r="C931" s="15"/>
      <c r="E931" s="15"/>
      <c r="F931" s="17"/>
      <c r="G931" s="26"/>
      <c r="H931" s="26"/>
      <c r="I931" s="26"/>
      <c r="J931" s="26"/>
    </row>
    <row r="932" spans="1:10">
      <c r="A932" s="25"/>
      <c r="B932" s="15"/>
      <c r="C932" s="15"/>
      <c r="E932" s="15"/>
      <c r="F932" s="17"/>
      <c r="G932" s="26"/>
      <c r="H932" s="26"/>
      <c r="I932" s="26"/>
      <c r="J932" s="26"/>
    </row>
    <row r="933" spans="1:10">
      <c r="A933" s="25"/>
      <c r="B933" s="15"/>
      <c r="C933" s="15"/>
      <c r="E933" s="15"/>
      <c r="F933" s="17"/>
      <c r="G933" s="26"/>
      <c r="H933" s="26"/>
      <c r="I933" s="26"/>
      <c r="J933" s="26"/>
    </row>
    <row r="934" spans="1:10">
      <c r="A934" s="25"/>
      <c r="B934" s="15"/>
      <c r="C934" s="15"/>
      <c r="E934" s="15"/>
      <c r="F934" s="17"/>
      <c r="G934" s="26"/>
      <c r="H934" s="26"/>
      <c r="I934" s="26"/>
      <c r="J934" s="26"/>
    </row>
    <row r="935" spans="1:10">
      <c r="A935" s="25"/>
      <c r="B935" s="15"/>
      <c r="C935" s="15"/>
      <c r="E935" s="15"/>
      <c r="F935" s="17"/>
      <c r="G935" s="26"/>
      <c r="H935" s="26"/>
      <c r="I935" s="26"/>
      <c r="J935" s="26"/>
    </row>
    <row r="936" spans="1:10">
      <c r="A936" s="25"/>
      <c r="B936" s="15"/>
      <c r="C936" s="15"/>
      <c r="E936" s="15"/>
      <c r="F936" s="17"/>
      <c r="G936" s="26"/>
      <c r="H936" s="26"/>
      <c r="I936" s="26"/>
      <c r="J936" s="26"/>
    </row>
    <row r="937" spans="1:10">
      <c r="A937" s="25"/>
      <c r="B937" s="15"/>
      <c r="C937" s="15"/>
      <c r="E937" s="15"/>
      <c r="F937" s="17"/>
      <c r="G937" s="26"/>
      <c r="H937" s="26"/>
      <c r="I937" s="26"/>
      <c r="J937" s="26"/>
    </row>
    <row r="938" spans="1:10">
      <c r="A938" s="25"/>
      <c r="B938" s="15"/>
      <c r="C938" s="15"/>
      <c r="E938" s="15"/>
      <c r="F938" s="17"/>
      <c r="G938" s="26"/>
      <c r="H938" s="26"/>
      <c r="I938" s="26"/>
      <c r="J938" s="26"/>
    </row>
    <row r="939" spans="1:10">
      <c r="A939" s="25"/>
      <c r="B939" s="15"/>
      <c r="C939" s="15"/>
      <c r="E939" s="15"/>
      <c r="F939" s="17"/>
      <c r="G939" s="26"/>
      <c r="H939" s="26"/>
      <c r="I939" s="26"/>
      <c r="J939" s="26"/>
    </row>
    <row r="940" spans="1:10">
      <c r="A940" s="25"/>
      <c r="B940" s="15"/>
      <c r="C940" s="15"/>
      <c r="E940" s="15"/>
      <c r="F940" s="17"/>
      <c r="G940" s="26"/>
      <c r="H940" s="26"/>
      <c r="I940" s="26"/>
      <c r="J940" s="26"/>
    </row>
    <row r="941" spans="1:10">
      <c r="A941" s="25"/>
      <c r="B941" s="15"/>
      <c r="C941" s="15"/>
      <c r="E941" s="15"/>
      <c r="F941" s="17"/>
      <c r="G941" s="26"/>
      <c r="H941" s="26"/>
      <c r="I941" s="26"/>
      <c r="J941" s="26"/>
    </row>
    <row r="942" spans="1:10">
      <c r="A942" s="25"/>
      <c r="B942" s="15"/>
      <c r="C942" s="15"/>
      <c r="E942" s="15"/>
      <c r="F942" s="17"/>
      <c r="G942" s="26"/>
      <c r="H942" s="26"/>
      <c r="I942" s="26"/>
      <c r="J942" s="26"/>
    </row>
    <row r="943" spans="1:10">
      <c r="A943" s="25"/>
      <c r="B943" s="15"/>
      <c r="C943" s="15"/>
      <c r="E943" s="15"/>
      <c r="F943" s="17"/>
      <c r="G943" s="26"/>
      <c r="H943" s="26"/>
      <c r="I943" s="26"/>
      <c r="J943" s="26"/>
    </row>
    <row r="944" spans="1:10">
      <c r="A944" s="25"/>
      <c r="B944" s="15"/>
      <c r="C944" s="15"/>
      <c r="E944" s="15"/>
      <c r="F944" s="17"/>
      <c r="G944" s="26"/>
      <c r="H944" s="26"/>
      <c r="I944" s="26"/>
      <c r="J944" s="26"/>
    </row>
    <row r="945" spans="1:10">
      <c r="A945" s="25"/>
      <c r="B945" s="15"/>
      <c r="C945" s="15"/>
      <c r="E945" s="15"/>
      <c r="F945" s="17"/>
      <c r="G945" s="26"/>
      <c r="H945" s="26"/>
      <c r="I945" s="26"/>
      <c r="J945" s="26"/>
    </row>
    <row r="946" spans="1:10">
      <c r="A946" s="25"/>
      <c r="B946" s="15"/>
      <c r="C946" s="15"/>
      <c r="E946" s="15"/>
      <c r="F946" s="17"/>
      <c r="G946" s="26"/>
      <c r="H946" s="26"/>
      <c r="I946" s="26"/>
      <c r="J946" s="26"/>
    </row>
    <row r="947" spans="1:10">
      <c r="A947" s="25"/>
      <c r="B947" s="15"/>
      <c r="C947" s="15"/>
      <c r="E947" s="15"/>
      <c r="F947" s="17"/>
      <c r="G947" s="26"/>
      <c r="H947" s="26"/>
      <c r="I947" s="26"/>
      <c r="J947" s="26"/>
    </row>
    <row r="948" spans="1:10">
      <c r="A948" s="25"/>
      <c r="B948" s="15"/>
      <c r="C948" s="15"/>
      <c r="E948" s="15"/>
      <c r="F948" s="17"/>
      <c r="G948" s="26"/>
      <c r="H948" s="26"/>
      <c r="I948" s="26"/>
      <c r="J948" s="26"/>
    </row>
    <row r="949" spans="1:10">
      <c r="A949" s="25"/>
      <c r="B949" s="15"/>
      <c r="C949" s="15"/>
      <c r="E949" s="15"/>
      <c r="F949" s="17"/>
      <c r="G949" s="26"/>
      <c r="H949" s="26"/>
      <c r="I949" s="26"/>
      <c r="J949" s="26"/>
    </row>
    <row r="950" spans="1:10">
      <c r="A950" s="25"/>
      <c r="B950" s="15"/>
      <c r="C950" s="15"/>
      <c r="E950" s="15"/>
      <c r="F950" s="17"/>
      <c r="G950" s="26"/>
      <c r="H950" s="26"/>
      <c r="I950" s="26"/>
      <c r="J950" s="26"/>
    </row>
    <row r="951" spans="1:10">
      <c r="A951" s="25"/>
      <c r="B951" s="15"/>
      <c r="C951" s="15"/>
      <c r="E951" s="15"/>
      <c r="F951" s="17"/>
      <c r="G951" s="26"/>
      <c r="H951" s="26"/>
      <c r="I951" s="26"/>
      <c r="J951" s="26"/>
    </row>
    <row r="952" spans="1:10">
      <c r="A952" s="25"/>
      <c r="B952" s="15"/>
      <c r="C952" s="15"/>
      <c r="E952" s="15"/>
      <c r="F952" s="17"/>
      <c r="G952" s="26"/>
      <c r="H952" s="26"/>
      <c r="I952" s="26"/>
      <c r="J952" s="26"/>
    </row>
    <row r="953" spans="1:10">
      <c r="A953" s="25"/>
      <c r="B953" s="15"/>
      <c r="C953" s="15"/>
      <c r="E953" s="15"/>
      <c r="F953" s="17"/>
      <c r="G953" s="26"/>
      <c r="H953" s="26"/>
      <c r="I953" s="26"/>
      <c r="J953" s="26"/>
    </row>
    <row r="954" spans="1:10">
      <c r="A954" s="25"/>
      <c r="B954" s="15"/>
      <c r="C954" s="15"/>
      <c r="E954" s="15"/>
      <c r="F954" s="17"/>
      <c r="G954" s="26"/>
      <c r="H954" s="26"/>
      <c r="I954" s="26"/>
      <c r="J954" s="26"/>
    </row>
    <row r="955" spans="1:10">
      <c r="A955" s="25"/>
      <c r="B955" s="15"/>
      <c r="C955" s="15"/>
      <c r="E955" s="15"/>
      <c r="F955" s="17"/>
      <c r="G955" s="26"/>
      <c r="H955" s="26"/>
      <c r="I955" s="26"/>
      <c r="J955" s="26"/>
    </row>
    <row r="956" spans="1:10">
      <c r="A956" s="25"/>
      <c r="B956" s="15"/>
      <c r="C956" s="15"/>
      <c r="E956" s="15"/>
      <c r="F956" s="17"/>
      <c r="G956" s="26"/>
      <c r="H956" s="26"/>
      <c r="I956" s="26"/>
      <c r="J956" s="26"/>
    </row>
    <row r="957" spans="1:10">
      <c r="A957" s="25"/>
      <c r="B957" s="15"/>
      <c r="C957" s="15"/>
      <c r="E957" s="15"/>
      <c r="F957" s="17"/>
      <c r="G957" s="26"/>
      <c r="H957" s="26"/>
      <c r="I957" s="26"/>
      <c r="J957" s="26"/>
    </row>
    <row r="958" spans="1:10">
      <c r="A958" s="25"/>
      <c r="B958" s="15"/>
      <c r="C958" s="15"/>
      <c r="E958" s="15"/>
      <c r="F958" s="17"/>
      <c r="G958" s="26"/>
      <c r="H958" s="26"/>
      <c r="I958" s="26"/>
      <c r="J958" s="26"/>
    </row>
    <row r="959" spans="1:10">
      <c r="A959" s="25"/>
      <c r="B959" s="15"/>
      <c r="C959" s="15"/>
      <c r="E959" s="15"/>
      <c r="F959" s="17"/>
      <c r="G959" s="26"/>
      <c r="H959" s="26"/>
      <c r="I959" s="26"/>
      <c r="J959" s="26"/>
    </row>
    <row r="960" spans="1:10">
      <c r="A960" s="25"/>
      <c r="B960" s="15"/>
      <c r="C960" s="15"/>
      <c r="E960" s="15"/>
      <c r="F960" s="17"/>
      <c r="G960" s="26"/>
      <c r="H960" s="26"/>
      <c r="I960" s="26"/>
      <c r="J960" s="26"/>
    </row>
    <row r="961" spans="1:10">
      <c r="A961" s="25"/>
      <c r="B961" s="15"/>
      <c r="C961" s="15"/>
      <c r="E961" s="15"/>
      <c r="F961" s="17"/>
      <c r="G961" s="26"/>
      <c r="H961" s="26"/>
      <c r="I961" s="26"/>
      <c r="J961" s="26"/>
    </row>
    <row r="962" spans="1:10">
      <c r="A962" s="25"/>
      <c r="B962" s="15"/>
      <c r="C962" s="15"/>
      <c r="E962" s="15"/>
      <c r="F962" s="17"/>
      <c r="G962" s="26"/>
      <c r="H962" s="26"/>
      <c r="I962" s="26"/>
      <c r="J962" s="26"/>
    </row>
    <row r="963" spans="1:10">
      <c r="A963" s="25"/>
      <c r="B963" s="15"/>
      <c r="C963" s="15"/>
      <c r="E963" s="15"/>
      <c r="F963" s="17"/>
      <c r="G963" s="26"/>
      <c r="H963" s="26"/>
      <c r="I963" s="26"/>
      <c r="J963" s="26"/>
    </row>
    <row r="964" spans="1:10">
      <c r="A964" s="25"/>
      <c r="B964" s="15"/>
      <c r="C964" s="15"/>
      <c r="E964" s="15"/>
      <c r="F964" s="17"/>
      <c r="G964" s="26"/>
      <c r="H964" s="26"/>
      <c r="I964" s="26"/>
      <c r="J964" s="26"/>
    </row>
    <row r="965" spans="1:10">
      <c r="A965" s="25"/>
      <c r="B965" s="15"/>
      <c r="C965" s="15"/>
      <c r="E965" s="15"/>
      <c r="F965" s="17"/>
      <c r="G965" s="26"/>
      <c r="H965" s="26"/>
      <c r="I965" s="26"/>
      <c r="J965" s="26"/>
    </row>
    <row r="966" spans="1:10">
      <c r="A966" s="25"/>
      <c r="B966" s="15"/>
      <c r="C966" s="15"/>
      <c r="E966" s="15"/>
      <c r="F966" s="17"/>
      <c r="G966" s="26"/>
      <c r="H966" s="26"/>
      <c r="I966" s="26"/>
      <c r="J966" s="26"/>
    </row>
    <row r="967" spans="1:10">
      <c r="A967" s="25"/>
      <c r="B967" s="15"/>
      <c r="C967" s="15"/>
      <c r="E967" s="15"/>
      <c r="F967" s="17"/>
      <c r="G967" s="26"/>
      <c r="H967" s="26"/>
      <c r="I967" s="26"/>
      <c r="J967" s="26"/>
    </row>
    <row r="968" spans="1:10">
      <c r="A968" s="25"/>
      <c r="B968" s="15"/>
      <c r="C968" s="15"/>
      <c r="E968" s="15"/>
      <c r="F968" s="17"/>
      <c r="G968" s="26"/>
      <c r="H968" s="26"/>
      <c r="I968" s="26"/>
      <c r="J968" s="26"/>
    </row>
    <row r="969" spans="1:10">
      <c r="A969" s="25"/>
      <c r="B969" s="15"/>
      <c r="C969" s="15"/>
      <c r="E969" s="15"/>
      <c r="F969" s="17"/>
      <c r="G969" s="26"/>
      <c r="H969" s="26"/>
      <c r="I969" s="26"/>
      <c r="J969" s="26"/>
    </row>
    <row r="970" spans="1:10">
      <c r="A970" s="25"/>
      <c r="B970" s="15"/>
      <c r="C970" s="15"/>
      <c r="E970" s="15"/>
      <c r="F970" s="17"/>
      <c r="G970" s="26"/>
      <c r="H970" s="26"/>
      <c r="I970" s="26"/>
      <c r="J970" s="26"/>
    </row>
    <row r="971" spans="1:10">
      <c r="A971" s="25"/>
      <c r="B971" s="15"/>
      <c r="C971" s="15"/>
      <c r="E971" s="15"/>
      <c r="F971" s="17"/>
      <c r="G971" s="26"/>
      <c r="H971" s="26"/>
      <c r="I971" s="26"/>
      <c r="J971" s="26"/>
    </row>
    <row r="972" spans="1:10">
      <c r="A972" s="25"/>
      <c r="B972" s="15"/>
      <c r="C972" s="15"/>
      <c r="E972" s="15"/>
      <c r="F972" s="17"/>
      <c r="G972" s="26"/>
      <c r="H972" s="26"/>
      <c r="I972" s="26"/>
      <c r="J972" s="26"/>
    </row>
    <row r="973" spans="1:10">
      <c r="A973" s="25"/>
      <c r="B973" s="15"/>
      <c r="C973" s="15"/>
      <c r="E973" s="15"/>
      <c r="F973" s="17"/>
      <c r="G973" s="26"/>
      <c r="H973" s="26"/>
      <c r="I973" s="26"/>
      <c r="J973" s="26"/>
    </row>
    <row r="974" spans="1:10">
      <c r="A974" s="25"/>
      <c r="B974" s="15"/>
      <c r="C974" s="15"/>
      <c r="E974" s="15"/>
      <c r="F974" s="17"/>
      <c r="G974" s="26"/>
      <c r="H974" s="26"/>
      <c r="I974" s="26"/>
      <c r="J974" s="26"/>
    </row>
    <row r="975" spans="1:10">
      <c r="A975" s="25"/>
      <c r="B975" s="15"/>
      <c r="C975" s="15"/>
      <c r="E975" s="15"/>
      <c r="F975" s="17"/>
      <c r="G975" s="26"/>
      <c r="H975" s="26"/>
      <c r="I975" s="26"/>
      <c r="J975" s="26"/>
    </row>
    <row r="976" spans="1:10">
      <c r="A976" s="25"/>
      <c r="B976" s="15"/>
      <c r="C976" s="15"/>
      <c r="E976" s="15"/>
      <c r="F976" s="17"/>
      <c r="G976" s="26"/>
      <c r="H976" s="26"/>
      <c r="I976" s="26"/>
      <c r="J976" s="26"/>
    </row>
    <row r="977" spans="1:10">
      <c r="A977" s="25"/>
      <c r="B977" s="15"/>
      <c r="C977" s="15"/>
      <c r="E977" s="15"/>
      <c r="F977" s="17"/>
      <c r="G977" s="26"/>
      <c r="H977" s="26"/>
      <c r="I977" s="26"/>
      <c r="J977" s="26"/>
    </row>
    <row r="978" spans="1:10">
      <c r="A978" s="25"/>
      <c r="B978" s="15"/>
      <c r="C978" s="15"/>
      <c r="E978" s="15"/>
      <c r="F978" s="17"/>
      <c r="G978" s="26"/>
      <c r="H978" s="26"/>
      <c r="I978" s="26"/>
      <c r="J978" s="26"/>
    </row>
    <row r="979" spans="1:10">
      <c r="A979" s="25"/>
      <c r="B979" s="15"/>
      <c r="C979" s="15"/>
      <c r="E979" s="15"/>
      <c r="F979" s="17"/>
      <c r="G979" s="26"/>
      <c r="H979" s="26"/>
      <c r="I979" s="26"/>
      <c r="J979" s="26"/>
    </row>
    <row r="980" spans="1:10">
      <c r="A980" s="25"/>
      <c r="B980" s="15"/>
      <c r="C980" s="15"/>
      <c r="E980" s="15"/>
      <c r="F980" s="17"/>
      <c r="G980" s="26"/>
      <c r="H980" s="26"/>
      <c r="I980" s="26"/>
      <c r="J980" s="26"/>
    </row>
    <row r="981" spans="1:10">
      <c r="A981" s="25"/>
      <c r="B981" s="15"/>
      <c r="C981" s="15"/>
      <c r="E981" s="15"/>
      <c r="F981" s="17"/>
      <c r="G981" s="26"/>
      <c r="H981" s="26"/>
      <c r="I981" s="26"/>
      <c r="J981" s="26"/>
    </row>
    <row r="982" spans="1:10">
      <c r="A982" s="25"/>
      <c r="B982" s="15"/>
      <c r="C982" s="15"/>
      <c r="E982" s="15"/>
      <c r="F982" s="17"/>
      <c r="G982" s="26"/>
      <c r="H982" s="26"/>
      <c r="I982" s="26"/>
      <c r="J982" s="26"/>
    </row>
    <row r="983" spans="1:10">
      <c r="A983" s="25"/>
      <c r="B983" s="15"/>
      <c r="C983" s="15"/>
      <c r="E983" s="15"/>
      <c r="F983" s="17"/>
      <c r="G983" s="26"/>
      <c r="H983" s="26"/>
      <c r="I983" s="26"/>
      <c r="J983" s="26"/>
    </row>
    <row r="984" spans="1:10">
      <c r="A984" s="25"/>
      <c r="B984" s="15"/>
      <c r="C984" s="15"/>
      <c r="E984" s="15"/>
      <c r="F984" s="17"/>
      <c r="G984" s="26"/>
      <c r="H984" s="26"/>
      <c r="I984" s="26"/>
      <c r="J984" s="26"/>
    </row>
    <row r="985" spans="1:10">
      <c r="A985" s="25"/>
      <c r="B985" s="15"/>
      <c r="C985" s="15"/>
      <c r="E985" s="15"/>
      <c r="F985" s="17"/>
      <c r="G985" s="26"/>
      <c r="H985" s="26"/>
      <c r="I985" s="26"/>
      <c r="J985" s="26"/>
    </row>
    <row r="986" spans="1:10">
      <c r="A986" s="25"/>
      <c r="B986" s="15"/>
      <c r="C986" s="15"/>
      <c r="E986" s="15"/>
      <c r="F986" s="17"/>
      <c r="G986" s="26"/>
      <c r="H986" s="26"/>
      <c r="I986" s="26"/>
      <c r="J986" s="26"/>
    </row>
    <row r="987" spans="1:10">
      <c r="A987" s="25"/>
      <c r="B987" s="15"/>
      <c r="C987" s="15"/>
      <c r="E987" s="15"/>
      <c r="F987" s="17"/>
      <c r="G987" s="26"/>
      <c r="H987" s="26"/>
      <c r="I987" s="26"/>
      <c r="J987" s="26"/>
    </row>
    <row r="988" spans="1:10">
      <c r="A988" s="25"/>
      <c r="B988" s="15"/>
      <c r="C988" s="15"/>
      <c r="E988" s="15"/>
      <c r="F988" s="17"/>
      <c r="G988" s="26"/>
      <c r="H988" s="26"/>
      <c r="I988" s="26"/>
      <c r="J988" s="26"/>
    </row>
    <row r="989" spans="1:10">
      <c r="A989" s="25"/>
      <c r="B989" s="15"/>
      <c r="C989" s="15"/>
      <c r="E989" s="15"/>
      <c r="F989" s="17"/>
      <c r="G989" s="26"/>
      <c r="H989" s="26"/>
      <c r="I989" s="26"/>
      <c r="J989" s="26"/>
    </row>
    <row r="990" spans="1:10">
      <c r="A990" s="25"/>
      <c r="B990" s="15"/>
      <c r="C990" s="15"/>
      <c r="E990" s="15"/>
      <c r="F990" s="17"/>
      <c r="G990" s="26"/>
      <c r="H990" s="26"/>
      <c r="I990" s="26"/>
      <c r="J990" s="26"/>
    </row>
    <row r="991" spans="1:10">
      <c r="A991" s="25"/>
      <c r="B991" s="15"/>
      <c r="C991" s="15"/>
      <c r="E991" s="15"/>
      <c r="F991" s="17"/>
      <c r="G991" s="26"/>
      <c r="H991" s="26"/>
      <c r="I991" s="26"/>
      <c r="J991" s="26"/>
    </row>
    <row r="992" spans="1:10">
      <c r="A992" s="25"/>
      <c r="B992" s="15"/>
      <c r="C992" s="15"/>
      <c r="E992" s="15"/>
      <c r="F992" s="17"/>
      <c r="G992" s="26"/>
      <c r="H992" s="26"/>
      <c r="I992" s="26"/>
      <c r="J992" s="26"/>
    </row>
    <row r="993" spans="1:10">
      <c r="A993" s="25"/>
      <c r="B993" s="15"/>
      <c r="C993" s="15"/>
      <c r="E993" s="15"/>
      <c r="F993" s="17"/>
      <c r="G993" s="26"/>
      <c r="H993" s="26"/>
      <c r="I993" s="26"/>
      <c r="J993" s="26"/>
    </row>
    <row r="994" spans="1:10">
      <c r="A994" s="25"/>
      <c r="B994" s="15"/>
      <c r="C994" s="15"/>
      <c r="E994" s="15"/>
      <c r="F994" s="17"/>
      <c r="G994" s="26"/>
      <c r="H994" s="26"/>
      <c r="I994" s="26"/>
      <c r="J994" s="26"/>
    </row>
    <row r="995" spans="1:10">
      <c r="A995" s="25"/>
      <c r="B995" s="15"/>
      <c r="C995" s="15"/>
      <c r="E995" s="15"/>
      <c r="F995" s="17"/>
      <c r="G995" s="26"/>
      <c r="H995" s="26"/>
      <c r="I995" s="26"/>
      <c r="J995" s="26"/>
    </row>
    <row r="996" spans="1:10">
      <c r="A996" s="25"/>
      <c r="B996" s="15"/>
      <c r="C996" s="15"/>
      <c r="E996" s="15"/>
      <c r="F996" s="17"/>
      <c r="G996" s="26"/>
      <c r="H996" s="26"/>
      <c r="I996" s="26"/>
      <c r="J996" s="26"/>
    </row>
    <row r="997" spans="1:10">
      <c r="A997" s="25"/>
      <c r="B997" s="15"/>
      <c r="C997" s="15"/>
      <c r="E997" s="15"/>
      <c r="F997" s="17"/>
      <c r="G997" s="26"/>
      <c r="H997" s="26"/>
      <c r="I997" s="26"/>
      <c r="J997" s="26"/>
    </row>
    <row r="998" spans="1:10">
      <c r="A998" s="25"/>
      <c r="B998" s="15"/>
      <c r="C998" s="15"/>
      <c r="E998" s="15"/>
      <c r="F998" s="17"/>
      <c r="G998" s="26"/>
      <c r="H998" s="26"/>
      <c r="I998" s="26"/>
      <c r="J998" s="26"/>
    </row>
    <row r="999" spans="1:10">
      <c r="A999" s="25"/>
      <c r="B999" s="15"/>
      <c r="C999" s="15"/>
      <c r="E999" s="15"/>
      <c r="F999" s="17"/>
      <c r="G999" s="26"/>
      <c r="H999" s="26"/>
      <c r="I999" s="26"/>
      <c r="J999" s="26"/>
    </row>
    <row r="1000" spans="1:10">
      <c r="A1000" s="25"/>
      <c r="B1000" s="15"/>
      <c r="C1000" s="15"/>
      <c r="E1000" s="15"/>
      <c r="F1000" s="17"/>
      <c r="G1000" s="26"/>
      <c r="H1000" s="26"/>
      <c r="I1000" s="26"/>
      <c r="J1000" s="26"/>
    </row>
    <row r="1001" spans="1:10">
      <c r="A1001" s="25"/>
      <c r="B1001" s="15"/>
      <c r="C1001" s="15"/>
      <c r="E1001" s="15"/>
      <c r="F1001" s="17"/>
      <c r="G1001" s="26"/>
      <c r="H1001" s="26"/>
      <c r="I1001" s="26"/>
      <c r="J1001" s="26"/>
    </row>
    <row r="1002" spans="1:10">
      <c r="A1002" s="25"/>
      <c r="B1002" s="15"/>
      <c r="C1002" s="15"/>
      <c r="E1002" s="15"/>
      <c r="F1002" s="17"/>
      <c r="G1002" s="26"/>
      <c r="H1002" s="26"/>
      <c r="I1002" s="26"/>
      <c r="J1002" s="26"/>
    </row>
  </sheetData>
  <mergeCells count="2">
    <mergeCell ref="A1:K1"/>
    <mergeCell ref="G2:K2"/>
  </mergeCells>
  <phoneticPr fontId="5" type="noConversion"/>
  <hyperlinks>
    <hyperlink ref="G5" r:id="rId1" xr:uid="{5EC54977-A37F-449D-B870-BF64F3E81D21}"/>
    <hyperlink ref="G7" r:id="rId2" xr:uid="{85EC5B89-A078-42AC-B5A3-F4BC6007FB42}"/>
    <hyperlink ref="H7" r:id="rId3" xr:uid="{452BF43A-610A-4384-BCC6-2CA442A74EF3}"/>
    <hyperlink ref="I7" r:id="rId4" xr:uid="{FEAC5993-6C39-4EB8-9972-0BCCAAF64DB4}"/>
    <hyperlink ref="J7" r:id="rId5" xr:uid="{B1C3B035-4EA6-4197-856D-7F892B78714E}"/>
    <hyperlink ref="K7" r:id="rId6" xr:uid="{49728F34-8685-4847-B9FA-D28B05DD7EC5}"/>
    <hyperlink ref="L7" r:id="rId7" xr:uid="{B00BB2CE-912F-43E1-8DC3-63FD6EBCD859}"/>
    <hyperlink ref="G33" r:id="rId8" xr:uid="{B2910AC8-3E0E-4910-8C92-8482ADCA4C11}"/>
    <hyperlink ref="G8" r:id="rId9" xr:uid="{341982A0-1114-4177-85B3-7CF7A0C8B14F}"/>
    <hyperlink ref="H8" r:id="rId10" xr:uid="{0D0DE84B-5482-4058-9741-0DEAF1103867}"/>
    <hyperlink ref="G9" r:id="rId11" xr:uid="{16B9ED62-38F6-45F9-8A96-CA72D9077087}"/>
    <hyperlink ref="G13" r:id="rId12" xr:uid="{F06FDBF1-6E09-454A-A8F8-75BBB2A26B0A}"/>
    <hyperlink ref="G12" r:id="rId13" xr:uid="{BB238571-7378-43F8-A959-72BE2A7483A6}"/>
    <hyperlink ref="H33" r:id="rId14" xr:uid="{5607EFF8-FB15-411C-803F-174A26337C46}"/>
    <hyperlink ref="G16" r:id="rId15" xr:uid="{12080183-CC42-4E48-9476-1B68456477F5}"/>
    <hyperlink ref="H16" r:id="rId16" xr:uid="{6D96E844-2129-4755-9C10-2447534026CE}"/>
    <hyperlink ref="I16" r:id="rId17" xr:uid="{B79E596F-A6A4-416E-A765-0BBBEF99D69B}"/>
    <hyperlink ref="G17" r:id="rId18" xr:uid="{4AC71EA3-DD49-45AF-B789-96158DFBCBA9}"/>
    <hyperlink ref="H17" r:id="rId19" xr:uid="{6CA0A7E2-D102-42DA-AC1A-8B7D3F00AB97}"/>
    <hyperlink ref="G18" r:id="rId20" xr:uid="{FF063430-7506-4EF6-80BD-A27449962DB1}"/>
    <hyperlink ref="H18" r:id="rId21" xr:uid="{B096C5ED-35B3-4C0E-8B8C-BE1D8B69A953}"/>
    <hyperlink ref="I18" r:id="rId22" xr:uid="{8251C695-3473-487E-A63C-C4A72C08ACFF}"/>
    <hyperlink ref="G19" r:id="rId23" xr:uid="{5CC43708-6365-463C-898E-1ACEB9C8BB63}"/>
    <hyperlink ref="H19" r:id="rId24" xr:uid="{6100F1E4-FC64-4395-980E-59059294D10E}"/>
    <hyperlink ref="G20" r:id="rId25" xr:uid="{BC7DA720-0306-4626-856C-E8928DF43AF2}"/>
    <hyperlink ref="G21" r:id="rId26" xr:uid="{410D7FE1-08C8-4730-974E-843D3EE65638}"/>
    <hyperlink ref="I33" r:id="rId27" xr:uid="{72389F6A-60BE-4550-AC24-C86ED4DE57CD}"/>
    <hyperlink ref="G22" r:id="rId28" xr:uid="{A9473024-9ECA-4E93-B22B-FF187926B847}"/>
    <hyperlink ref="G23" r:id="rId29" xr:uid="{BF4693E1-1F5D-462C-A1A7-F814FC79DBB7}"/>
    <hyperlink ref="G24" r:id="rId30" xr:uid="{D5BDDEF3-CC92-47A4-93F8-1EC7CD495FAA}"/>
    <hyperlink ref="G26" r:id="rId31" xr:uid="{D9596299-CD74-49D9-AAE2-D0F44680398E}"/>
    <hyperlink ref="G28" r:id="rId32" xr:uid="{E26DD947-6A6F-4520-96B6-52B9D2EA6EC5}"/>
    <hyperlink ref="G29" r:id="rId33" xr:uid="{8196C0AA-C613-43E2-B4AB-0B3F63ECF028}"/>
    <hyperlink ref="J33" r:id="rId34" xr:uid="{5FE431C9-D0C9-42DC-B6B1-AF24A32AC9FA}"/>
    <hyperlink ref="G30" r:id="rId35" xr:uid="{DB3D833B-D3D2-4B7B-A815-0F2F1F667CC1}"/>
  </hyperlinks>
  <pageMargins left="0" right="0" top="0" bottom="0" header="0" footer="0"/>
  <pageSetup paperSize="9" scale="74" orientation="portrait" r:id="rId36"/>
  <legacyDrawing r:id="rId37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zoomScaleNormal="100" zoomScaleSheetLayoutView="83" workbookViewId="0">
      <pane ySplit="2" topLeftCell="A19" activePane="bottomLeft" state="frozen"/>
      <selection activeCell="F1" sqref="F1"/>
      <selection pane="bottomLeft" sqref="A1:H1"/>
    </sheetView>
  </sheetViews>
  <sheetFormatPr defaultColWidth="12.33203125" defaultRowHeight="15.6"/>
  <cols>
    <col min="1" max="1" width="8.33203125" style="13" bestFit="1" customWidth="1"/>
    <col min="2" max="3" width="10.33203125" style="13" bestFit="1" customWidth="1"/>
    <col min="4" max="4" width="9.44140625" style="13" bestFit="1" customWidth="1"/>
    <col min="5" max="5" width="10.33203125" style="13" bestFit="1" customWidth="1"/>
    <col min="6" max="6" width="17" style="13" bestFit="1" customWidth="1"/>
    <col min="7" max="7" width="10.33203125" style="13" bestFit="1" customWidth="1"/>
    <col min="8" max="8" width="12.109375" style="13" customWidth="1"/>
    <col min="9" max="9" width="8.33203125" style="13" customWidth="1"/>
    <col min="10" max="10" width="12.33203125" style="13" customWidth="1"/>
    <col min="11" max="11" width="12.33203125" style="13"/>
    <col min="12" max="12" width="15.33203125" style="13" bestFit="1" customWidth="1"/>
    <col min="13" max="13" width="15.109375" style="13" customWidth="1"/>
    <col min="14" max="16384" width="12.33203125" style="13"/>
  </cols>
  <sheetData>
    <row r="1" spans="1:26" ht="28.2" customHeight="1">
      <c r="A1" s="98" t="s">
        <v>0</v>
      </c>
      <c r="B1" s="99"/>
      <c r="C1" s="99"/>
      <c r="D1" s="99"/>
      <c r="E1" s="99"/>
      <c r="F1" s="99"/>
      <c r="G1" s="99"/>
      <c r="H1" s="100"/>
      <c r="J1" s="101"/>
      <c r="K1" s="102"/>
      <c r="L1" s="102"/>
      <c r="M1" s="102"/>
      <c r="N1" s="102"/>
    </row>
    <row r="2" spans="1:26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9" t="s">
        <v>8</v>
      </c>
      <c r="I2" s="30"/>
      <c r="J2" s="31"/>
      <c r="K2" s="67" t="s">
        <v>9</v>
      </c>
      <c r="L2" s="32" t="s">
        <v>10</v>
      </c>
      <c r="M2" s="32" t="s">
        <v>11</v>
      </c>
      <c r="N2" s="33" t="s">
        <v>12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4">
        <v>45413</v>
      </c>
      <c r="B3" s="35">
        <v>7650</v>
      </c>
      <c r="C3" s="35">
        <v>5600</v>
      </c>
      <c r="D3" s="35">
        <v>1035</v>
      </c>
      <c r="E3" s="35">
        <v>135</v>
      </c>
      <c r="F3" s="35">
        <v>65</v>
      </c>
      <c r="G3" s="35">
        <f>'2405費用明細憑證'!E3</f>
        <v>795</v>
      </c>
      <c r="H3" s="36">
        <f>(B3-D3-E3-F3-G3-C3)</f>
        <v>20</v>
      </c>
      <c r="I3" s="37"/>
      <c r="J3" s="38" t="s">
        <v>13</v>
      </c>
      <c r="K3" s="39">
        <f>C3+C4+C8+C9+C11+C12+C15+C16+C18+C20+C21+C25+C26+C27+C29+C30+C32+C33</f>
        <v>84608</v>
      </c>
      <c r="L3" s="40">
        <f>32493+12500+1295</f>
        <v>46288</v>
      </c>
      <c r="M3" s="39">
        <f>K3-L3</f>
        <v>38320</v>
      </c>
      <c r="N3" s="41">
        <f>M3-G35</f>
        <v>18111</v>
      </c>
    </row>
    <row r="4" spans="1:26">
      <c r="A4" s="34">
        <v>45414</v>
      </c>
      <c r="B4" s="35">
        <v>6085</v>
      </c>
      <c r="C4" s="35">
        <v>5500</v>
      </c>
      <c r="D4" s="35">
        <v>475</v>
      </c>
      <c r="E4" s="35">
        <v>65</v>
      </c>
      <c r="F4" s="35">
        <v>0</v>
      </c>
      <c r="G4" s="35">
        <f>'2405費用明細憑證'!E4</f>
        <v>0</v>
      </c>
      <c r="H4" s="36">
        <f>(B4-D4-E4-F4-G4-C4)</f>
        <v>45</v>
      </c>
      <c r="I4" s="37"/>
      <c r="J4" s="38" t="s">
        <v>14</v>
      </c>
      <c r="K4" s="39">
        <f>C5+C6+C7+C10+C13+C14+C17+C19+C22+C28+C31+C24</f>
        <v>51256</v>
      </c>
      <c r="L4" s="40">
        <f>10980+15+15+15-32493+60000-7633+5000+1420+10870+1125-1295</f>
        <v>48019</v>
      </c>
      <c r="M4" s="39">
        <f>K4-L4</f>
        <v>3237</v>
      </c>
      <c r="N4" s="41">
        <f>M4+M6-G35</f>
        <v>-8457</v>
      </c>
    </row>
    <row r="5" spans="1:26">
      <c r="A5" s="34">
        <v>45415</v>
      </c>
      <c r="B5" s="35">
        <v>5865</v>
      </c>
      <c r="C5" s="35">
        <v>2125</v>
      </c>
      <c r="D5" s="35">
        <v>1090</v>
      </c>
      <c r="E5" s="35">
        <f>SUM(B5,D5)</f>
        <v>6955</v>
      </c>
      <c r="F5" s="35">
        <v>0</v>
      </c>
      <c r="G5" s="35">
        <f>'2405費用明細憑證'!E5</f>
        <v>2795</v>
      </c>
      <c r="H5" s="36">
        <f t="shared" ref="H5:H32" si="0">(B5-D5-E5-F5-G5-C5)</f>
        <v>-7100</v>
      </c>
      <c r="I5" s="37"/>
      <c r="J5" s="38" t="s">
        <v>15</v>
      </c>
      <c r="K5" s="39">
        <f>3500+5000+4000</f>
        <v>12500</v>
      </c>
      <c r="L5" s="39">
        <v>0</v>
      </c>
      <c r="M5" s="39">
        <f>K5-L5</f>
        <v>12500</v>
      </c>
      <c r="N5" s="42">
        <f>M5-G35</f>
        <v>-7709</v>
      </c>
    </row>
    <row r="6" spans="1:26">
      <c r="A6" s="34">
        <v>45416</v>
      </c>
      <c r="B6" s="35">
        <v>9800</v>
      </c>
      <c r="C6" s="35">
        <v>9180</v>
      </c>
      <c r="D6" s="35">
        <v>650</v>
      </c>
      <c r="E6" s="35">
        <v>85</v>
      </c>
      <c r="F6" s="35">
        <v>290</v>
      </c>
      <c r="G6" s="35">
        <f>'2405費用明細憑證'!E6</f>
        <v>100</v>
      </c>
      <c r="H6" s="36">
        <f t="shared" si="0"/>
        <v>-505</v>
      </c>
      <c r="I6" s="37"/>
      <c r="J6" s="43" t="s">
        <v>16</v>
      </c>
      <c r="K6" s="44">
        <f>7633+8515</f>
        <v>16148</v>
      </c>
      <c r="L6" s="44">
        <v>7633</v>
      </c>
      <c r="M6" s="44">
        <f>K6-L6</f>
        <v>8515</v>
      </c>
      <c r="N6" s="45"/>
    </row>
    <row r="7" spans="1:26">
      <c r="A7" s="34">
        <v>45417</v>
      </c>
      <c r="B7" s="35">
        <v>5175</v>
      </c>
      <c r="C7" s="35">
        <v>4382</v>
      </c>
      <c r="D7" s="35">
        <v>475</v>
      </c>
      <c r="E7" s="35">
        <v>425</v>
      </c>
      <c r="F7" s="35">
        <v>65</v>
      </c>
      <c r="G7" s="35">
        <f>'2405費用明細憑證'!E7</f>
        <v>0</v>
      </c>
      <c r="H7" s="36">
        <f t="shared" si="0"/>
        <v>-172</v>
      </c>
      <c r="I7" s="37"/>
      <c r="J7" s="46" t="s">
        <v>17</v>
      </c>
      <c r="K7" s="47"/>
      <c r="L7" s="47">
        <f>-'2405費用明細憑證'!B34</f>
        <v>-1945</v>
      </c>
      <c r="M7" s="48">
        <f>L7</f>
        <v>-1945</v>
      </c>
      <c r="N7" s="49"/>
    </row>
    <row r="8" spans="1:26">
      <c r="A8" s="34">
        <v>45418</v>
      </c>
      <c r="B8" s="35">
        <v>4410</v>
      </c>
      <c r="C8" s="35">
        <v>0</v>
      </c>
      <c r="D8" s="35">
        <v>715</v>
      </c>
      <c r="E8" s="35">
        <v>80</v>
      </c>
      <c r="F8" s="35">
        <v>65</v>
      </c>
      <c r="G8" s="35">
        <f>'2405費用明細憑證'!E8</f>
        <v>1060</v>
      </c>
      <c r="H8" s="36">
        <f>(B8-D8-E8-F8-G8-C8)</f>
        <v>2490</v>
      </c>
      <c r="I8" s="37"/>
      <c r="J8" s="50" t="s">
        <v>18</v>
      </c>
      <c r="K8" s="51"/>
      <c r="L8" s="51"/>
      <c r="M8" s="51">
        <f>SUM(M3:M6)+L7</f>
        <v>60627</v>
      </c>
      <c r="N8" s="52"/>
    </row>
    <row r="9" spans="1:26">
      <c r="A9" s="34">
        <v>45419</v>
      </c>
      <c r="B9" s="35">
        <v>6065</v>
      </c>
      <c r="C9" s="35">
        <v>5130</v>
      </c>
      <c r="D9" s="35">
        <v>480</v>
      </c>
      <c r="E9" s="35">
        <v>65</v>
      </c>
      <c r="F9" s="35">
        <v>0</v>
      </c>
      <c r="G9" s="35">
        <f>'2405費用明細憑證'!E9</f>
        <v>2460</v>
      </c>
      <c r="H9" s="36">
        <f>(B9-D9-E9-F9-G9-C9)-500</f>
        <v>-2570</v>
      </c>
      <c r="I9" s="37"/>
      <c r="J9" s="38" t="s">
        <v>19</v>
      </c>
      <c r="K9" s="39"/>
      <c r="L9" s="39"/>
      <c r="M9" s="39">
        <v>15000</v>
      </c>
      <c r="N9" s="53"/>
    </row>
    <row r="10" spans="1:26">
      <c r="A10" s="34">
        <v>45420</v>
      </c>
      <c r="B10" s="54">
        <v>6915</v>
      </c>
      <c r="C10" s="54">
        <v>-1227</v>
      </c>
      <c r="D10" s="54">
        <v>205</v>
      </c>
      <c r="E10" s="54">
        <v>55</v>
      </c>
      <c r="F10" s="54">
        <v>0</v>
      </c>
      <c r="G10" s="35">
        <f>'2405費用明細憑證'!E10</f>
        <v>7895</v>
      </c>
      <c r="H10" s="36">
        <f t="shared" si="0"/>
        <v>-13</v>
      </c>
      <c r="I10" s="37"/>
      <c r="J10" s="55" t="s">
        <v>20</v>
      </c>
      <c r="K10" s="56"/>
      <c r="L10" s="56"/>
      <c r="M10" s="56">
        <f>SUM(M8:M9)</f>
        <v>75627</v>
      </c>
      <c r="N10" s="57"/>
    </row>
    <row r="11" spans="1:26">
      <c r="A11" s="34">
        <v>45421</v>
      </c>
      <c r="B11" s="54">
        <v>5170</v>
      </c>
      <c r="C11" s="54">
        <v>4676</v>
      </c>
      <c r="D11" s="54">
        <v>175</v>
      </c>
      <c r="E11" s="54">
        <v>175</v>
      </c>
      <c r="F11" s="54">
        <v>0</v>
      </c>
      <c r="G11" s="35">
        <f>'2405費用明細憑證'!E11</f>
        <v>10995</v>
      </c>
      <c r="H11" s="36">
        <f>(B11-D11-E11-F11-G11-C11)+10980</f>
        <v>129</v>
      </c>
      <c r="I11" s="37"/>
    </row>
    <row r="12" spans="1:26">
      <c r="A12" s="34">
        <v>45422</v>
      </c>
      <c r="B12" s="54">
        <v>6230</v>
      </c>
      <c r="C12" s="54">
        <v>4727</v>
      </c>
      <c r="D12" s="54">
        <v>618</v>
      </c>
      <c r="E12" s="54">
        <v>70</v>
      </c>
      <c r="F12" s="54">
        <v>80</v>
      </c>
      <c r="G12" s="35">
        <f>'2405費用明細憑證'!E12</f>
        <v>795</v>
      </c>
      <c r="H12" s="36">
        <f t="shared" si="0"/>
        <v>-60</v>
      </c>
      <c r="I12" s="37"/>
    </row>
    <row r="13" spans="1:26">
      <c r="A13" s="34">
        <v>45423</v>
      </c>
      <c r="B13" s="54">
        <v>7950</v>
      </c>
      <c r="C13" s="54">
        <v>6500</v>
      </c>
      <c r="D13" s="54">
        <v>990</v>
      </c>
      <c r="E13" s="54">
        <v>105</v>
      </c>
      <c r="F13" s="54">
        <v>0</v>
      </c>
      <c r="G13" s="35">
        <f>'2405費用明細憑證'!B13</f>
        <v>500</v>
      </c>
      <c r="H13" s="36">
        <f t="shared" si="0"/>
        <v>-145</v>
      </c>
      <c r="I13" s="37"/>
    </row>
    <row r="14" spans="1:26">
      <c r="A14" s="34">
        <v>45424</v>
      </c>
      <c r="B14" s="54">
        <v>5660</v>
      </c>
      <c r="C14" s="54">
        <v>4583</v>
      </c>
      <c r="D14" s="54">
        <v>810</v>
      </c>
      <c r="E14" s="54">
        <v>140</v>
      </c>
      <c r="F14" s="54">
        <v>130</v>
      </c>
      <c r="G14" s="35">
        <f>'2405費用明細憑證'!E14</f>
        <v>0</v>
      </c>
      <c r="H14" s="36">
        <f t="shared" si="0"/>
        <v>-3</v>
      </c>
      <c r="I14" s="37"/>
    </row>
    <row r="15" spans="1:26">
      <c r="A15" s="34">
        <v>45425</v>
      </c>
      <c r="B15" s="54">
        <v>6585</v>
      </c>
      <c r="C15" s="54">
        <v>2100</v>
      </c>
      <c r="D15" s="54">
        <v>500</v>
      </c>
      <c r="E15" s="54">
        <v>90</v>
      </c>
      <c r="F15" s="54">
        <v>0</v>
      </c>
      <c r="G15" s="35">
        <f>'2405費用明細憑證'!E15</f>
        <v>4160</v>
      </c>
      <c r="H15" s="36">
        <f t="shared" si="0"/>
        <v>-265</v>
      </c>
      <c r="I15" s="37"/>
    </row>
    <row r="16" spans="1:26">
      <c r="A16" s="34">
        <v>45426</v>
      </c>
      <c r="B16" s="54">
        <v>6090</v>
      </c>
      <c r="C16" s="54">
        <v>4760</v>
      </c>
      <c r="D16" s="54">
        <v>955</v>
      </c>
      <c r="E16" s="54">
        <v>180</v>
      </c>
      <c r="F16" s="54">
        <v>0</v>
      </c>
      <c r="G16" s="35">
        <f>'2405費用明細憑證'!E16</f>
        <v>790</v>
      </c>
      <c r="H16" s="36">
        <f t="shared" si="0"/>
        <v>-595</v>
      </c>
      <c r="I16" s="37"/>
    </row>
    <row r="17" spans="1:9">
      <c r="A17" s="34">
        <v>45427</v>
      </c>
      <c r="B17" s="54">
        <v>5540</v>
      </c>
      <c r="C17" s="54">
        <v>4323</v>
      </c>
      <c r="D17" s="54">
        <v>200</v>
      </c>
      <c r="E17" s="54">
        <v>300</v>
      </c>
      <c r="F17" s="54">
        <v>0</v>
      </c>
      <c r="G17" s="35">
        <f>'2405費用明細憑證'!E17</f>
        <v>60560</v>
      </c>
      <c r="H17" s="36">
        <f>(B17-D17-E17-F17-G17-C17)+60000</f>
        <v>157</v>
      </c>
      <c r="I17" s="37"/>
    </row>
    <row r="18" spans="1:9">
      <c r="A18" s="34">
        <v>45428</v>
      </c>
      <c r="B18" s="54">
        <v>6550</v>
      </c>
      <c r="C18" s="54">
        <v>5800</v>
      </c>
      <c r="D18" s="54">
        <v>730</v>
      </c>
      <c r="E18" s="54">
        <v>400</v>
      </c>
      <c r="F18" s="54">
        <v>0</v>
      </c>
      <c r="G18" s="35">
        <f>'2405費用明細憑證'!E18</f>
        <v>0</v>
      </c>
      <c r="H18" s="36">
        <f t="shared" si="0"/>
        <v>-380</v>
      </c>
    </row>
    <row r="19" spans="1:9">
      <c r="A19" s="34">
        <v>45429</v>
      </c>
      <c r="B19" s="54">
        <v>7030</v>
      </c>
      <c r="C19" s="54">
        <v>1641</v>
      </c>
      <c r="D19" s="54">
        <v>830</v>
      </c>
      <c r="E19" s="54">
        <v>285</v>
      </c>
      <c r="F19" s="54">
        <v>45</v>
      </c>
      <c r="G19" s="35">
        <f>'2405費用明細憑證'!E19</f>
        <v>4230</v>
      </c>
      <c r="H19" s="36">
        <f t="shared" si="0"/>
        <v>-1</v>
      </c>
    </row>
    <row r="20" spans="1:9">
      <c r="A20" s="34">
        <v>45430</v>
      </c>
      <c r="B20" s="54">
        <v>7325</v>
      </c>
      <c r="C20" s="54">
        <v>6500</v>
      </c>
      <c r="D20" s="54">
        <v>565</v>
      </c>
      <c r="E20" s="54">
        <v>190</v>
      </c>
      <c r="F20" s="54">
        <v>65</v>
      </c>
      <c r="G20" s="35">
        <f>'2405費用明細憑證'!E20</f>
        <v>0</v>
      </c>
      <c r="H20" s="36">
        <f t="shared" si="0"/>
        <v>5</v>
      </c>
    </row>
    <row r="21" spans="1:9">
      <c r="A21" s="34">
        <v>45431</v>
      </c>
      <c r="B21" s="54">
        <v>6560</v>
      </c>
      <c r="C21" s="54">
        <v>5700</v>
      </c>
      <c r="D21" s="54">
        <v>1100</v>
      </c>
      <c r="E21" s="54">
        <v>45</v>
      </c>
      <c r="F21" s="54">
        <v>120</v>
      </c>
      <c r="G21" s="35">
        <f>'2405費用明細憑證'!E21</f>
        <v>0</v>
      </c>
      <c r="H21" s="36">
        <f t="shared" si="0"/>
        <v>-405</v>
      </c>
    </row>
    <row r="22" spans="1:9">
      <c r="A22" s="34">
        <v>45432</v>
      </c>
      <c r="B22" s="54">
        <v>7448</v>
      </c>
      <c r="C22" s="54">
        <v>5697</v>
      </c>
      <c r="D22" s="54">
        <v>688</v>
      </c>
      <c r="E22" s="54">
        <v>480</v>
      </c>
      <c r="F22" s="54">
        <f>220+55</f>
        <v>275</v>
      </c>
      <c r="G22" s="35">
        <f>'2405費用明細憑證'!E22</f>
        <v>530</v>
      </c>
      <c r="H22" s="36">
        <f t="shared" si="0"/>
        <v>-222</v>
      </c>
    </row>
    <row r="23" spans="1:9">
      <c r="A23" s="34">
        <v>45433</v>
      </c>
      <c r="B23" s="54">
        <v>4725</v>
      </c>
      <c r="C23" s="54">
        <v>4668</v>
      </c>
      <c r="D23" s="54">
        <v>150</v>
      </c>
      <c r="E23" s="54">
        <v>55</v>
      </c>
      <c r="F23" s="54">
        <v>0</v>
      </c>
      <c r="G23" s="35">
        <f>'2405費用明細憑證'!E23</f>
        <v>0</v>
      </c>
      <c r="H23" s="36">
        <f t="shared" si="0"/>
        <v>-148</v>
      </c>
    </row>
    <row r="24" spans="1:9">
      <c r="A24" s="34">
        <v>45434</v>
      </c>
      <c r="B24" s="54">
        <v>3815</v>
      </c>
      <c r="C24" s="54">
        <v>2730</v>
      </c>
      <c r="D24" s="54">
        <v>555</v>
      </c>
      <c r="E24" s="54">
        <v>185</v>
      </c>
      <c r="F24" s="54">
        <v>0</v>
      </c>
      <c r="G24" s="35">
        <f>'2405費用明細憑證'!E24</f>
        <v>6950</v>
      </c>
      <c r="H24" s="36">
        <f>(B24-D24-E24-F24-G24-C24)+5000+1420</f>
        <v>-185</v>
      </c>
    </row>
    <row r="25" spans="1:9">
      <c r="A25" s="34">
        <v>45435</v>
      </c>
      <c r="B25" s="54">
        <v>4465</v>
      </c>
      <c r="C25" s="54">
        <v>4530</v>
      </c>
      <c r="D25" s="54">
        <v>240</v>
      </c>
      <c r="E25" s="54">
        <v>90</v>
      </c>
      <c r="F25" s="54">
        <v>0</v>
      </c>
      <c r="G25" s="35">
        <f>'2405費用明細憑證'!E25</f>
        <v>0</v>
      </c>
      <c r="H25" s="36">
        <f t="shared" si="0"/>
        <v>-395</v>
      </c>
    </row>
    <row r="26" spans="1:9">
      <c r="A26" s="34">
        <v>45436</v>
      </c>
      <c r="B26" s="54">
        <v>7515</v>
      </c>
      <c r="C26" s="54">
        <v>6910</v>
      </c>
      <c r="D26" s="54">
        <v>410</v>
      </c>
      <c r="E26" s="54">
        <v>55</v>
      </c>
      <c r="F26" s="54">
        <v>0</v>
      </c>
      <c r="G26" s="35">
        <f>'2405費用明細憑證'!E26</f>
        <v>0</v>
      </c>
      <c r="H26" s="36">
        <f t="shared" si="0"/>
        <v>140</v>
      </c>
    </row>
    <row r="27" spans="1:9">
      <c r="A27" s="34">
        <v>45437</v>
      </c>
      <c r="B27" s="54">
        <v>6423</v>
      </c>
      <c r="C27" s="54">
        <v>5360</v>
      </c>
      <c r="D27" s="54">
        <v>1270</v>
      </c>
      <c r="E27" s="54">
        <v>325</v>
      </c>
      <c r="F27" s="54">
        <v>60</v>
      </c>
      <c r="G27" s="35">
        <f>'2405費用明細憑證'!E27</f>
        <v>0</v>
      </c>
      <c r="H27" s="36">
        <f t="shared" si="0"/>
        <v>-592</v>
      </c>
    </row>
    <row r="28" spans="1:9">
      <c r="A28" s="34">
        <v>45438</v>
      </c>
      <c r="B28" s="54">
        <v>7865</v>
      </c>
      <c r="C28" s="54">
        <v>6704</v>
      </c>
      <c r="D28" s="54">
        <v>635</v>
      </c>
      <c r="E28" s="54">
        <v>210</v>
      </c>
      <c r="F28" s="54">
        <v>360</v>
      </c>
      <c r="G28" s="35">
        <f>'2405費用明細憑證'!E28</f>
        <v>0</v>
      </c>
      <c r="H28" s="36">
        <f t="shared" si="0"/>
        <v>-44</v>
      </c>
    </row>
    <row r="29" spans="1:9">
      <c r="A29" s="34">
        <v>45439</v>
      </c>
      <c r="B29" s="54">
        <v>5945</v>
      </c>
      <c r="C29" s="54">
        <v>4095</v>
      </c>
      <c r="D29" s="54">
        <v>530</v>
      </c>
      <c r="E29" s="54">
        <v>85</v>
      </c>
      <c r="F29" s="54">
        <v>0</v>
      </c>
      <c r="G29" s="35">
        <f>'2405費用明細憑證'!E29</f>
        <v>530</v>
      </c>
      <c r="H29" s="36">
        <f t="shared" si="0"/>
        <v>705</v>
      </c>
    </row>
    <row r="30" spans="1:9">
      <c r="A30" s="34">
        <v>45440</v>
      </c>
      <c r="B30" s="54">
        <v>4765</v>
      </c>
      <c r="C30" s="54">
        <v>4300</v>
      </c>
      <c r="D30" s="54">
        <v>545</v>
      </c>
      <c r="E30" s="54">
        <v>455</v>
      </c>
      <c r="F30" s="54">
        <v>0</v>
      </c>
      <c r="G30" s="35">
        <f>'2405費用明細憑證'!E30</f>
        <v>10870</v>
      </c>
      <c r="H30" s="36">
        <f>(B30-D30-E30-F30-G30-C30)+10870</f>
        <v>-535</v>
      </c>
    </row>
    <row r="31" spans="1:9">
      <c r="A31" s="34">
        <v>45441</v>
      </c>
      <c r="B31" s="54">
        <v>6275</v>
      </c>
      <c r="C31" s="54">
        <v>4618</v>
      </c>
      <c r="D31" s="54">
        <v>795</v>
      </c>
      <c r="E31" s="54">
        <v>420</v>
      </c>
      <c r="F31" s="54">
        <v>0</v>
      </c>
      <c r="G31" s="35">
        <f>'2405費用明細憑證'!E31</f>
        <v>0</v>
      </c>
      <c r="H31" s="36">
        <f t="shared" si="0"/>
        <v>442</v>
      </c>
    </row>
    <row r="32" spans="1:9">
      <c r="A32" s="34">
        <v>45442</v>
      </c>
      <c r="B32" s="54">
        <v>5010</v>
      </c>
      <c r="C32" s="54">
        <v>5000</v>
      </c>
      <c r="D32" s="54">
        <v>550</v>
      </c>
      <c r="E32" s="54">
        <v>140</v>
      </c>
      <c r="F32" s="54">
        <v>85</v>
      </c>
      <c r="G32" s="35">
        <f>'2405費用明細憑證'!E32</f>
        <v>0</v>
      </c>
      <c r="H32" s="36">
        <f t="shared" si="0"/>
        <v>-765</v>
      </c>
    </row>
    <row r="33" spans="1:9">
      <c r="A33" s="58">
        <v>45443</v>
      </c>
      <c r="B33" s="59">
        <v>5885</v>
      </c>
      <c r="C33" s="59">
        <v>3920</v>
      </c>
      <c r="D33" s="59">
        <v>540</v>
      </c>
      <c r="E33" s="59">
        <v>60</v>
      </c>
      <c r="F33" s="59">
        <v>0</v>
      </c>
      <c r="G33" s="60">
        <f>'2405費用明細憑證'!E33</f>
        <v>1294</v>
      </c>
      <c r="H33" s="61">
        <f>(B33-D33-E33-F33-G33-C33)</f>
        <v>71</v>
      </c>
    </row>
    <row r="34" spans="1:9">
      <c r="A34" s="62" t="s">
        <v>21</v>
      </c>
      <c r="B34" s="63" t="s">
        <v>22</v>
      </c>
      <c r="C34" s="63" t="s">
        <v>23</v>
      </c>
      <c r="D34" s="63" t="s">
        <v>24</v>
      </c>
      <c r="E34" s="63"/>
      <c r="F34" s="63" t="s">
        <v>25</v>
      </c>
      <c r="G34" s="103" t="s">
        <v>26</v>
      </c>
      <c r="H34" s="104"/>
      <c r="I34" s="37"/>
    </row>
    <row r="35" spans="1:9">
      <c r="A35" s="64" t="s">
        <v>27</v>
      </c>
      <c r="B35" s="65">
        <f>SUM(B3:B33)</f>
        <v>192791</v>
      </c>
      <c r="C35" s="65">
        <f>SUM(G3:G33)</f>
        <v>117309</v>
      </c>
      <c r="D35" s="65">
        <f>B35-C35</f>
        <v>75482</v>
      </c>
      <c r="E35" s="65"/>
      <c r="F35" s="66">
        <f>SUM(H3:H33)</f>
        <v>-10896</v>
      </c>
      <c r="G35" s="105">
        <f>M8/3</f>
        <v>20209</v>
      </c>
      <c r="H35" s="106"/>
      <c r="I35" s="37"/>
    </row>
    <row r="36" spans="1:9">
      <c r="A36" s="25"/>
    </row>
    <row r="37" spans="1:9">
      <c r="A37" s="25"/>
    </row>
    <row r="38" spans="1:9">
      <c r="A38" s="25"/>
    </row>
    <row r="39" spans="1:9">
      <c r="A39" s="25"/>
    </row>
    <row r="40" spans="1:9">
      <c r="A40" s="25"/>
    </row>
    <row r="41" spans="1:9">
      <c r="A41" s="25"/>
    </row>
    <row r="42" spans="1:9">
      <c r="A42" s="25"/>
    </row>
    <row r="43" spans="1:9">
      <c r="A43" s="25"/>
    </row>
    <row r="44" spans="1:9">
      <c r="A44" s="25"/>
    </row>
    <row r="45" spans="1:9">
      <c r="A45" s="25"/>
    </row>
    <row r="46" spans="1:9">
      <c r="A46" s="25"/>
    </row>
    <row r="47" spans="1:9">
      <c r="A47" s="25"/>
    </row>
    <row r="48" spans="1:9">
      <c r="A48" s="25"/>
    </row>
    <row r="49" spans="1:1">
      <c r="A49" s="25"/>
    </row>
    <row r="50" spans="1:1">
      <c r="A50" s="25"/>
    </row>
    <row r="51" spans="1:1">
      <c r="A51" s="25"/>
    </row>
    <row r="52" spans="1:1">
      <c r="A52" s="25"/>
    </row>
    <row r="53" spans="1:1">
      <c r="A53" s="25"/>
    </row>
    <row r="54" spans="1:1">
      <c r="A54" s="25"/>
    </row>
    <row r="55" spans="1:1">
      <c r="A55" s="25"/>
    </row>
    <row r="56" spans="1:1">
      <c r="A56" s="25"/>
    </row>
    <row r="57" spans="1:1">
      <c r="A57" s="25"/>
    </row>
    <row r="58" spans="1:1">
      <c r="A58" s="25"/>
    </row>
    <row r="59" spans="1:1">
      <c r="A59" s="25"/>
    </row>
    <row r="60" spans="1:1">
      <c r="A60" s="25"/>
    </row>
    <row r="61" spans="1:1">
      <c r="A61" s="25"/>
    </row>
    <row r="62" spans="1:1">
      <c r="A62" s="25"/>
    </row>
    <row r="63" spans="1:1">
      <c r="A63" s="25"/>
    </row>
    <row r="64" spans="1:1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  <row r="92" spans="1:1">
      <c r="A92" s="25"/>
    </row>
    <row r="93" spans="1:1">
      <c r="A93" s="25"/>
    </row>
    <row r="94" spans="1:1">
      <c r="A94" s="25"/>
    </row>
    <row r="95" spans="1:1">
      <c r="A95" s="25"/>
    </row>
    <row r="96" spans="1:1">
      <c r="A96" s="25"/>
    </row>
    <row r="97" spans="1:1">
      <c r="A97" s="25"/>
    </row>
    <row r="98" spans="1:1">
      <c r="A98" s="25"/>
    </row>
    <row r="99" spans="1:1">
      <c r="A99" s="25"/>
    </row>
    <row r="100" spans="1:1">
      <c r="A100" s="25"/>
    </row>
    <row r="101" spans="1:1">
      <c r="A101" s="25"/>
    </row>
    <row r="102" spans="1:1">
      <c r="A102" s="25"/>
    </row>
    <row r="103" spans="1:1">
      <c r="A103" s="25"/>
    </row>
    <row r="104" spans="1:1">
      <c r="A104" s="25"/>
    </row>
    <row r="105" spans="1:1">
      <c r="A105" s="25"/>
    </row>
    <row r="106" spans="1:1">
      <c r="A106" s="25"/>
    </row>
    <row r="107" spans="1:1">
      <c r="A107" s="25"/>
    </row>
    <row r="108" spans="1:1">
      <c r="A108" s="25"/>
    </row>
    <row r="109" spans="1:1">
      <c r="A109" s="25"/>
    </row>
    <row r="110" spans="1:1">
      <c r="A110" s="25"/>
    </row>
    <row r="111" spans="1:1">
      <c r="A111" s="25"/>
    </row>
    <row r="112" spans="1:1">
      <c r="A112" s="25"/>
    </row>
    <row r="113" spans="1:1">
      <c r="A113" s="25"/>
    </row>
    <row r="114" spans="1:1">
      <c r="A114" s="25"/>
    </row>
    <row r="115" spans="1:1">
      <c r="A115" s="25"/>
    </row>
    <row r="116" spans="1:1">
      <c r="A116" s="25"/>
    </row>
    <row r="117" spans="1:1">
      <c r="A117" s="25"/>
    </row>
    <row r="118" spans="1:1">
      <c r="A118" s="25"/>
    </row>
    <row r="119" spans="1:1">
      <c r="A119" s="25"/>
    </row>
    <row r="120" spans="1:1">
      <c r="A120" s="25"/>
    </row>
    <row r="121" spans="1:1">
      <c r="A121" s="25"/>
    </row>
    <row r="122" spans="1:1">
      <c r="A122" s="25"/>
    </row>
    <row r="123" spans="1:1">
      <c r="A123" s="25"/>
    </row>
    <row r="124" spans="1:1">
      <c r="A124" s="25"/>
    </row>
    <row r="125" spans="1:1">
      <c r="A125" s="25"/>
    </row>
    <row r="126" spans="1:1">
      <c r="A126" s="25"/>
    </row>
    <row r="127" spans="1:1">
      <c r="A127" s="25"/>
    </row>
    <row r="128" spans="1:1">
      <c r="A128" s="25"/>
    </row>
    <row r="129" spans="1:1">
      <c r="A129" s="25"/>
    </row>
    <row r="130" spans="1:1">
      <c r="A130" s="25"/>
    </row>
    <row r="131" spans="1:1">
      <c r="A131" s="25"/>
    </row>
    <row r="132" spans="1:1">
      <c r="A132" s="25"/>
    </row>
    <row r="133" spans="1:1">
      <c r="A133" s="25"/>
    </row>
    <row r="134" spans="1:1">
      <c r="A134" s="25"/>
    </row>
    <row r="135" spans="1:1">
      <c r="A135" s="25"/>
    </row>
    <row r="136" spans="1:1">
      <c r="A136" s="25"/>
    </row>
    <row r="137" spans="1:1">
      <c r="A137" s="25"/>
    </row>
    <row r="138" spans="1:1">
      <c r="A138" s="25"/>
    </row>
    <row r="139" spans="1:1">
      <c r="A139" s="25"/>
    </row>
    <row r="140" spans="1:1">
      <c r="A140" s="25"/>
    </row>
    <row r="141" spans="1:1">
      <c r="A141" s="25"/>
    </row>
    <row r="142" spans="1:1">
      <c r="A142" s="25"/>
    </row>
    <row r="143" spans="1:1">
      <c r="A143" s="25"/>
    </row>
    <row r="144" spans="1:1">
      <c r="A144" s="25"/>
    </row>
    <row r="145" spans="1:1">
      <c r="A145" s="25"/>
    </row>
    <row r="146" spans="1:1">
      <c r="A146" s="25"/>
    </row>
    <row r="147" spans="1:1">
      <c r="A147" s="25"/>
    </row>
    <row r="148" spans="1:1">
      <c r="A148" s="25"/>
    </row>
    <row r="149" spans="1:1">
      <c r="A149" s="25"/>
    </row>
    <row r="150" spans="1:1">
      <c r="A150" s="25"/>
    </row>
    <row r="151" spans="1:1">
      <c r="A151" s="25"/>
    </row>
    <row r="152" spans="1:1">
      <c r="A152" s="25"/>
    </row>
    <row r="153" spans="1:1">
      <c r="A153" s="25"/>
    </row>
    <row r="154" spans="1:1">
      <c r="A154" s="25"/>
    </row>
    <row r="155" spans="1:1">
      <c r="A155" s="25"/>
    </row>
    <row r="156" spans="1:1">
      <c r="A156" s="25"/>
    </row>
    <row r="157" spans="1:1">
      <c r="A157" s="25"/>
    </row>
    <row r="158" spans="1:1">
      <c r="A158" s="25"/>
    </row>
    <row r="159" spans="1:1">
      <c r="A159" s="25"/>
    </row>
    <row r="160" spans="1:1">
      <c r="A160" s="25"/>
    </row>
    <row r="161" spans="1:1">
      <c r="A161" s="25"/>
    </row>
    <row r="162" spans="1:1">
      <c r="A162" s="25"/>
    </row>
    <row r="163" spans="1:1">
      <c r="A163" s="25"/>
    </row>
    <row r="164" spans="1:1">
      <c r="A164" s="25"/>
    </row>
    <row r="165" spans="1:1">
      <c r="A165" s="25"/>
    </row>
    <row r="166" spans="1:1">
      <c r="A166" s="25"/>
    </row>
    <row r="167" spans="1:1">
      <c r="A167" s="25"/>
    </row>
    <row r="168" spans="1:1">
      <c r="A168" s="25"/>
    </row>
    <row r="169" spans="1:1">
      <c r="A169" s="25"/>
    </row>
    <row r="170" spans="1:1">
      <c r="A170" s="25"/>
    </row>
    <row r="171" spans="1:1">
      <c r="A171" s="25"/>
    </row>
    <row r="172" spans="1:1">
      <c r="A172" s="25"/>
    </row>
    <row r="173" spans="1:1">
      <c r="A173" s="25"/>
    </row>
    <row r="174" spans="1:1">
      <c r="A174" s="25"/>
    </row>
    <row r="175" spans="1:1">
      <c r="A175" s="25"/>
    </row>
    <row r="176" spans="1:1">
      <c r="A176" s="25"/>
    </row>
    <row r="177" spans="1:1">
      <c r="A177" s="25"/>
    </row>
    <row r="178" spans="1:1">
      <c r="A178" s="25"/>
    </row>
    <row r="179" spans="1:1">
      <c r="A179" s="25"/>
    </row>
    <row r="180" spans="1:1">
      <c r="A180" s="25"/>
    </row>
    <row r="181" spans="1:1">
      <c r="A181" s="25"/>
    </row>
    <row r="182" spans="1:1">
      <c r="A182" s="25"/>
    </row>
    <row r="183" spans="1:1">
      <c r="A183" s="25"/>
    </row>
    <row r="184" spans="1:1">
      <c r="A184" s="25"/>
    </row>
    <row r="185" spans="1:1">
      <c r="A185" s="25"/>
    </row>
    <row r="186" spans="1:1">
      <c r="A186" s="25"/>
    </row>
    <row r="187" spans="1:1">
      <c r="A187" s="25"/>
    </row>
    <row r="188" spans="1:1">
      <c r="A188" s="25"/>
    </row>
    <row r="189" spans="1:1">
      <c r="A189" s="25"/>
    </row>
    <row r="190" spans="1:1">
      <c r="A190" s="25"/>
    </row>
    <row r="191" spans="1:1">
      <c r="A191" s="25"/>
    </row>
    <row r="192" spans="1:1">
      <c r="A192" s="25"/>
    </row>
    <row r="193" spans="1:1">
      <c r="A193" s="25"/>
    </row>
    <row r="194" spans="1:1">
      <c r="A194" s="25"/>
    </row>
    <row r="195" spans="1:1">
      <c r="A195" s="25"/>
    </row>
    <row r="196" spans="1:1">
      <c r="A196" s="25"/>
    </row>
    <row r="197" spans="1:1">
      <c r="A197" s="25"/>
    </row>
    <row r="198" spans="1:1">
      <c r="A198" s="25"/>
    </row>
    <row r="199" spans="1:1">
      <c r="A199" s="25"/>
    </row>
    <row r="200" spans="1:1">
      <c r="A200" s="25"/>
    </row>
    <row r="201" spans="1:1">
      <c r="A201" s="25"/>
    </row>
    <row r="202" spans="1:1">
      <c r="A202" s="25"/>
    </row>
    <row r="203" spans="1:1">
      <c r="A203" s="25"/>
    </row>
    <row r="204" spans="1:1">
      <c r="A204" s="25"/>
    </row>
    <row r="205" spans="1:1">
      <c r="A205" s="25"/>
    </row>
    <row r="206" spans="1:1">
      <c r="A206" s="25"/>
    </row>
    <row r="207" spans="1:1">
      <c r="A207" s="25"/>
    </row>
    <row r="208" spans="1:1">
      <c r="A208" s="25"/>
    </row>
    <row r="209" spans="1:1">
      <c r="A209" s="25"/>
    </row>
    <row r="210" spans="1:1">
      <c r="A210" s="25"/>
    </row>
    <row r="211" spans="1:1">
      <c r="A211" s="25"/>
    </row>
    <row r="212" spans="1:1">
      <c r="A212" s="25"/>
    </row>
    <row r="213" spans="1:1">
      <c r="A213" s="25"/>
    </row>
    <row r="214" spans="1:1">
      <c r="A214" s="25"/>
    </row>
    <row r="215" spans="1:1">
      <c r="A215" s="25"/>
    </row>
    <row r="216" spans="1:1">
      <c r="A216" s="25"/>
    </row>
    <row r="217" spans="1:1">
      <c r="A217" s="25"/>
    </row>
    <row r="218" spans="1:1">
      <c r="A218" s="25"/>
    </row>
    <row r="219" spans="1:1">
      <c r="A219" s="25"/>
    </row>
    <row r="220" spans="1:1">
      <c r="A220" s="25"/>
    </row>
    <row r="221" spans="1:1">
      <c r="A221" s="25"/>
    </row>
    <row r="222" spans="1:1">
      <c r="A222" s="25"/>
    </row>
    <row r="223" spans="1:1">
      <c r="A223" s="25"/>
    </row>
    <row r="224" spans="1:1">
      <c r="A224" s="25"/>
    </row>
    <row r="225" spans="1:1">
      <c r="A225" s="25"/>
    </row>
    <row r="226" spans="1:1">
      <c r="A226" s="25"/>
    </row>
    <row r="227" spans="1:1">
      <c r="A227" s="25"/>
    </row>
    <row r="228" spans="1:1">
      <c r="A228" s="25"/>
    </row>
    <row r="229" spans="1:1">
      <c r="A229" s="25"/>
    </row>
    <row r="230" spans="1:1">
      <c r="A230" s="25"/>
    </row>
    <row r="231" spans="1:1">
      <c r="A231" s="25"/>
    </row>
    <row r="232" spans="1:1">
      <c r="A232" s="25"/>
    </row>
    <row r="233" spans="1:1">
      <c r="A233" s="25"/>
    </row>
    <row r="234" spans="1:1">
      <c r="A234" s="25"/>
    </row>
    <row r="235" spans="1:1">
      <c r="A235" s="25"/>
    </row>
    <row r="236" spans="1:1">
      <c r="A236" s="25"/>
    </row>
    <row r="237" spans="1:1">
      <c r="A237" s="25"/>
    </row>
    <row r="238" spans="1:1">
      <c r="A238" s="25"/>
    </row>
    <row r="239" spans="1:1">
      <c r="A239" s="25"/>
    </row>
    <row r="240" spans="1:1">
      <c r="A240" s="25"/>
    </row>
    <row r="241" spans="1:1">
      <c r="A241" s="25"/>
    </row>
    <row r="242" spans="1:1">
      <c r="A242" s="25"/>
    </row>
    <row r="243" spans="1:1">
      <c r="A243" s="25"/>
    </row>
    <row r="244" spans="1:1">
      <c r="A244" s="25"/>
    </row>
    <row r="245" spans="1:1">
      <c r="A245" s="25"/>
    </row>
    <row r="246" spans="1:1">
      <c r="A246" s="25"/>
    </row>
    <row r="247" spans="1:1">
      <c r="A247" s="25"/>
    </row>
    <row r="248" spans="1:1">
      <c r="A248" s="25"/>
    </row>
    <row r="249" spans="1:1">
      <c r="A249" s="25"/>
    </row>
    <row r="250" spans="1:1">
      <c r="A250" s="25"/>
    </row>
    <row r="251" spans="1:1">
      <c r="A251" s="25"/>
    </row>
    <row r="252" spans="1:1">
      <c r="A252" s="25"/>
    </row>
    <row r="253" spans="1:1">
      <c r="A253" s="25"/>
    </row>
    <row r="254" spans="1:1">
      <c r="A254" s="25"/>
    </row>
    <row r="255" spans="1:1">
      <c r="A255" s="25"/>
    </row>
    <row r="256" spans="1:1">
      <c r="A256" s="25"/>
    </row>
    <row r="257" spans="1:1">
      <c r="A257" s="25"/>
    </row>
    <row r="258" spans="1:1">
      <c r="A258" s="25"/>
    </row>
    <row r="259" spans="1:1">
      <c r="A259" s="25"/>
    </row>
    <row r="260" spans="1:1">
      <c r="A260" s="25"/>
    </row>
    <row r="261" spans="1:1">
      <c r="A261" s="25"/>
    </row>
    <row r="262" spans="1:1">
      <c r="A262" s="25"/>
    </row>
    <row r="263" spans="1:1">
      <c r="A263" s="25"/>
    </row>
    <row r="264" spans="1:1">
      <c r="A264" s="25"/>
    </row>
    <row r="265" spans="1:1">
      <c r="A265" s="25"/>
    </row>
    <row r="266" spans="1:1">
      <c r="A266" s="25"/>
    </row>
    <row r="267" spans="1:1">
      <c r="A267" s="25"/>
    </row>
    <row r="268" spans="1:1">
      <c r="A268" s="25"/>
    </row>
    <row r="269" spans="1:1">
      <c r="A269" s="25"/>
    </row>
    <row r="270" spans="1:1">
      <c r="A270" s="25"/>
    </row>
    <row r="271" spans="1:1">
      <c r="A271" s="25"/>
    </row>
    <row r="272" spans="1:1">
      <c r="A272" s="25"/>
    </row>
    <row r="273" spans="1:1">
      <c r="A273" s="25"/>
    </row>
    <row r="274" spans="1:1">
      <c r="A274" s="25"/>
    </row>
    <row r="275" spans="1:1">
      <c r="A275" s="25"/>
    </row>
    <row r="276" spans="1:1">
      <c r="A276" s="25"/>
    </row>
    <row r="277" spans="1:1">
      <c r="A277" s="25"/>
    </row>
    <row r="278" spans="1:1">
      <c r="A278" s="25"/>
    </row>
    <row r="279" spans="1:1">
      <c r="A279" s="25"/>
    </row>
    <row r="280" spans="1:1">
      <c r="A280" s="25"/>
    </row>
    <row r="281" spans="1:1">
      <c r="A281" s="25"/>
    </row>
    <row r="282" spans="1:1">
      <c r="A282" s="25"/>
    </row>
    <row r="283" spans="1:1">
      <c r="A283" s="25"/>
    </row>
    <row r="284" spans="1:1">
      <c r="A284" s="25"/>
    </row>
    <row r="285" spans="1:1">
      <c r="A285" s="25"/>
    </row>
    <row r="286" spans="1:1">
      <c r="A286" s="25"/>
    </row>
    <row r="287" spans="1:1">
      <c r="A287" s="25"/>
    </row>
    <row r="288" spans="1:1">
      <c r="A288" s="25"/>
    </row>
    <row r="289" spans="1:1">
      <c r="A289" s="25"/>
    </row>
    <row r="290" spans="1:1">
      <c r="A290" s="25"/>
    </row>
    <row r="291" spans="1:1">
      <c r="A291" s="25"/>
    </row>
    <row r="292" spans="1:1">
      <c r="A292" s="25"/>
    </row>
    <row r="293" spans="1:1">
      <c r="A293" s="25"/>
    </row>
    <row r="294" spans="1:1">
      <c r="A294" s="25"/>
    </row>
    <row r="295" spans="1:1">
      <c r="A295" s="25"/>
    </row>
    <row r="296" spans="1:1">
      <c r="A296" s="25"/>
    </row>
    <row r="297" spans="1:1">
      <c r="A297" s="25"/>
    </row>
    <row r="298" spans="1:1">
      <c r="A298" s="25"/>
    </row>
    <row r="299" spans="1:1">
      <c r="A299" s="25"/>
    </row>
    <row r="300" spans="1:1">
      <c r="A300" s="25"/>
    </row>
    <row r="301" spans="1:1">
      <c r="A301" s="25"/>
    </row>
    <row r="302" spans="1:1">
      <c r="A302" s="25"/>
    </row>
    <row r="303" spans="1:1">
      <c r="A303" s="25"/>
    </row>
    <row r="304" spans="1:1">
      <c r="A304" s="25"/>
    </row>
    <row r="305" spans="1:1">
      <c r="A305" s="25"/>
    </row>
    <row r="306" spans="1:1">
      <c r="A306" s="25"/>
    </row>
    <row r="307" spans="1:1">
      <c r="A307" s="25"/>
    </row>
    <row r="308" spans="1:1">
      <c r="A308" s="25"/>
    </row>
    <row r="309" spans="1:1">
      <c r="A309" s="25"/>
    </row>
    <row r="310" spans="1:1">
      <c r="A310" s="25"/>
    </row>
    <row r="311" spans="1:1">
      <c r="A311" s="25"/>
    </row>
    <row r="312" spans="1:1">
      <c r="A312" s="25"/>
    </row>
    <row r="313" spans="1:1">
      <c r="A313" s="25"/>
    </row>
    <row r="314" spans="1:1">
      <c r="A314" s="25"/>
    </row>
    <row r="315" spans="1:1">
      <c r="A315" s="25"/>
    </row>
    <row r="316" spans="1:1">
      <c r="A316" s="25"/>
    </row>
    <row r="317" spans="1:1">
      <c r="A317" s="25"/>
    </row>
    <row r="318" spans="1:1">
      <c r="A318" s="25"/>
    </row>
    <row r="319" spans="1:1">
      <c r="A319" s="25"/>
    </row>
    <row r="320" spans="1:1">
      <c r="A320" s="25"/>
    </row>
    <row r="321" spans="1:1">
      <c r="A321" s="25"/>
    </row>
    <row r="322" spans="1:1">
      <c r="A322" s="25"/>
    </row>
    <row r="323" spans="1:1">
      <c r="A323" s="25"/>
    </row>
    <row r="324" spans="1:1">
      <c r="A324" s="25"/>
    </row>
    <row r="325" spans="1:1">
      <c r="A325" s="25"/>
    </row>
    <row r="326" spans="1:1">
      <c r="A326" s="25"/>
    </row>
    <row r="327" spans="1:1">
      <c r="A327" s="25"/>
    </row>
    <row r="328" spans="1:1">
      <c r="A328" s="25"/>
    </row>
    <row r="329" spans="1:1">
      <c r="A329" s="25"/>
    </row>
    <row r="330" spans="1:1">
      <c r="A330" s="25"/>
    </row>
    <row r="331" spans="1:1">
      <c r="A331" s="25"/>
    </row>
    <row r="332" spans="1:1">
      <c r="A332" s="25"/>
    </row>
    <row r="333" spans="1:1">
      <c r="A333" s="25"/>
    </row>
    <row r="334" spans="1:1">
      <c r="A334" s="25"/>
    </row>
    <row r="335" spans="1:1">
      <c r="A335" s="25"/>
    </row>
    <row r="336" spans="1:1">
      <c r="A336" s="25"/>
    </row>
    <row r="337" spans="1:1">
      <c r="A337" s="25"/>
    </row>
    <row r="338" spans="1:1">
      <c r="A338" s="25"/>
    </row>
    <row r="339" spans="1:1">
      <c r="A339" s="25"/>
    </row>
    <row r="340" spans="1:1">
      <c r="A340" s="25"/>
    </row>
    <row r="341" spans="1:1">
      <c r="A341" s="25"/>
    </row>
    <row r="342" spans="1:1">
      <c r="A342" s="25"/>
    </row>
    <row r="343" spans="1:1">
      <c r="A343" s="25"/>
    </row>
    <row r="344" spans="1:1">
      <c r="A344" s="25"/>
    </row>
    <row r="345" spans="1:1">
      <c r="A345" s="25"/>
    </row>
    <row r="346" spans="1:1">
      <c r="A346" s="25"/>
    </row>
    <row r="347" spans="1:1">
      <c r="A347" s="25"/>
    </row>
    <row r="348" spans="1:1">
      <c r="A348" s="25"/>
    </row>
    <row r="349" spans="1:1">
      <c r="A349" s="25"/>
    </row>
    <row r="350" spans="1:1">
      <c r="A350" s="25"/>
    </row>
    <row r="351" spans="1:1">
      <c r="A351" s="25"/>
    </row>
    <row r="352" spans="1:1">
      <c r="A352" s="25"/>
    </row>
    <row r="353" spans="1:1">
      <c r="A353" s="25"/>
    </row>
    <row r="354" spans="1:1">
      <c r="A354" s="25"/>
    </row>
    <row r="355" spans="1:1">
      <c r="A355" s="25"/>
    </row>
    <row r="356" spans="1:1">
      <c r="A356" s="25"/>
    </row>
    <row r="357" spans="1:1">
      <c r="A357" s="25"/>
    </row>
    <row r="358" spans="1:1">
      <c r="A358" s="25"/>
    </row>
    <row r="359" spans="1:1">
      <c r="A359" s="25"/>
    </row>
    <row r="360" spans="1:1">
      <c r="A360" s="25"/>
    </row>
    <row r="361" spans="1:1">
      <c r="A361" s="25"/>
    </row>
    <row r="362" spans="1:1">
      <c r="A362" s="25"/>
    </row>
    <row r="363" spans="1:1">
      <c r="A363" s="25"/>
    </row>
    <row r="364" spans="1:1">
      <c r="A364" s="25"/>
    </row>
    <row r="365" spans="1:1">
      <c r="A365" s="25"/>
    </row>
    <row r="366" spans="1:1">
      <c r="A366" s="25"/>
    </row>
    <row r="367" spans="1:1">
      <c r="A367" s="25"/>
    </row>
    <row r="368" spans="1:1">
      <c r="A368" s="25"/>
    </row>
    <row r="369" spans="1:1">
      <c r="A369" s="25"/>
    </row>
    <row r="370" spans="1:1">
      <c r="A370" s="25"/>
    </row>
    <row r="371" spans="1:1">
      <c r="A371" s="25"/>
    </row>
    <row r="372" spans="1:1">
      <c r="A372" s="25"/>
    </row>
    <row r="373" spans="1:1">
      <c r="A373" s="25"/>
    </row>
    <row r="374" spans="1:1">
      <c r="A374" s="25"/>
    </row>
    <row r="375" spans="1:1">
      <c r="A375" s="25"/>
    </row>
    <row r="376" spans="1:1">
      <c r="A376" s="25"/>
    </row>
    <row r="377" spans="1:1">
      <c r="A377" s="25"/>
    </row>
    <row r="378" spans="1:1">
      <c r="A378" s="25"/>
    </row>
    <row r="379" spans="1:1">
      <c r="A379" s="25"/>
    </row>
    <row r="380" spans="1:1">
      <c r="A380" s="25"/>
    </row>
    <row r="381" spans="1:1">
      <c r="A381" s="25"/>
    </row>
    <row r="382" spans="1:1">
      <c r="A382" s="25"/>
    </row>
    <row r="383" spans="1:1">
      <c r="A383" s="25"/>
    </row>
    <row r="384" spans="1:1">
      <c r="A384" s="25"/>
    </row>
    <row r="385" spans="1:1">
      <c r="A385" s="25"/>
    </row>
    <row r="386" spans="1:1">
      <c r="A386" s="25"/>
    </row>
    <row r="387" spans="1:1">
      <c r="A387" s="25"/>
    </row>
    <row r="388" spans="1:1">
      <c r="A388" s="25"/>
    </row>
    <row r="389" spans="1:1">
      <c r="A389" s="25"/>
    </row>
    <row r="390" spans="1:1">
      <c r="A390" s="25"/>
    </row>
    <row r="391" spans="1:1">
      <c r="A391" s="25"/>
    </row>
    <row r="392" spans="1:1">
      <c r="A392" s="25"/>
    </row>
    <row r="393" spans="1:1">
      <c r="A393" s="25"/>
    </row>
    <row r="394" spans="1:1">
      <c r="A394" s="25"/>
    </row>
    <row r="395" spans="1:1">
      <c r="A395" s="25"/>
    </row>
    <row r="396" spans="1:1">
      <c r="A396" s="25"/>
    </row>
    <row r="397" spans="1:1">
      <c r="A397" s="25"/>
    </row>
    <row r="398" spans="1:1">
      <c r="A398" s="25"/>
    </row>
    <row r="399" spans="1:1">
      <c r="A399" s="25"/>
    </row>
    <row r="400" spans="1:1">
      <c r="A400" s="25"/>
    </row>
    <row r="401" spans="1:1">
      <c r="A401" s="25"/>
    </row>
    <row r="402" spans="1:1">
      <c r="A402" s="25"/>
    </row>
    <row r="403" spans="1:1">
      <c r="A403" s="25"/>
    </row>
    <row r="404" spans="1:1">
      <c r="A404" s="25"/>
    </row>
    <row r="405" spans="1:1">
      <c r="A405" s="25"/>
    </row>
    <row r="406" spans="1:1">
      <c r="A406" s="25"/>
    </row>
    <row r="407" spans="1:1">
      <c r="A407" s="25"/>
    </row>
    <row r="408" spans="1:1">
      <c r="A408" s="25"/>
    </row>
    <row r="409" spans="1:1">
      <c r="A409" s="25"/>
    </row>
    <row r="410" spans="1:1">
      <c r="A410" s="25"/>
    </row>
    <row r="411" spans="1:1">
      <c r="A411" s="25"/>
    </row>
    <row r="412" spans="1:1">
      <c r="A412" s="25"/>
    </row>
    <row r="413" spans="1:1">
      <c r="A413" s="25"/>
    </row>
    <row r="414" spans="1:1">
      <c r="A414" s="25"/>
    </row>
    <row r="415" spans="1:1">
      <c r="A415" s="25"/>
    </row>
    <row r="416" spans="1:1">
      <c r="A416" s="25"/>
    </row>
    <row r="417" spans="1:1">
      <c r="A417" s="25"/>
    </row>
    <row r="418" spans="1:1">
      <c r="A418" s="25"/>
    </row>
    <row r="419" spans="1:1">
      <c r="A419" s="25"/>
    </row>
    <row r="420" spans="1:1">
      <c r="A420" s="25"/>
    </row>
    <row r="421" spans="1:1">
      <c r="A421" s="25"/>
    </row>
    <row r="422" spans="1:1">
      <c r="A422" s="25"/>
    </row>
    <row r="423" spans="1:1">
      <c r="A423" s="25"/>
    </row>
    <row r="424" spans="1:1">
      <c r="A424" s="25"/>
    </row>
    <row r="425" spans="1:1">
      <c r="A425" s="25"/>
    </row>
    <row r="426" spans="1:1">
      <c r="A426" s="25"/>
    </row>
    <row r="427" spans="1:1">
      <c r="A427" s="25"/>
    </row>
    <row r="428" spans="1:1">
      <c r="A428" s="25"/>
    </row>
    <row r="429" spans="1:1">
      <c r="A429" s="25"/>
    </row>
    <row r="430" spans="1:1">
      <c r="A430" s="25"/>
    </row>
    <row r="431" spans="1:1">
      <c r="A431" s="25"/>
    </row>
    <row r="432" spans="1:1">
      <c r="A432" s="25"/>
    </row>
    <row r="433" spans="1:1">
      <c r="A433" s="25"/>
    </row>
    <row r="434" spans="1:1">
      <c r="A434" s="25"/>
    </row>
    <row r="435" spans="1:1">
      <c r="A435" s="25"/>
    </row>
    <row r="436" spans="1:1">
      <c r="A436" s="25"/>
    </row>
    <row r="437" spans="1:1">
      <c r="A437" s="25"/>
    </row>
    <row r="438" spans="1:1">
      <c r="A438" s="25"/>
    </row>
    <row r="439" spans="1:1">
      <c r="A439" s="25"/>
    </row>
    <row r="440" spans="1:1">
      <c r="A440" s="25"/>
    </row>
    <row r="441" spans="1:1">
      <c r="A441" s="25"/>
    </row>
    <row r="442" spans="1:1">
      <c r="A442" s="25"/>
    </row>
    <row r="443" spans="1:1">
      <c r="A443" s="25"/>
    </row>
    <row r="444" spans="1:1">
      <c r="A444" s="25"/>
    </row>
    <row r="445" spans="1:1">
      <c r="A445" s="25"/>
    </row>
    <row r="446" spans="1:1">
      <c r="A446" s="25"/>
    </row>
    <row r="447" spans="1:1">
      <c r="A447" s="25"/>
    </row>
    <row r="448" spans="1:1">
      <c r="A448" s="25"/>
    </row>
    <row r="449" spans="1:1">
      <c r="A449" s="25"/>
    </row>
    <row r="450" spans="1:1">
      <c r="A450" s="25"/>
    </row>
    <row r="451" spans="1:1">
      <c r="A451" s="25"/>
    </row>
    <row r="452" spans="1:1">
      <c r="A452" s="25"/>
    </row>
    <row r="453" spans="1:1">
      <c r="A453" s="25"/>
    </row>
    <row r="454" spans="1:1">
      <c r="A454" s="25"/>
    </row>
    <row r="455" spans="1:1">
      <c r="A455" s="25"/>
    </row>
    <row r="456" spans="1:1">
      <c r="A456" s="25"/>
    </row>
    <row r="457" spans="1:1">
      <c r="A457" s="25"/>
    </row>
    <row r="458" spans="1:1">
      <c r="A458" s="25"/>
    </row>
    <row r="459" spans="1:1">
      <c r="A459" s="25"/>
    </row>
    <row r="460" spans="1:1">
      <c r="A460" s="25"/>
    </row>
    <row r="461" spans="1:1">
      <c r="A461" s="25"/>
    </row>
    <row r="462" spans="1:1">
      <c r="A462" s="25"/>
    </row>
    <row r="463" spans="1:1">
      <c r="A463" s="25"/>
    </row>
    <row r="464" spans="1:1">
      <c r="A464" s="25"/>
    </row>
    <row r="465" spans="1:1">
      <c r="A465" s="25"/>
    </row>
    <row r="466" spans="1:1">
      <c r="A466" s="25"/>
    </row>
    <row r="467" spans="1:1">
      <c r="A467" s="25"/>
    </row>
    <row r="468" spans="1:1">
      <c r="A468" s="25"/>
    </row>
    <row r="469" spans="1:1">
      <c r="A469" s="25"/>
    </row>
    <row r="470" spans="1:1">
      <c r="A470" s="25"/>
    </row>
    <row r="471" spans="1:1">
      <c r="A471" s="25"/>
    </row>
    <row r="472" spans="1:1">
      <c r="A472" s="25"/>
    </row>
    <row r="473" spans="1:1">
      <c r="A473" s="25"/>
    </row>
    <row r="474" spans="1:1">
      <c r="A474" s="25"/>
    </row>
    <row r="475" spans="1:1">
      <c r="A475" s="25"/>
    </row>
    <row r="476" spans="1:1">
      <c r="A476" s="25"/>
    </row>
    <row r="477" spans="1:1">
      <c r="A477" s="25"/>
    </row>
    <row r="478" spans="1:1">
      <c r="A478" s="25"/>
    </row>
    <row r="479" spans="1:1">
      <c r="A479" s="25"/>
    </row>
    <row r="480" spans="1:1">
      <c r="A480" s="25"/>
    </row>
    <row r="481" spans="1:1">
      <c r="A481" s="25"/>
    </row>
    <row r="482" spans="1:1">
      <c r="A482" s="25"/>
    </row>
    <row r="483" spans="1:1">
      <c r="A483" s="25"/>
    </row>
    <row r="484" spans="1:1">
      <c r="A484" s="25"/>
    </row>
    <row r="485" spans="1:1">
      <c r="A485" s="25"/>
    </row>
    <row r="486" spans="1:1">
      <c r="A486" s="25"/>
    </row>
    <row r="487" spans="1:1">
      <c r="A487" s="25"/>
    </row>
    <row r="488" spans="1:1">
      <c r="A488" s="25"/>
    </row>
    <row r="489" spans="1:1">
      <c r="A489" s="25"/>
    </row>
    <row r="490" spans="1:1">
      <c r="A490" s="25"/>
    </row>
    <row r="491" spans="1:1">
      <c r="A491" s="25"/>
    </row>
    <row r="492" spans="1:1">
      <c r="A492" s="25"/>
    </row>
    <row r="493" spans="1:1">
      <c r="A493" s="25"/>
    </row>
    <row r="494" spans="1:1">
      <c r="A494" s="25"/>
    </row>
    <row r="495" spans="1:1">
      <c r="A495" s="25"/>
    </row>
    <row r="496" spans="1:1">
      <c r="A496" s="25"/>
    </row>
    <row r="497" spans="1:1">
      <c r="A497" s="25"/>
    </row>
    <row r="498" spans="1:1">
      <c r="A498" s="25"/>
    </row>
    <row r="499" spans="1:1">
      <c r="A499" s="25"/>
    </row>
    <row r="500" spans="1:1">
      <c r="A500" s="25"/>
    </row>
    <row r="501" spans="1:1">
      <c r="A501" s="25"/>
    </row>
    <row r="502" spans="1:1">
      <c r="A502" s="25"/>
    </row>
    <row r="503" spans="1:1">
      <c r="A503" s="25"/>
    </row>
    <row r="504" spans="1:1">
      <c r="A504" s="25"/>
    </row>
    <row r="505" spans="1:1">
      <c r="A505" s="25"/>
    </row>
    <row r="506" spans="1:1">
      <c r="A506" s="25"/>
    </row>
    <row r="507" spans="1:1">
      <c r="A507" s="25"/>
    </row>
    <row r="508" spans="1:1">
      <c r="A508" s="25"/>
    </row>
    <row r="509" spans="1:1">
      <c r="A509" s="25"/>
    </row>
    <row r="510" spans="1:1">
      <c r="A510" s="25"/>
    </row>
    <row r="511" spans="1:1">
      <c r="A511" s="25"/>
    </row>
    <row r="512" spans="1:1">
      <c r="A512" s="25"/>
    </row>
    <row r="513" spans="1:1">
      <c r="A513" s="25"/>
    </row>
    <row r="514" spans="1:1">
      <c r="A514" s="25"/>
    </row>
    <row r="515" spans="1:1">
      <c r="A515" s="25"/>
    </row>
    <row r="516" spans="1:1">
      <c r="A516" s="25"/>
    </row>
    <row r="517" spans="1:1">
      <c r="A517" s="25"/>
    </row>
    <row r="518" spans="1:1">
      <c r="A518" s="25"/>
    </row>
    <row r="519" spans="1:1">
      <c r="A519" s="25"/>
    </row>
    <row r="520" spans="1:1">
      <c r="A520" s="25"/>
    </row>
    <row r="521" spans="1:1">
      <c r="A521" s="25"/>
    </row>
    <row r="522" spans="1:1">
      <c r="A522" s="25"/>
    </row>
    <row r="523" spans="1:1">
      <c r="A523" s="25"/>
    </row>
    <row r="524" spans="1:1">
      <c r="A524" s="25"/>
    </row>
    <row r="525" spans="1:1">
      <c r="A525" s="25"/>
    </row>
    <row r="526" spans="1:1">
      <c r="A526" s="25"/>
    </row>
    <row r="527" spans="1:1">
      <c r="A527" s="25"/>
    </row>
    <row r="528" spans="1:1">
      <c r="A528" s="25"/>
    </row>
    <row r="529" spans="1:1">
      <c r="A529" s="25"/>
    </row>
    <row r="530" spans="1:1">
      <c r="A530" s="25"/>
    </row>
    <row r="531" spans="1:1">
      <c r="A531" s="25"/>
    </row>
    <row r="532" spans="1:1">
      <c r="A532" s="25"/>
    </row>
    <row r="533" spans="1:1">
      <c r="A533" s="25"/>
    </row>
    <row r="534" spans="1:1">
      <c r="A534" s="25"/>
    </row>
    <row r="535" spans="1:1">
      <c r="A535" s="25"/>
    </row>
    <row r="536" spans="1:1">
      <c r="A536" s="25"/>
    </row>
    <row r="537" spans="1:1">
      <c r="A537" s="25"/>
    </row>
    <row r="538" spans="1:1">
      <c r="A538" s="25"/>
    </row>
    <row r="539" spans="1:1">
      <c r="A539" s="25"/>
    </row>
    <row r="540" spans="1:1">
      <c r="A540" s="25"/>
    </row>
    <row r="541" spans="1:1">
      <c r="A541" s="25"/>
    </row>
    <row r="542" spans="1:1">
      <c r="A542" s="25"/>
    </row>
    <row r="543" spans="1:1">
      <c r="A543" s="25"/>
    </row>
    <row r="544" spans="1:1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  <row r="771" spans="1:1">
      <c r="A771" s="25"/>
    </row>
    <row r="772" spans="1:1">
      <c r="A772" s="25"/>
    </row>
    <row r="773" spans="1:1">
      <c r="A773" s="25"/>
    </row>
    <row r="774" spans="1:1">
      <c r="A774" s="25"/>
    </row>
    <row r="775" spans="1:1">
      <c r="A775" s="25"/>
    </row>
    <row r="776" spans="1:1">
      <c r="A776" s="25"/>
    </row>
    <row r="777" spans="1:1">
      <c r="A777" s="25"/>
    </row>
    <row r="778" spans="1:1">
      <c r="A778" s="25"/>
    </row>
    <row r="779" spans="1:1">
      <c r="A779" s="25"/>
    </row>
    <row r="780" spans="1:1">
      <c r="A780" s="25"/>
    </row>
    <row r="781" spans="1:1">
      <c r="A781" s="25"/>
    </row>
    <row r="782" spans="1:1">
      <c r="A782" s="25"/>
    </row>
    <row r="783" spans="1:1">
      <c r="A783" s="25"/>
    </row>
    <row r="784" spans="1:1">
      <c r="A784" s="25"/>
    </row>
    <row r="785" spans="1:1">
      <c r="A785" s="25"/>
    </row>
    <row r="786" spans="1:1">
      <c r="A786" s="25"/>
    </row>
    <row r="787" spans="1:1">
      <c r="A787" s="25"/>
    </row>
    <row r="788" spans="1:1">
      <c r="A788" s="25"/>
    </row>
    <row r="789" spans="1:1">
      <c r="A789" s="25"/>
    </row>
    <row r="790" spans="1:1">
      <c r="A790" s="25"/>
    </row>
    <row r="791" spans="1:1">
      <c r="A791" s="25"/>
    </row>
    <row r="792" spans="1:1">
      <c r="A792" s="25"/>
    </row>
    <row r="793" spans="1:1">
      <c r="A793" s="25"/>
    </row>
    <row r="794" spans="1:1">
      <c r="A794" s="25"/>
    </row>
    <row r="795" spans="1:1">
      <c r="A795" s="25"/>
    </row>
    <row r="796" spans="1:1">
      <c r="A796" s="25"/>
    </row>
    <row r="797" spans="1:1">
      <c r="A797" s="25"/>
    </row>
    <row r="798" spans="1:1">
      <c r="A798" s="25"/>
    </row>
    <row r="799" spans="1:1">
      <c r="A799" s="25"/>
    </row>
    <row r="800" spans="1:1">
      <c r="A800" s="25"/>
    </row>
    <row r="801" spans="1:1">
      <c r="A801" s="25"/>
    </row>
    <row r="802" spans="1:1">
      <c r="A802" s="25"/>
    </row>
    <row r="803" spans="1:1">
      <c r="A803" s="25"/>
    </row>
    <row r="804" spans="1:1">
      <c r="A804" s="25"/>
    </row>
    <row r="805" spans="1:1">
      <c r="A805" s="25"/>
    </row>
    <row r="806" spans="1:1">
      <c r="A806" s="25"/>
    </row>
    <row r="807" spans="1:1">
      <c r="A807" s="25"/>
    </row>
    <row r="808" spans="1:1">
      <c r="A808" s="25"/>
    </row>
    <row r="809" spans="1:1">
      <c r="A809" s="25"/>
    </row>
    <row r="810" spans="1:1">
      <c r="A810" s="25"/>
    </row>
    <row r="811" spans="1:1">
      <c r="A811" s="25"/>
    </row>
    <row r="812" spans="1:1">
      <c r="A812" s="25"/>
    </row>
    <row r="813" spans="1:1">
      <c r="A813" s="25"/>
    </row>
    <row r="814" spans="1:1">
      <c r="A814" s="25"/>
    </row>
    <row r="815" spans="1:1">
      <c r="A815" s="25"/>
    </row>
    <row r="816" spans="1:1">
      <c r="A816" s="25"/>
    </row>
    <row r="817" spans="1:1">
      <c r="A817" s="25"/>
    </row>
    <row r="818" spans="1:1">
      <c r="A818" s="25"/>
    </row>
    <row r="819" spans="1:1">
      <c r="A819" s="25"/>
    </row>
    <row r="820" spans="1:1">
      <c r="A820" s="25"/>
    </row>
    <row r="821" spans="1:1">
      <c r="A821" s="25"/>
    </row>
    <row r="822" spans="1:1">
      <c r="A822" s="25"/>
    </row>
    <row r="823" spans="1:1">
      <c r="A823" s="25"/>
    </row>
    <row r="824" spans="1:1">
      <c r="A824" s="25"/>
    </row>
    <row r="825" spans="1:1">
      <c r="A825" s="25"/>
    </row>
    <row r="826" spans="1:1">
      <c r="A826" s="25"/>
    </row>
    <row r="827" spans="1:1">
      <c r="A827" s="25"/>
    </row>
    <row r="828" spans="1:1">
      <c r="A828" s="25"/>
    </row>
    <row r="829" spans="1:1">
      <c r="A829" s="25"/>
    </row>
    <row r="830" spans="1:1">
      <c r="A830" s="25"/>
    </row>
    <row r="831" spans="1:1">
      <c r="A831" s="25"/>
    </row>
    <row r="832" spans="1:1">
      <c r="A832" s="25"/>
    </row>
    <row r="833" spans="1:1">
      <c r="A833" s="25"/>
    </row>
    <row r="834" spans="1:1">
      <c r="A834" s="25"/>
    </row>
    <row r="835" spans="1:1">
      <c r="A835" s="25"/>
    </row>
    <row r="836" spans="1:1">
      <c r="A836" s="25"/>
    </row>
    <row r="837" spans="1:1">
      <c r="A837" s="25"/>
    </row>
    <row r="838" spans="1:1">
      <c r="A838" s="25"/>
    </row>
    <row r="839" spans="1:1">
      <c r="A839" s="25"/>
    </row>
    <row r="840" spans="1:1">
      <c r="A840" s="25"/>
    </row>
    <row r="841" spans="1:1">
      <c r="A841" s="25"/>
    </row>
    <row r="842" spans="1:1">
      <c r="A842" s="25"/>
    </row>
    <row r="843" spans="1:1">
      <c r="A843" s="25"/>
    </row>
    <row r="844" spans="1:1">
      <c r="A844" s="25"/>
    </row>
    <row r="845" spans="1:1">
      <c r="A845" s="25"/>
    </row>
    <row r="846" spans="1:1">
      <c r="A846" s="25"/>
    </row>
    <row r="847" spans="1:1">
      <c r="A847" s="25"/>
    </row>
    <row r="848" spans="1:1">
      <c r="A848" s="25"/>
    </row>
    <row r="849" spans="1:1">
      <c r="A849" s="25"/>
    </row>
    <row r="850" spans="1:1">
      <c r="A850" s="25"/>
    </row>
    <row r="851" spans="1:1">
      <c r="A851" s="25"/>
    </row>
    <row r="852" spans="1:1">
      <c r="A852" s="25"/>
    </row>
    <row r="853" spans="1:1">
      <c r="A853" s="25"/>
    </row>
    <row r="854" spans="1:1">
      <c r="A854" s="25"/>
    </row>
    <row r="855" spans="1:1">
      <c r="A855" s="25"/>
    </row>
    <row r="856" spans="1:1">
      <c r="A856" s="25"/>
    </row>
    <row r="857" spans="1:1">
      <c r="A857" s="25"/>
    </row>
    <row r="858" spans="1:1">
      <c r="A858" s="25"/>
    </row>
    <row r="859" spans="1:1">
      <c r="A859" s="25"/>
    </row>
    <row r="860" spans="1:1">
      <c r="A860" s="25"/>
    </row>
    <row r="861" spans="1:1">
      <c r="A861" s="25"/>
    </row>
    <row r="862" spans="1:1">
      <c r="A862" s="25"/>
    </row>
    <row r="863" spans="1:1">
      <c r="A863" s="25"/>
    </row>
    <row r="864" spans="1:1">
      <c r="A864" s="25"/>
    </row>
    <row r="865" spans="1:1">
      <c r="A865" s="25"/>
    </row>
    <row r="866" spans="1:1">
      <c r="A866" s="25"/>
    </row>
    <row r="867" spans="1:1">
      <c r="A867" s="25"/>
    </row>
    <row r="868" spans="1:1">
      <c r="A868" s="25"/>
    </row>
    <row r="869" spans="1:1">
      <c r="A869" s="25"/>
    </row>
    <row r="870" spans="1:1">
      <c r="A870" s="25"/>
    </row>
    <row r="871" spans="1:1">
      <c r="A871" s="25"/>
    </row>
    <row r="872" spans="1:1">
      <c r="A872" s="25"/>
    </row>
    <row r="873" spans="1:1">
      <c r="A873" s="25"/>
    </row>
    <row r="874" spans="1:1">
      <c r="A874" s="25"/>
    </row>
    <row r="875" spans="1:1">
      <c r="A875" s="25"/>
    </row>
    <row r="876" spans="1:1">
      <c r="A876" s="25"/>
    </row>
    <row r="877" spans="1:1">
      <c r="A877" s="25"/>
    </row>
    <row r="878" spans="1:1">
      <c r="A878" s="25"/>
    </row>
    <row r="879" spans="1:1">
      <c r="A879" s="25"/>
    </row>
    <row r="880" spans="1:1">
      <c r="A880" s="25"/>
    </row>
    <row r="881" spans="1:1">
      <c r="A881" s="25"/>
    </row>
    <row r="882" spans="1:1">
      <c r="A882" s="25"/>
    </row>
    <row r="883" spans="1:1">
      <c r="A883" s="25"/>
    </row>
    <row r="884" spans="1:1">
      <c r="A884" s="25"/>
    </row>
    <row r="885" spans="1:1">
      <c r="A885" s="25"/>
    </row>
    <row r="886" spans="1:1">
      <c r="A886" s="25"/>
    </row>
    <row r="887" spans="1:1">
      <c r="A887" s="25"/>
    </row>
    <row r="888" spans="1:1">
      <c r="A888" s="25"/>
    </row>
    <row r="889" spans="1:1">
      <c r="A889" s="25"/>
    </row>
    <row r="890" spans="1:1">
      <c r="A890" s="25"/>
    </row>
    <row r="891" spans="1:1">
      <c r="A891" s="25"/>
    </row>
    <row r="892" spans="1:1">
      <c r="A892" s="25"/>
    </row>
    <row r="893" spans="1:1">
      <c r="A893" s="25"/>
    </row>
    <row r="894" spans="1:1">
      <c r="A894" s="25"/>
    </row>
    <row r="895" spans="1:1">
      <c r="A895" s="25"/>
    </row>
    <row r="896" spans="1:1">
      <c r="A896" s="25"/>
    </row>
    <row r="897" spans="1:1">
      <c r="A897" s="25"/>
    </row>
    <row r="898" spans="1:1">
      <c r="A898" s="25"/>
    </row>
    <row r="899" spans="1:1">
      <c r="A899" s="25"/>
    </row>
    <row r="900" spans="1:1">
      <c r="A900" s="25"/>
    </row>
    <row r="901" spans="1:1">
      <c r="A901" s="25"/>
    </row>
    <row r="902" spans="1:1">
      <c r="A902" s="25"/>
    </row>
    <row r="903" spans="1:1">
      <c r="A903" s="25"/>
    </row>
    <row r="904" spans="1:1">
      <c r="A904" s="25"/>
    </row>
    <row r="905" spans="1:1">
      <c r="A905" s="25"/>
    </row>
    <row r="906" spans="1:1">
      <c r="A906" s="25"/>
    </row>
    <row r="907" spans="1:1">
      <c r="A907" s="25"/>
    </row>
    <row r="908" spans="1:1">
      <c r="A908" s="25"/>
    </row>
    <row r="909" spans="1:1">
      <c r="A909" s="25"/>
    </row>
    <row r="910" spans="1:1">
      <c r="A910" s="25"/>
    </row>
    <row r="911" spans="1:1">
      <c r="A911" s="25"/>
    </row>
    <row r="912" spans="1:1">
      <c r="A912" s="25"/>
    </row>
    <row r="913" spans="1:1">
      <c r="A913" s="25"/>
    </row>
    <row r="914" spans="1:1">
      <c r="A914" s="25"/>
    </row>
    <row r="915" spans="1:1">
      <c r="A915" s="25"/>
    </row>
    <row r="916" spans="1:1">
      <c r="A916" s="25"/>
    </row>
    <row r="917" spans="1:1">
      <c r="A917" s="25"/>
    </row>
    <row r="918" spans="1:1">
      <c r="A918" s="25"/>
    </row>
    <row r="919" spans="1:1">
      <c r="A919" s="25"/>
    </row>
    <row r="920" spans="1:1">
      <c r="A920" s="25"/>
    </row>
    <row r="921" spans="1:1">
      <c r="A921" s="25"/>
    </row>
    <row r="922" spans="1:1">
      <c r="A922" s="25"/>
    </row>
    <row r="923" spans="1:1">
      <c r="A923" s="25"/>
    </row>
    <row r="924" spans="1:1">
      <c r="A924" s="25"/>
    </row>
    <row r="925" spans="1:1">
      <c r="A925" s="25"/>
    </row>
    <row r="926" spans="1:1">
      <c r="A926" s="25"/>
    </row>
    <row r="927" spans="1:1">
      <c r="A927" s="25"/>
    </row>
    <row r="928" spans="1:1">
      <c r="A928" s="25"/>
    </row>
    <row r="929" spans="1:1">
      <c r="A929" s="25"/>
    </row>
    <row r="930" spans="1:1">
      <c r="A930" s="25"/>
    </row>
    <row r="931" spans="1:1">
      <c r="A931" s="25"/>
    </row>
    <row r="932" spans="1:1">
      <c r="A932" s="25"/>
    </row>
    <row r="933" spans="1:1">
      <c r="A933" s="25"/>
    </row>
    <row r="934" spans="1:1">
      <c r="A934" s="25"/>
    </row>
    <row r="935" spans="1:1">
      <c r="A935" s="25"/>
    </row>
    <row r="936" spans="1:1">
      <c r="A936" s="25"/>
    </row>
    <row r="937" spans="1:1">
      <c r="A937" s="25"/>
    </row>
    <row r="938" spans="1:1">
      <c r="A938" s="25"/>
    </row>
    <row r="939" spans="1:1">
      <c r="A939" s="25"/>
    </row>
    <row r="940" spans="1:1">
      <c r="A940" s="25"/>
    </row>
    <row r="941" spans="1:1">
      <c r="A941" s="25"/>
    </row>
    <row r="942" spans="1:1">
      <c r="A942" s="25"/>
    </row>
    <row r="943" spans="1:1">
      <c r="A943" s="25"/>
    </row>
    <row r="944" spans="1:1">
      <c r="A944" s="25"/>
    </row>
    <row r="945" spans="1:1">
      <c r="A945" s="25"/>
    </row>
    <row r="946" spans="1:1">
      <c r="A946" s="25"/>
    </row>
    <row r="947" spans="1:1">
      <c r="A947" s="25"/>
    </row>
    <row r="948" spans="1:1">
      <c r="A948" s="25"/>
    </row>
    <row r="949" spans="1:1">
      <c r="A949" s="25"/>
    </row>
    <row r="950" spans="1:1">
      <c r="A950" s="25"/>
    </row>
    <row r="951" spans="1:1">
      <c r="A951" s="25"/>
    </row>
    <row r="952" spans="1:1">
      <c r="A952" s="25"/>
    </row>
    <row r="953" spans="1:1">
      <c r="A953" s="25"/>
    </row>
    <row r="954" spans="1:1">
      <c r="A954" s="25"/>
    </row>
    <row r="955" spans="1:1">
      <c r="A955" s="25"/>
    </row>
    <row r="956" spans="1:1">
      <c r="A956" s="25"/>
    </row>
    <row r="957" spans="1:1">
      <c r="A957" s="25"/>
    </row>
    <row r="958" spans="1:1">
      <c r="A958" s="25"/>
    </row>
    <row r="959" spans="1:1">
      <c r="A959" s="25"/>
    </row>
    <row r="960" spans="1:1">
      <c r="A960" s="25"/>
    </row>
    <row r="961" spans="1:1">
      <c r="A961" s="25"/>
    </row>
    <row r="962" spans="1:1">
      <c r="A962" s="25"/>
    </row>
    <row r="963" spans="1:1">
      <c r="A963" s="25"/>
    </row>
    <row r="964" spans="1:1">
      <c r="A964" s="25"/>
    </row>
    <row r="965" spans="1:1">
      <c r="A965" s="25"/>
    </row>
    <row r="966" spans="1:1">
      <c r="A966" s="25"/>
    </row>
    <row r="967" spans="1:1">
      <c r="A967" s="25"/>
    </row>
    <row r="968" spans="1:1">
      <c r="A968" s="25"/>
    </row>
    <row r="969" spans="1:1">
      <c r="A969" s="25"/>
    </row>
    <row r="970" spans="1:1">
      <c r="A970" s="25"/>
    </row>
    <row r="971" spans="1:1">
      <c r="A971" s="25"/>
    </row>
    <row r="972" spans="1:1">
      <c r="A972" s="25"/>
    </row>
    <row r="973" spans="1:1">
      <c r="A973" s="25"/>
    </row>
    <row r="974" spans="1:1">
      <c r="A974" s="25"/>
    </row>
    <row r="975" spans="1:1">
      <c r="A975" s="25"/>
    </row>
    <row r="976" spans="1:1">
      <c r="A976" s="25"/>
    </row>
    <row r="977" spans="1:1">
      <c r="A977" s="25"/>
    </row>
    <row r="978" spans="1:1">
      <c r="A978" s="25"/>
    </row>
    <row r="979" spans="1:1">
      <c r="A979" s="25"/>
    </row>
    <row r="980" spans="1:1">
      <c r="A980" s="25"/>
    </row>
    <row r="981" spans="1:1">
      <c r="A981" s="25"/>
    </row>
    <row r="982" spans="1:1">
      <c r="A982" s="25"/>
    </row>
    <row r="983" spans="1:1">
      <c r="A983" s="25"/>
    </row>
    <row r="984" spans="1:1">
      <c r="A984" s="25"/>
    </row>
    <row r="985" spans="1:1">
      <c r="A985" s="25"/>
    </row>
    <row r="986" spans="1:1">
      <c r="A986" s="25"/>
    </row>
    <row r="987" spans="1:1">
      <c r="A987" s="25"/>
    </row>
    <row r="988" spans="1:1">
      <c r="A988" s="25"/>
    </row>
    <row r="989" spans="1:1">
      <c r="A989" s="25"/>
    </row>
    <row r="990" spans="1:1">
      <c r="A990" s="25"/>
    </row>
    <row r="991" spans="1:1">
      <c r="A991" s="25"/>
    </row>
    <row r="992" spans="1:1">
      <c r="A992" s="25"/>
    </row>
    <row r="993" spans="1:1">
      <c r="A993" s="25"/>
    </row>
    <row r="994" spans="1:1">
      <c r="A994" s="25"/>
    </row>
    <row r="995" spans="1:1">
      <c r="A995" s="25"/>
    </row>
    <row r="996" spans="1:1">
      <c r="A996" s="25"/>
    </row>
    <row r="997" spans="1:1">
      <c r="A997" s="25"/>
    </row>
    <row r="998" spans="1:1">
      <c r="A998" s="25"/>
    </row>
    <row r="999" spans="1:1">
      <c r="A999" s="25"/>
    </row>
    <row r="1000" spans="1:1">
      <c r="A1000" s="25"/>
    </row>
    <row r="1001" spans="1:1">
      <c r="A1001" s="25"/>
    </row>
    <row r="1002" spans="1:1">
      <c r="A1002" s="25"/>
    </row>
    <row r="1003" spans="1:1">
      <c r="A1003" s="25"/>
    </row>
  </sheetData>
  <mergeCells count="4">
    <mergeCell ref="J1:N1"/>
    <mergeCell ref="A1:H1"/>
    <mergeCell ref="G34:H34"/>
    <mergeCell ref="G35:H35"/>
  </mergeCells>
  <phoneticPr fontId="5" type="noConversion"/>
  <dataValidations count="1">
    <dataValidation type="list" allowBlank="1" showErrorMessage="1" sqref="J2" xr:uid="{00000000-0002-0000-0000-000000000000}">
      <formula1>"江政隆,吳献堂,林權松"</formula1>
    </dataValidation>
  </dataValidations>
  <pageMargins left="0" right="0" top="0" bottom="0" header="0" footer="0"/>
  <pageSetup paperSize="9" scale="75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3"/>
  <sheetViews>
    <sheetView view="pageBreakPreview" zoomScale="55" zoomScaleNormal="77" workbookViewId="0">
      <pane ySplit="2" topLeftCell="A5" activePane="bottomLeft" state="frozen"/>
      <selection activeCell="D1" sqref="D1"/>
      <selection pane="bottomLeft" activeCell="G30" sqref="G30"/>
    </sheetView>
  </sheetViews>
  <sheetFormatPr defaultColWidth="12.33203125" defaultRowHeight="15.6"/>
  <cols>
    <col min="1" max="1" width="13.6640625" style="13" bestFit="1" customWidth="1"/>
    <col min="2" max="3" width="11.33203125" style="13" bestFit="1" customWidth="1"/>
    <col min="4" max="4" width="11.33203125" style="16" bestFit="1" customWidth="1"/>
    <col min="5" max="5" width="11.33203125" style="13" bestFit="1" customWidth="1"/>
    <col min="6" max="6" width="21.6640625" style="13" customWidth="1"/>
    <col min="7" max="7" width="16.33203125" style="13" bestFit="1" customWidth="1"/>
    <col min="8" max="8" width="14.77734375" style="13" bestFit="1" customWidth="1"/>
    <col min="9" max="10" width="12.33203125" style="13" bestFit="1" customWidth="1"/>
    <col min="11" max="16384" width="12.33203125" style="13"/>
  </cols>
  <sheetData>
    <row r="1" spans="1:26" s="11" customFormat="1" ht="23.4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26">
      <c r="A2" s="80" t="s">
        <v>29</v>
      </c>
      <c r="B2" s="80" t="s">
        <v>30</v>
      </c>
      <c r="C2" s="80" t="s">
        <v>31</v>
      </c>
      <c r="D2" s="80" t="s">
        <v>32</v>
      </c>
      <c r="E2" s="80" t="s">
        <v>33</v>
      </c>
      <c r="F2" s="80" t="s">
        <v>34</v>
      </c>
      <c r="G2" s="107" t="s">
        <v>35</v>
      </c>
      <c r="H2" s="107"/>
      <c r="I2" s="107"/>
      <c r="J2" s="107"/>
      <c r="K2" s="107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4">
        <v>45413</v>
      </c>
      <c r="B3" s="15">
        <v>795</v>
      </c>
      <c r="C3" s="15"/>
      <c r="E3" s="15">
        <f t="shared" ref="E3:E33" si="0">SUM(B3:D3)</f>
        <v>795</v>
      </c>
      <c r="F3" s="17" t="s">
        <v>111</v>
      </c>
      <c r="G3" s="18"/>
      <c r="H3" s="18"/>
      <c r="I3" s="18"/>
      <c r="J3" s="18"/>
      <c r="K3" s="19"/>
    </row>
    <row r="4" spans="1:26">
      <c r="A4" s="14">
        <v>45414</v>
      </c>
      <c r="B4" s="15"/>
      <c r="C4" s="15"/>
      <c r="E4" s="15">
        <f t="shared" si="0"/>
        <v>0</v>
      </c>
      <c r="F4" s="17"/>
      <c r="G4" s="18"/>
      <c r="H4" s="18"/>
      <c r="I4" s="18"/>
      <c r="J4" s="18"/>
      <c r="K4" s="19"/>
    </row>
    <row r="5" spans="1:26" ht="31.2">
      <c r="A5" s="14">
        <v>45415</v>
      </c>
      <c r="B5" s="15">
        <v>2795</v>
      </c>
      <c r="C5" s="15"/>
      <c r="E5" s="15">
        <f>SUM(B5:D5)</f>
        <v>2795</v>
      </c>
      <c r="F5" s="20" t="s">
        <v>112</v>
      </c>
      <c r="G5" s="21" t="s">
        <v>113</v>
      </c>
      <c r="H5" s="18"/>
      <c r="I5" s="18"/>
      <c r="J5" s="18"/>
      <c r="K5" s="19"/>
    </row>
    <row r="6" spans="1:26">
      <c r="A6" s="14">
        <v>45416</v>
      </c>
      <c r="B6" s="15">
        <v>100</v>
      </c>
      <c r="C6" s="15"/>
      <c r="E6" s="15">
        <f t="shared" si="0"/>
        <v>100</v>
      </c>
      <c r="F6" s="17" t="s">
        <v>114</v>
      </c>
      <c r="G6" s="18"/>
      <c r="H6" s="18"/>
      <c r="I6" s="18"/>
      <c r="J6" s="18"/>
      <c r="K6" s="19"/>
    </row>
    <row r="7" spans="1:26">
      <c r="A7" s="14">
        <v>45417</v>
      </c>
      <c r="B7" s="15"/>
      <c r="C7" s="15"/>
      <c r="E7" s="15">
        <f t="shared" si="0"/>
        <v>0</v>
      </c>
      <c r="F7" s="17"/>
      <c r="G7" s="18"/>
      <c r="H7" s="18"/>
      <c r="I7" s="18"/>
      <c r="J7" s="18"/>
      <c r="K7" s="19"/>
    </row>
    <row r="8" spans="1:26">
      <c r="A8" s="14">
        <v>45418</v>
      </c>
      <c r="B8" s="15">
        <v>1060</v>
      </c>
      <c r="C8" s="15"/>
      <c r="E8" s="15">
        <f t="shared" si="0"/>
        <v>1060</v>
      </c>
      <c r="F8" s="17" t="s">
        <v>115</v>
      </c>
      <c r="G8" s="18"/>
      <c r="H8" s="18"/>
      <c r="I8" s="18"/>
      <c r="J8" s="18"/>
      <c r="K8" s="19"/>
    </row>
    <row r="9" spans="1:26" ht="78">
      <c r="A9" s="14">
        <v>45419</v>
      </c>
      <c r="B9" s="15">
        <v>764</v>
      </c>
      <c r="C9" s="15">
        <v>1696</v>
      </c>
      <c r="E9" s="15">
        <f t="shared" si="0"/>
        <v>2460</v>
      </c>
      <c r="F9" s="20" t="s">
        <v>116</v>
      </c>
      <c r="G9" s="22" t="s">
        <v>117</v>
      </c>
      <c r="H9" s="21" t="s">
        <v>118</v>
      </c>
      <c r="I9" s="23" t="s">
        <v>119</v>
      </c>
      <c r="J9" s="21" t="s">
        <v>120</v>
      </c>
      <c r="K9" s="21" t="s">
        <v>121</v>
      </c>
    </row>
    <row r="10" spans="1:26" ht="46.8">
      <c r="A10" s="14">
        <v>45420</v>
      </c>
      <c r="B10" s="15">
        <v>7895</v>
      </c>
      <c r="C10" s="15"/>
      <c r="E10" s="15">
        <f t="shared" si="0"/>
        <v>7895</v>
      </c>
      <c r="F10" s="20" t="s">
        <v>122</v>
      </c>
      <c r="G10" s="21" t="s">
        <v>123</v>
      </c>
      <c r="H10" s="21" t="s">
        <v>124</v>
      </c>
      <c r="I10" s="18"/>
      <c r="J10" s="18"/>
      <c r="K10" s="19"/>
    </row>
    <row r="11" spans="1:26" ht="31.2">
      <c r="A11" s="14">
        <v>45421</v>
      </c>
      <c r="B11" s="15">
        <v>10980</v>
      </c>
      <c r="C11" s="15"/>
      <c r="D11" s="16">
        <v>15</v>
      </c>
      <c r="E11" s="15">
        <f t="shared" si="0"/>
        <v>10995</v>
      </c>
      <c r="F11" s="20" t="s">
        <v>125</v>
      </c>
      <c r="G11" s="22" t="s">
        <v>126</v>
      </c>
      <c r="H11" s="18"/>
      <c r="I11" s="18"/>
      <c r="J11" s="18"/>
      <c r="K11" s="19"/>
    </row>
    <row r="12" spans="1:26">
      <c r="A12" s="14">
        <v>45422</v>
      </c>
      <c r="B12" s="15">
        <v>795</v>
      </c>
      <c r="C12" s="15"/>
      <c r="E12" s="15">
        <f t="shared" si="0"/>
        <v>795</v>
      </c>
      <c r="F12" s="17" t="s">
        <v>111</v>
      </c>
      <c r="G12" s="22" t="s">
        <v>127</v>
      </c>
      <c r="H12" s="18"/>
      <c r="I12" s="18"/>
      <c r="J12" s="18"/>
      <c r="K12" s="19"/>
    </row>
    <row r="13" spans="1:26">
      <c r="A13" s="14">
        <v>45423</v>
      </c>
      <c r="B13" s="15">
        <v>500</v>
      </c>
      <c r="C13" s="15"/>
      <c r="E13" s="15">
        <f t="shared" si="0"/>
        <v>500</v>
      </c>
      <c r="F13" s="17" t="s">
        <v>128</v>
      </c>
      <c r="G13" s="18"/>
      <c r="H13" s="18"/>
      <c r="I13" s="18"/>
      <c r="J13" s="18"/>
      <c r="K13" s="19"/>
    </row>
    <row r="14" spans="1:26">
      <c r="A14" s="14">
        <v>45424</v>
      </c>
      <c r="B14" s="15"/>
      <c r="C14" s="15"/>
      <c r="E14" s="15">
        <f t="shared" si="0"/>
        <v>0</v>
      </c>
      <c r="F14" s="17"/>
      <c r="G14" s="18"/>
      <c r="H14" s="18"/>
      <c r="I14" s="18"/>
      <c r="J14" s="18"/>
      <c r="K14" s="19"/>
    </row>
    <row r="15" spans="1:26" ht="46.8">
      <c r="A15" s="14">
        <v>45425</v>
      </c>
      <c r="B15" s="15">
        <v>530</v>
      </c>
      <c r="C15" s="15"/>
      <c r="D15" s="16">
        <v>3630</v>
      </c>
      <c r="E15" s="15">
        <f t="shared" si="0"/>
        <v>4160</v>
      </c>
      <c r="F15" s="20" t="s">
        <v>129</v>
      </c>
      <c r="G15" s="22" t="s">
        <v>130</v>
      </c>
      <c r="H15" s="22" t="s">
        <v>131</v>
      </c>
      <c r="I15" s="18"/>
      <c r="J15" s="18"/>
      <c r="K15" s="19"/>
    </row>
    <row r="16" spans="1:26">
      <c r="A16" s="14">
        <v>45426</v>
      </c>
      <c r="B16" s="15"/>
      <c r="C16" s="15">
        <v>790</v>
      </c>
      <c r="E16" s="15">
        <f t="shared" si="0"/>
        <v>790</v>
      </c>
      <c r="F16" s="17" t="s">
        <v>132</v>
      </c>
      <c r="G16" s="22" t="s">
        <v>133</v>
      </c>
      <c r="H16" s="18"/>
      <c r="I16" s="18"/>
      <c r="J16" s="18"/>
      <c r="K16" s="19"/>
    </row>
    <row r="17" spans="1:11">
      <c r="A17" s="14">
        <v>45427</v>
      </c>
      <c r="B17" s="15">
        <v>530</v>
      </c>
      <c r="C17" s="15">
        <v>60000</v>
      </c>
      <c r="D17" s="16">
        <v>30</v>
      </c>
      <c r="E17" s="15">
        <f t="shared" si="0"/>
        <v>60560</v>
      </c>
      <c r="F17" s="13" t="s">
        <v>134</v>
      </c>
      <c r="G17" s="22" t="s">
        <v>135</v>
      </c>
      <c r="H17" s="24" t="s">
        <v>136</v>
      </c>
      <c r="I17" s="24" t="s">
        <v>137</v>
      </c>
      <c r="J17" s="18"/>
      <c r="K17" s="19"/>
    </row>
    <row r="18" spans="1:11">
      <c r="A18" s="14">
        <v>45428</v>
      </c>
      <c r="B18" s="15"/>
      <c r="C18" s="15"/>
      <c r="E18" s="15">
        <f t="shared" si="0"/>
        <v>0</v>
      </c>
      <c r="G18" s="19"/>
      <c r="H18" s="19"/>
      <c r="I18" s="18"/>
      <c r="J18" s="18"/>
      <c r="K18" s="19"/>
    </row>
    <row r="19" spans="1:11" ht="46.8">
      <c r="A19" s="14">
        <v>45429</v>
      </c>
      <c r="B19" s="15">
        <v>530</v>
      </c>
      <c r="C19" s="15"/>
      <c r="D19" s="16">
        <v>3700</v>
      </c>
      <c r="E19" s="15">
        <f t="shared" si="0"/>
        <v>4230</v>
      </c>
      <c r="F19" s="20" t="s">
        <v>138</v>
      </c>
      <c r="G19" s="22" t="s">
        <v>139</v>
      </c>
      <c r="I19" s="18"/>
      <c r="J19" s="18"/>
      <c r="K19" s="19"/>
    </row>
    <row r="20" spans="1:11">
      <c r="A20" s="14">
        <v>45430</v>
      </c>
      <c r="B20" s="15"/>
      <c r="C20" s="15"/>
      <c r="E20" s="15">
        <f t="shared" si="0"/>
        <v>0</v>
      </c>
      <c r="F20" s="17"/>
      <c r="G20" s="18"/>
      <c r="H20" s="18"/>
      <c r="I20" s="18"/>
      <c r="J20" s="18"/>
      <c r="K20" s="19"/>
    </row>
    <row r="21" spans="1:11">
      <c r="A21" s="14">
        <v>45431</v>
      </c>
      <c r="B21" s="15"/>
      <c r="C21" s="15"/>
      <c r="E21" s="15">
        <f t="shared" si="0"/>
        <v>0</v>
      </c>
      <c r="F21" s="17"/>
      <c r="G21" s="18"/>
      <c r="H21" s="18"/>
      <c r="I21" s="18"/>
      <c r="J21" s="18"/>
      <c r="K21" s="19"/>
    </row>
    <row r="22" spans="1:11">
      <c r="A22" s="14">
        <v>45432</v>
      </c>
      <c r="B22" s="15">
        <v>530</v>
      </c>
      <c r="C22" s="15"/>
      <c r="E22" s="15">
        <f t="shared" si="0"/>
        <v>530</v>
      </c>
      <c r="F22" s="79" t="s">
        <v>140</v>
      </c>
      <c r="G22" s="71" t="s">
        <v>141</v>
      </c>
      <c r="H22" s="18"/>
      <c r="I22" s="18"/>
      <c r="J22" s="18"/>
      <c r="K22" s="19"/>
    </row>
    <row r="23" spans="1:11">
      <c r="A23" s="14">
        <v>45433</v>
      </c>
      <c r="B23" s="15"/>
      <c r="C23" s="15"/>
      <c r="E23" s="15">
        <f t="shared" si="0"/>
        <v>0</v>
      </c>
      <c r="F23"/>
      <c r="G23" s="18"/>
      <c r="H23" s="18"/>
      <c r="I23" s="18"/>
      <c r="J23" s="18"/>
      <c r="K23" s="19"/>
    </row>
    <row r="24" spans="1:11" ht="62.4">
      <c r="A24" s="14">
        <v>45434</v>
      </c>
      <c r="B24" s="15">
        <v>5530</v>
      </c>
      <c r="C24" s="15">
        <v>1420</v>
      </c>
      <c r="E24" s="15">
        <f t="shared" si="0"/>
        <v>6950</v>
      </c>
      <c r="F24" s="20" t="s">
        <v>142</v>
      </c>
      <c r="G24" s="22" t="s">
        <v>143</v>
      </c>
      <c r="H24" s="22" t="s">
        <v>144</v>
      </c>
      <c r="I24" s="22" t="s">
        <v>145</v>
      </c>
      <c r="J24" s="18"/>
      <c r="K24" s="19"/>
    </row>
    <row r="25" spans="1:11">
      <c r="A25" s="14">
        <v>45435</v>
      </c>
      <c r="B25" s="15"/>
      <c r="C25" s="15"/>
      <c r="E25" s="15">
        <f t="shared" si="0"/>
        <v>0</v>
      </c>
      <c r="F25" s="17"/>
      <c r="G25" s="18"/>
      <c r="H25" s="18"/>
      <c r="I25" s="18"/>
      <c r="J25" s="18"/>
      <c r="K25" s="19"/>
    </row>
    <row r="26" spans="1:11">
      <c r="A26" s="14">
        <v>45436</v>
      </c>
      <c r="B26" s="15"/>
      <c r="C26" s="15"/>
      <c r="E26" s="15">
        <f t="shared" si="0"/>
        <v>0</v>
      </c>
      <c r="F26" s="17"/>
      <c r="G26" s="18"/>
      <c r="H26" s="18"/>
      <c r="I26" s="18"/>
      <c r="J26" s="18"/>
      <c r="K26" s="19"/>
    </row>
    <row r="27" spans="1:11">
      <c r="A27" s="14">
        <v>45437</v>
      </c>
      <c r="B27" s="15"/>
      <c r="C27" s="15"/>
      <c r="E27" s="15">
        <f t="shared" si="0"/>
        <v>0</v>
      </c>
      <c r="F27" s="17"/>
      <c r="G27" s="18"/>
      <c r="H27" s="18"/>
      <c r="I27" s="18"/>
      <c r="J27" s="18"/>
      <c r="K27" s="19"/>
    </row>
    <row r="28" spans="1:11">
      <c r="A28" s="14">
        <v>45438</v>
      </c>
      <c r="B28" s="15"/>
      <c r="C28" s="15"/>
      <c r="E28" s="15">
        <f t="shared" si="0"/>
        <v>0</v>
      </c>
      <c r="F28" s="17"/>
      <c r="G28" s="18"/>
      <c r="H28" s="18"/>
      <c r="I28" s="18"/>
      <c r="J28" s="18"/>
      <c r="K28" s="19"/>
    </row>
    <row r="29" spans="1:11">
      <c r="A29" s="14">
        <v>45439</v>
      </c>
      <c r="B29" s="15">
        <v>530</v>
      </c>
      <c r="C29" s="15"/>
      <c r="E29" s="15">
        <f t="shared" si="0"/>
        <v>530</v>
      </c>
      <c r="F29" s="17" t="s">
        <v>40</v>
      </c>
      <c r="G29" s="22" t="s">
        <v>146</v>
      </c>
      <c r="H29" s="18"/>
      <c r="I29" s="18"/>
      <c r="J29" s="18"/>
      <c r="K29" s="19"/>
    </row>
    <row r="30" spans="1:11" ht="31.2">
      <c r="A30" s="14">
        <v>45440</v>
      </c>
      <c r="B30" s="15">
        <v>10855</v>
      </c>
      <c r="C30" s="15"/>
      <c r="D30" s="16">
        <v>15</v>
      </c>
      <c r="E30" s="15">
        <f t="shared" si="0"/>
        <v>10870</v>
      </c>
      <c r="F30" s="20" t="s">
        <v>147</v>
      </c>
      <c r="G30" s="71" t="s">
        <v>148</v>
      </c>
      <c r="H30" s="18"/>
      <c r="I30" s="18"/>
      <c r="J30" s="18"/>
      <c r="K30" s="19"/>
    </row>
    <row r="31" spans="1:11">
      <c r="A31" s="14">
        <v>45441</v>
      </c>
      <c r="B31" s="15"/>
      <c r="C31" s="15"/>
      <c r="E31" s="15">
        <f t="shared" si="0"/>
        <v>0</v>
      </c>
      <c r="F31" s="17"/>
      <c r="G31" s="18"/>
      <c r="H31" s="18"/>
      <c r="I31" s="18"/>
      <c r="J31" s="18"/>
      <c r="K31" s="19"/>
    </row>
    <row r="32" spans="1:11">
      <c r="A32" s="14">
        <v>45442</v>
      </c>
      <c r="B32" s="15"/>
      <c r="C32" s="15"/>
      <c r="E32" s="15">
        <f t="shared" si="0"/>
        <v>0</v>
      </c>
      <c r="F32" s="17"/>
      <c r="G32" s="18"/>
      <c r="H32" s="18"/>
      <c r="I32" s="18"/>
      <c r="J32" s="18"/>
      <c r="K32" s="19"/>
    </row>
    <row r="33" spans="1:11" ht="31.2">
      <c r="A33" s="14">
        <v>45443</v>
      </c>
      <c r="B33" s="15">
        <v>1294</v>
      </c>
      <c r="C33" s="15"/>
      <c r="E33" s="15">
        <f t="shared" si="0"/>
        <v>1294</v>
      </c>
      <c r="F33" s="20" t="s">
        <v>149</v>
      </c>
      <c r="G33" s="22" t="s">
        <v>150</v>
      </c>
      <c r="H33" s="22" t="s">
        <v>151</v>
      </c>
      <c r="I33" s="18"/>
      <c r="J33" s="18"/>
      <c r="K33" s="19"/>
    </row>
    <row r="34" spans="1:11" ht="78">
      <c r="A34" s="14" t="s">
        <v>58</v>
      </c>
      <c r="B34" s="15">
        <f>500+625+820</f>
        <v>1945</v>
      </c>
      <c r="C34" s="15"/>
      <c r="E34" s="15"/>
      <c r="F34" s="20" t="s">
        <v>152</v>
      </c>
      <c r="G34" s="22" t="s">
        <v>153</v>
      </c>
      <c r="H34" s="72" t="s">
        <v>154</v>
      </c>
      <c r="I34" s="22" t="s">
        <v>155</v>
      </c>
      <c r="J34" s="18"/>
      <c r="K34" s="19"/>
    </row>
    <row r="35" spans="1:11">
      <c r="A35" s="12" t="s">
        <v>27</v>
      </c>
      <c r="B35" s="15">
        <f>SUM(B3:B33)</f>
        <v>46013</v>
      </c>
      <c r="C35" s="15">
        <f>SUM(C3:C33)</f>
        <v>63906</v>
      </c>
      <c r="D35" s="15">
        <f>SUM(D3:D33)</f>
        <v>7390</v>
      </c>
      <c r="E35" s="15">
        <f>SUM(E3:E33)</f>
        <v>117309</v>
      </c>
      <c r="F35" s="17"/>
      <c r="G35" s="18"/>
      <c r="H35" s="18"/>
      <c r="I35" s="18"/>
      <c r="J35" s="18"/>
      <c r="K35" s="19"/>
    </row>
    <row r="36" spans="1:11">
      <c r="A36" s="25"/>
      <c r="B36" s="15"/>
      <c r="C36" s="15"/>
      <c r="E36" s="15"/>
      <c r="F36" s="17"/>
      <c r="G36" s="18"/>
      <c r="H36" s="18"/>
      <c r="I36" s="18"/>
      <c r="J36" s="18"/>
      <c r="K36" s="19"/>
    </row>
    <row r="37" spans="1:11">
      <c r="A37" s="25"/>
      <c r="B37" s="15"/>
      <c r="C37" s="15"/>
      <c r="E37" s="15"/>
      <c r="F37" s="17"/>
      <c r="G37" s="18"/>
      <c r="H37" s="18"/>
      <c r="I37" s="18"/>
      <c r="J37" s="18"/>
      <c r="K37" s="19"/>
    </row>
    <row r="38" spans="1:11">
      <c r="A38" s="25"/>
      <c r="B38" s="15"/>
      <c r="C38" s="15"/>
      <c r="E38" s="15"/>
      <c r="F38" s="17"/>
      <c r="G38" s="18"/>
      <c r="H38" s="18"/>
      <c r="I38" s="18"/>
      <c r="J38" s="18"/>
      <c r="K38" s="19"/>
    </row>
    <row r="39" spans="1:11">
      <c r="A39" s="25"/>
      <c r="B39" s="15"/>
      <c r="C39" s="15"/>
      <c r="E39" s="15"/>
      <c r="F39" s="17"/>
      <c r="G39" s="18"/>
      <c r="H39" s="18"/>
      <c r="I39" s="18"/>
      <c r="J39" s="18"/>
      <c r="K39" s="19"/>
    </row>
    <row r="40" spans="1:11">
      <c r="A40" s="25"/>
      <c r="B40" s="15"/>
      <c r="C40" s="15"/>
      <c r="E40" s="15"/>
      <c r="F40" s="17"/>
      <c r="G40" s="18"/>
      <c r="H40" s="18"/>
      <c r="I40" s="18"/>
      <c r="J40" s="18"/>
      <c r="K40" s="19"/>
    </row>
    <row r="41" spans="1:11">
      <c r="A41" s="25"/>
      <c r="B41" s="15"/>
      <c r="C41" s="15"/>
      <c r="E41" s="15"/>
      <c r="F41" s="17"/>
      <c r="G41" s="18"/>
      <c r="H41" s="18"/>
      <c r="I41" s="18"/>
      <c r="J41" s="18"/>
      <c r="K41" s="19"/>
    </row>
    <row r="42" spans="1:11">
      <c r="A42" s="25"/>
      <c r="B42" s="15"/>
      <c r="C42" s="15"/>
      <c r="E42" s="15"/>
      <c r="F42" s="17"/>
      <c r="G42" s="18"/>
      <c r="H42" s="18"/>
      <c r="I42" s="18"/>
      <c r="J42" s="18"/>
      <c r="K42" s="19"/>
    </row>
    <row r="43" spans="1:11">
      <c r="A43" s="25"/>
      <c r="B43" s="15"/>
      <c r="C43" s="15"/>
      <c r="E43" s="15"/>
      <c r="F43" s="17"/>
      <c r="G43" s="18"/>
      <c r="H43" s="18"/>
      <c r="I43" s="18"/>
      <c r="J43" s="18"/>
      <c r="K43" s="19"/>
    </row>
    <row r="44" spans="1:11">
      <c r="A44" s="25"/>
      <c r="B44" s="15"/>
      <c r="C44" s="15"/>
      <c r="E44" s="15"/>
      <c r="F44" s="17"/>
      <c r="G44" s="18"/>
      <c r="H44" s="18"/>
      <c r="I44" s="18"/>
      <c r="J44" s="18"/>
      <c r="K44" s="19"/>
    </row>
    <row r="45" spans="1:11">
      <c r="A45" s="25"/>
      <c r="B45" s="15"/>
      <c r="C45" s="15"/>
      <c r="E45" s="15"/>
      <c r="F45" s="17"/>
      <c r="G45" s="18"/>
      <c r="H45" s="18"/>
      <c r="I45" s="18"/>
      <c r="J45" s="18"/>
      <c r="K45" s="19"/>
    </row>
    <row r="46" spans="1:11">
      <c r="A46" s="25"/>
      <c r="B46" s="15"/>
      <c r="C46" s="15"/>
      <c r="E46" s="15"/>
      <c r="F46" s="17"/>
      <c r="G46" s="18"/>
      <c r="H46" s="18"/>
      <c r="I46" s="18"/>
      <c r="J46" s="18"/>
      <c r="K46" s="19"/>
    </row>
    <row r="47" spans="1:11">
      <c r="A47" s="25"/>
      <c r="B47" s="15"/>
      <c r="C47" s="15"/>
      <c r="E47" s="15"/>
      <c r="F47" s="17"/>
      <c r="G47" s="18"/>
      <c r="H47" s="18"/>
      <c r="I47" s="18"/>
      <c r="J47" s="18"/>
      <c r="K47" s="19"/>
    </row>
    <row r="48" spans="1:11">
      <c r="A48" s="25"/>
      <c r="B48" s="15"/>
      <c r="C48" s="15"/>
      <c r="E48" s="15"/>
      <c r="F48" s="17"/>
      <c r="G48" s="18"/>
      <c r="H48" s="18"/>
      <c r="I48" s="18"/>
      <c r="J48" s="18"/>
      <c r="K48" s="19"/>
    </row>
    <row r="49" spans="1:11">
      <c r="A49" s="25"/>
      <c r="B49" s="15"/>
      <c r="C49" s="15"/>
      <c r="E49" s="15"/>
      <c r="F49" s="17"/>
      <c r="G49" s="18"/>
      <c r="H49" s="18"/>
      <c r="I49" s="18"/>
      <c r="J49" s="18"/>
      <c r="K49" s="19"/>
    </row>
    <row r="50" spans="1:11">
      <c r="A50" s="25"/>
      <c r="B50" s="15"/>
      <c r="C50" s="15"/>
      <c r="E50" s="15"/>
      <c r="F50" s="17"/>
      <c r="G50" s="18"/>
      <c r="H50" s="18"/>
      <c r="I50" s="18"/>
      <c r="J50" s="18"/>
      <c r="K50" s="19"/>
    </row>
    <row r="51" spans="1:11">
      <c r="A51" s="25"/>
      <c r="B51" s="15"/>
      <c r="C51" s="15"/>
      <c r="E51" s="15"/>
      <c r="F51" s="17"/>
      <c r="G51" s="18"/>
      <c r="H51" s="18"/>
      <c r="I51" s="18"/>
      <c r="J51" s="18"/>
      <c r="K51" s="19"/>
    </row>
    <row r="52" spans="1:11">
      <c r="A52" s="25"/>
      <c r="B52" s="15"/>
      <c r="C52" s="15"/>
      <c r="E52" s="15"/>
      <c r="F52" s="17"/>
      <c r="G52" s="18"/>
      <c r="H52" s="18"/>
      <c r="I52" s="18"/>
      <c r="J52" s="18"/>
      <c r="K52" s="19"/>
    </row>
    <row r="53" spans="1:11">
      <c r="A53" s="25"/>
      <c r="B53" s="15"/>
      <c r="C53" s="15"/>
      <c r="E53" s="15"/>
      <c r="F53" s="17"/>
      <c r="G53" s="18"/>
      <c r="H53" s="18"/>
      <c r="I53" s="18"/>
      <c r="J53" s="18"/>
      <c r="K53" s="19"/>
    </row>
    <row r="54" spans="1:11">
      <c r="A54" s="25"/>
      <c r="B54" s="15"/>
      <c r="C54" s="15"/>
      <c r="E54" s="15"/>
      <c r="F54" s="17"/>
      <c r="G54" s="18"/>
      <c r="H54" s="18"/>
      <c r="I54" s="18"/>
      <c r="J54" s="18"/>
      <c r="K54" s="19"/>
    </row>
    <row r="55" spans="1:11">
      <c r="A55" s="25"/>
      <c r="B55" s="15"/>
      <c r="C55" s="15"/>
      <c r="E55" s="15"/>
      <c r="F55" s="17"/>
      <c r="G55" s="18"/>
      <c r="H55" s="18"/>
      <c r="I55" s="18"/>
      <c r="J55" s="18"/>
      <c r="K55" s="19"/>
    </row>
    <row r="56" spans="1:11">
      <c r="A56" s="25"/>
      <c r="B56" s="15"/>
      <c r="C56" s="15"/>
      <c r="E56" s="15"/>
      <c r="F56" s="17"/>
      <c r="G56" s="18"/>
      <c r="H56" s="18"/>
      <c r="I56" s="18"/>
      <c r="J56" s="18"/>
      <c r="K56" s="19"/>
    </row>
    <row r="57" spans="1:11">
      <c r="A57" s="25"/>
      <c r="B57" s="15"/>
      <c r="C57" s="15"/>
      <c r="E57" s="15"/>
      <c r="F57" s="17"/>
      <c r="G57" s="18"/>
      <c r="H57" s="18"/>
      <c r="I57" s="18"/>
      <c r="J57" s="18"/>
      <c r="K57" s="19"/>
    </row>
    <row r="58" spans="1:11">
      <c r="A58" s="25"/>
      <c r="B58" s="15"/>
      <c r="C58" s="15"/>
      <c r="E58" s="15"/>
      <c r="F58" s="17"/>
      <c r="G58" s="26"/>
      <c r="H58" s="26"/>
      <c r="I58" s="26"/>
      <c r="J58" s="26"/>
    </row>
    <row r="59" spans="1:11">
      <c r="A59" s="25"/>
      <c r="B59" s="15"/>
      <c r="C59" s="15"/>
      <c r="E59" s="15"/>
      <c r="F59" s="17"/>
      <c r="G59" s="26"/>
      <c r="H59" s="26"/>
      <c r="I59" s="26"/>
      <c r="J59" s="26"/>
    </row>
    <row r="60" spans="1:11">
      <c r="A60" s="25"/>
      <c r="B60" s="15"/>
      <c r="C60" s="15"/>
      <c r="E60" s="15"/>
      <c r="F60" s="17"/>
      <c r="G60" s="26"/>
      <c r="H60" s="26"/>
      <c r="I60" s="26"/>
      <c r="J60" s="26"/>
    </row>
    <row r="61" spans="1:11">
      <c r="A61" s="25"/>
      <c r="B61" s="15"/>
      <c r="C61" s="15"/>
      <c r="E61" s="15"/>
      <c r="F61" s="17"/>
      <c r="G61" s="26"/>
      <c r="H61" s="26"/>
      <c r="I61" s="26"/>
      <c r="J61" s="26"/>
    </row>
    <row r="62" spans="1:11">
      <c r="A62" s="25"/>
      <c r="B62" s="15"/>
      <c r="C62" s="15"/>
      <c r="E62" s="15"/>
      <c r="F62" s="17"/>
      <c r="G62" s="26"/>
      <c r="H62" s="26"/>
      <c r="I62" s="26"/>
      <c r="J62" s="26"/>
    </row>
    <row r="63" spans="1:11">
      <c r="A63" s="25"/>
      <c r="B63" s="15"/>
      <c r="C63" s="15"/>
      <c r="E63" s="15"/>
      <c r="F63" s="17"/>
      <c r="G63" s="26"/>
      <c r="H63" s="26"/>
      <c r="I63" s="26"/>
      <c r="J63" s="26"/>
    </row>
    <row r="64" spans="1:11">
      <c r="A64" s="25"/>
      <c r="B64" s="15"/>
      <c r="C64" s="15"/>
      <c r="E64" s="15"/>
      <c r="F64" s="17"/>
      <c r="G64" s="26"/>
      <c r="H64" s="26"/>
      <c r="I64" s="26"/>
      <c r="J64" s="26"/>
    </row>
    <row r="65" spans="1:10">
      <c r="A65" s="25"/>
      <c r="B65" s="15"/>
      <c r="C65" s="15"/>
      <c r="E65" s="15"/>
      <c r="F65" s="17"/>
      <c r="G65" s="26"/>
      <c r="H65" s="26"/>
      <c r="I65" s="26"/>
      <c r="J65" s="26"/>
    </row>
    <row r="66" spans="1:10">
      <c r="A66" s="25"/>
      <c r="B66" s="15"/>
      <c r="C66" s="15"/>
      <c r="E66" s="15"/>
      <c r="F66" s="17"/>
      <c r="G66" s="26"/>
      <c r="H66" s="26"/>
      <c r="I66" s="26"/>
      <c r="J66" s="26"/>
    </row>
    <row r="67" spans="1:10">
      <c r="A67" s="25"/>
      <c r="B67" s="15"/>
      <c r="C67" s="15"/>
      <c r="E67" s="15"/>
      <c r="F67" s="17"/>
      <c r="G67" s="26"/>
      <c r="H67" s="26"/>
      <c r="I67" s="26"/>
      <c r="J67" s="26"/>
    </row>
    <row r="68" spans="1:10">
      <c r="A68" s="25"/>
      <c r="B68" s="15"/>
      <c r="C68" s="15"/>
      <c r="E68" s="15"/>
      <c r="F68" s="17"/>
      <c r="G68" s="26"/>
      <c r="H68" s="26"/>
      <c r="I68" s="26"/>
      <c r="J68" s="26"/>
    </row>
    <row r="69" spans="1:10">
      <c r="A69" s="25"/>
      <c r="B69" s="15"/>
      <c r="C69" s="15"/>
      <c r="E69" s="15"/>
      <c r="F69" s="17"/>
      <c r="G69" s="26"/>
      <c r="H69" s="26"/>
      <c r="I69" s="26"/>
      <c r="J69" s="26"/>
    </row>
    <row r="70" spans="1:10">
      <c r="A70" s="25"/>
      <c r="B70" s="15"/>
      <c r="C70" s="15"/>
      <c r="E70" s="15"/>
      <c r="F70" s="17"/>
      <c r="G70" s="26"/>
      <c r="H70" s="26"/>
      <c r="I70" s="26"/>
      <c r="J70" s="26"/>
    </row>
    <row r="71" spans="1:10">
      <c r="A71" s="25"/>
      <c r="B71" s="15"/>
      <c r="C71" s="15"/>
      <c r="E71" s="15"/>
      <c r="F71" s="17"/>
      <c r="G71" s="26"/>
      <c r="H71" s="26"/>
      <c r="I71" s="26"/>
      <c r="J71" s="26"/>
    </row>
    <row r="72" spans="1:10">
      <c r="A72" s="25"/>
      <c r="B72" s="15"/>
      <c r="C72" s="15"/>
      <c r="E72" s="15"/>
      <c r="F72" s="17"/>
      <c r="G72" s="26"/>
      <c r="H72" s="26"/>
      <c r="I72" s="26"/>
      <c r="J72" s="26"/>
    </row>
    <row r="73" spans="1:10">
      <c r="A73" s="25"/>
      <c r="B73" s="15"/>
      <c r="C73" s="15"/>
      <c r="E73" s="15"/>
      <c r="F73" s="17"/>
      <c r="G73" s="26"/>
      <c r="H73" s="26"/>
      <c r="I73" s="26"/>
      <c r="J73" s="26"/>
    </row>
    <row r="74" spans="1:10">
      <c r="A74" s="25"/>
      <c r="B74" s="15"/>
      <c r="C74" s="15"/>
      <c r="E74" s="15"/>
      <c r="F74" s="17"/>
      <c r="G74" s="26"/>
      <c r="H74" s="26"/>
      <c r="I74" s="26"/>
      <c r="J74" s="26"/>
    </row>
    <row r="75" spans="1:10">
      <c r="A75" s="25"/>
      <c r="B75" s="15"/>
      <c r="C75" s="15"/>
      <c r="E75" s="15"/>
      <c r="F75" s="17"/>
      <c r="G75" s="26"/>
      <c r="H75" s="26"/>
      <c r="I75" s="26"/>
      <c r="J75" s="26"/>
    </row>
    <row r="76" spans="1:10">
      <c r="A76" s="25"/>
      <c r="B76" s="15"/>
      <c r="C76" s="15"/>
      <c r="E76" s="15"/>
      <c r="F76" s="17"/>
      <c r="G76" s="26"/>
      <c r="H76" s="26"/>
      <c r="I76" s="26"/>
      <c r="J76" s="26"/>
    </row>
    <row r="77" spans="1:10">
      <c r="A77" s="25"/>
      <c r="B77" s="15"/>
      <c r="C77" s="15"/>
      <c r="E77" s="15"/>
      <c r="F77" s="17"/>
      <c r="G77" s="26"/>
      <c r="H77" s="26"/>
      <c r="I77" s="26"/>
      <c r="J77" s="26"/>
    </row>
    <row r="78" spans="1:10">
      <c r="A78" s="25"/>
      <c r="B78" s="15"/>
      <c r="C78" s="15"/>
      <c r="E78" s="15"/>
      <c r="F78" s="17"/>
      <c r="G78" s="26"/>
      <c r="H78" s="26"/>
      <c r="I78" s="26"/>
      <c r="J78" s="26"/>
    </row>
    <row r="79" spans="1:10">
      <c r="A79" s="25"/>
      <c r="B79" s="15"/>
      <c r="C79" s="15"/>
      <c r="E79" s="15"/>
      <c r="F79" s="17"/>
      <c r="G79" s="26"/>
      <c r="H79" s="26"/>
      <c r="I79" s="26"/>
      <c r="J79" s="26"/>
    </row>
    <row r="80" spans="1:10">
      <c r="A80" s="25"/>
      <c r="B80" s="15"/>
      <c r="C80" s="15"/>
      <c r="E80" s="15"/>
      <c r="F80" s="17"/>
      <c r="G80" s="26"/>
      <c r="H80" s="26"/>
      <c r="I80" s="26"/>
      <c r="J80" s="26"/>
    </row>
    <row r="81" spans="1:10">
      <c r="A81" s="25"/>
      <c r="B81" s="15"/>
      <c r="C81" s="15"/>
      <c r="E81" s="15"/>
      <c r="F81" s="17"/>
      <c r="G81" s="26"/>
      <c r="H81" s="26"/>
      <c r="I81" s="26"/>
      <c r="J81" s="26"/>
    </row>
    <row r="82" spans="1:10">
      <c r="A82" s="25"/>
      <c r="B82" s="15"/>
      <c r="C82" s="15"/>
      <c r="E82" s="15"/>
      <c r="F82" s="17"/>
      <c r="G82" s="26"/>
      <c r="H82" s="26"/>
      <c r="I82" s="26"/>
      <c r="J82" s="26"/>
    </row>
    <row r="83" spans="1:10">
      <c r="A83" s="25"/>
      <c r="B83" s="15"/>
      <c r="C83" s="15"/>
      <c r="E83" s="15"/>
      <c r="F83" s="17"/>
      <c r="G83" s="26"/>
      <c r="H83" s="26"/>
      <c r="I83" s="26"/>
      <c r="J83" s="26"/>
    </row>
    <row r="84" spans="1:10">
      <c r="A84" s="25"/>
      <c r="B84" s="15"/>
      <c r="C84" s="15"/>
      <c r="E84" s="15"/>
      <c r="F84" s="17"/>
      <c r="G84" s="26"/>
      <c r="H84" s="26"/>
      <c r="I84" s="26"/>
      <c r="J84" s="26"/>
    </row>
    <row r="85" spans="1:10">
      <c r="A85" s="25"/>
      <c r="B85" s="15"/>
      <c r="C85" s="15"/>
      <c r="E85" s="15"/>
      <c r="F85" s="17"/>
      <c r="G85" s="26"/>
      <c r="H85" s="26"/>
      <c r="I85" s="26"/>
      <c r="J85" s="26"/>
    </row>
    <row r="86" spans="1:10">
      <c r="A86" s="25"/>
      <c r="B86" s="15"/>
      <c r="C86" s="15"/>
      <c r="E86" s="15"/>
      <c r="F86" s="17"/>
      <c r="G86" s="26"/>
      <c r="H86" s="26"/>
      <c r="I86" s="26"/>
      <c r="J86" s="26"/>
    </row>
    <row r="87" spans="1:10">
      <c r="A87" s="25"/>
      <c r="B87" s="15"/>
      <c r="C87" s="15"/>
      <c r="E87" s="15"/>
      <c r="F87" s="17"/>
      <c r="G87" s="26"/>
      <c r="H87" s="26"/>
      <c r="I87" s="26"/>
      <c r="J87" s="26"/>
    </row>
    <row r="88" spans="1:10">
      <c r="A88" s="25"/>
      <c r="B88" s="15"/>
      <c r="C88" s="15"/>
      <c r="E88" s="15"/>
      <c r="F88" s="17"/>
      <c r="G88" s="26"/>
      <c r="H88" s="26"/>
      <c r="I88" s="26"/>
      <c r="J88" s="26"/>
    </row>
    <row r="89" spans="1:10">
      <c r="A89" s="25"/>
      <c r="B89" s="15"/>
      <c r="C89" s="15"/>
      <c r="E89" s="15"/>
      <c r="F89" s="17"/>
      <c r="G89" s="26"/>
      <c r="H89" s="26"/>
      <c r="I89" s="26"/>
      <c r="J89" s="26"/>
    </row>
    <row r="90" spans="1:10">
      <c r="A90" s="25"/>
      <c r="B90" s="15"/>
      <c r="C90" s="15"/>
      <c r="E90" s="15"/>
      <c r="F90" s="17"/>
      <c r="G90" s="26"/>
      <c r="H90" s="26"/>
      <c r="I90" s="26"/>
      <c r="J90" s="26"/>
    </row>
    <row r="91" spans="1:10">
      <c r="A91" s="25"/>
      <c r="B91" s="15"/>
      <c r="C91" s="15"/>
      <c r="E91" s="15"/>
      <c r="F91" s="17"/>
      <c r="G91" s="26"/>
      <c r="H91" s="26"/>
      <c r="I91" s="26"/>
      <c r="J91" s="26"/>
    </row>
    <row r="92" spans="1:10">
      <c r="A92" s="25"/>
      <c r="B92" s="15"/>
      <c r="C92" s="15"/>
      <c r="E92" s="15"/>
      <c r="F92" s="17"/>
      <c r="G92" s="26"/>
      <c r="H92" s="26"/>
      <c r="I92" s="26"/>
      <c r="J92" s="26"/>
    </row>
    <row r="93" spans="1:10">
      <c r="A93" s="25"/>
      <c r="B93" s="15"/>
      <c r="C93" s="15"/>
      <c r="E93" s="15"/>
      <c r="F93" s="17"/>
      <c r="G93" s="26"/>
      <c r="H93" s="26"/>
      <c r="I93" s="26"/>
      <c r="J93" s="26"/>
    </row>
    <row r="94" spans="1:10">
      <c r="A94" s="25"/>
      <c r="B94" s="15"/>
      <c r="C94" s="15"/>
      <c r="E94" s="15"/>
      <c r="F94" s="17"/>
      <c r="G94" s="26"/>
      <c r="H94" s="26"/>
      <c r="I94" s="26"/>
      <c r="J94" s="26"/>
    </row>
    <row r="95" spans="1:10">
      <c r="A95" s="25"/>
      <c r="B95" s="15"/>
      <c r="C95" s="15"/>
      <c r="E95" s="15"/>
      <c r="F95" s="17"/>
      <c r="G95" s="26"/>
      <c r="H95" s="26"/>
      <c r="I95" s="26"/>
      <c r="J95" s="26"/>
    </row>
    <row r="96" spans="1:10">
      <c r="A96" s="25"/>
      <c r="B96" s="15"/>
      <c r="C96" s="15"/>
      <c r="E96" s="15"/>
      <c r="F96" s="17"/>
      <c r="G96" s="26"/>
      <c r="H96" s="26"/>
      <c r="I96" s="26"/>
      <c r="J96" s="26"/>
    </row>
    <row r="97" spans="1:10">
      <c r="A97" s="25"/>
      <c r="B97" s="15"/>
      <c r="C97" s="15"/>
      <c r="E97" s="15"/>
      <c r="F97" s="17"/>
      <c r="G97" s="26"/>
      <c r="H97" s="26"/>
      <c r="I97" s="26"/>
      <c r="J97" s="26"/>
    </row>
    <row r="98" spans="1:10">
      <c r="A98" s="25"/>
      <c r="B98" s="15"/>
      <c r="C98" s="15"/>
      <c r="E98" s="15"/>
      <c r="F98" s="17"/>
      <c r="G98" s="26"/>
      <c r="H98" s="26"/>
      <c r="I98" s="26"/>
      <c r="J98" s="26"/>
    </row>
    <row r="99" spans="1:10">
      <c r="A99" s="25"/>
      <c r="B99" s="15"/>
      <c r="C99" s="15"/>
      <c r="E99" s="15"/>
      <c r="F99" s="17"/>
      <c r="G99" s="26"/>
      <c r="H99" s="26"/>
      <c r="I99" s="26"/>
      <c r="J99" s="26"/>
    </row>
    <row r="100" spans="1:10">
      <c r="A100" s="25"/>
      <c r="B100" s="15"/>
      <c r="C100" s="15"/>
      <c r="E100" s="15"/>
      <c r="F100" s="17"/>
      <c r="G100" s="26"/>
      <c r="H100" s="26"/>
      <c r="I100" s="26"/>
      <c r="J100" s="26"/>
    </row>
    <row r="101" spans="1:10">
      <c r="A101" s="25"/>
      <c r="B101" s="15"/>
      <c r="C101" s="15"/>
      <c r="E101" s="15"/>
      <c r="F101" s="17"/>
      <c r="G101" s="26"/>
      <c r="H101" s="26"/>
      <c r="I101" s="26"/>
      <c r="J101" s="26"/>
    </row>
    <row r="102" spans="1:10">
      <c r="A102" s="25"/>
      <c r="B102" s="15"/>
      <c r="C102" s="15"/>
      <c r="E102" s="15"/>
      <c r="F102" s="17"/>
      <c r="G102" s="26"/>
      <c r="H102" s="26"/>
      <c r="I102" s="26"/>
      <c r="J102" s="26"/>
    </row>
    <row r="103" spans="1:10">
      <c r="A103" s="25"/>
      <c r="B103" s="15"/>
      <c r="C103" s="15"/>
      <c r="E103" s="15"/>
      <c r="F103" s="17"/>
      <c r="G103" s="26"/>
      <c r="H103" s="26"/>
      <c r="I103" s="26"/>
      <c r="J103" s="26"/>
    </row>
    <row r="104" spans="1:10">
      <c r="A104" s="25"/>
      <c r="B104" s="15"/>
      <c r="C104" s="15"/>
      <c r="E104" s="15"/>
      <c r="F104" s="17"/>
      <c r="G104" s="26"/>
      <c r="H104" s="26"/>
      <c r="I104" s="26"/>
      <c r="J104" s="26"/>
    </row>
    <row r="105" spans="1:10">
      <c r="A105" s="25"/>
      <c r="B105" s="15"/>
      <c r="C105" s="15"/>
      <c r="E105" s="15"/>
      <c r="F105" s="17"/>
      <c r="G105" s="26"/>
      <c r="H105" s="26"/>
      <c r="I105" s="26"/>
      <c r="J105" s="26"/>
    </row>
    <row r="106" spans="1:10">
      <c r="A106" s="25"/>
      <c r="B106" s="15"/>
      <c r="C106" s="15"/>
      <c r="E106" s="15"/>
      <c r="F106" s="17"/>
      <c r="G106" s="26"/>
      <c r="H106" s="26"/>
      <c r="I106" s="26"/>
      <c r="J106" s="26"/>
    </row>
    <row r="107" spans="1:10">
      <c r="A107" s="25"/>
      <c r="B107" s="15"/>
      <c r="C107" s="15"/>
      <c r="E107" s="15"/>
      <c r="F107" s="17"/>
      <c r="G107" s="26"/>
      <c r="H107" s="26"/>
      <c r="I107" s="26"/>
      <c r="J107" s="26"/>
    </row>
    <row r="108" spans="1:10">
      <c r="A108" s="25"/>
      <c r="B108" s="15"/>
      <c r="C108" s="15"/>
      <c r="E108" s="15"/>
      <c r="F108" s="17"/>
      <c r="G108" s="26"/>
      <c r="H108" s="26"/>
      <c r="I108" s="26"/>
      <c r="J108" s="26"/>
    </row>
    <row r="109" spans="1:10">
      <c r="A109" s="25"/>
      <c r="B109" s="15"/>
      <c r="C109" s="15"/>
      <c r="E109" s="15"/>
      <c r="F109" s="17"/>
      <c r="G109" s="26"/>
      <c r="H109" s="26"/>
      <c r="I109" s="26"/>
      <c r="J109" s="26"/>
    </row>
    <row r="110" spans="1:10">
      <c r="A110" s="25"/>
      <c r="B110" s="15"/>
      <c r="C110" s="15"/>
      <c r="E110" s="15"/>
      <c r="F110" s="17"/>
      <c r="G110" s="26"/>
      <c r="H110" s="26"/>
      <c r="I110" s="26"/>
      <c r="J110" s="26"/>
    </row>
    <row r="111" spans="1:10">
      <c r="A111" s="25"/>
      <c r="B111" s="15"/>
      <c r="C111" s="15"/>
      <c r="E111" s="15"/>
      <c r="F111" s="17"/>
      <c r="G111" s="26"/>
      <c r="H111" s="26"/>
      <c r="I111" s="26"/>
      <c r="J111" s="26"/>
    </row>
    <row r="112" spans="1:10">
      <c r="A112" s="25"/>
      <c r="B112" s="15"/>
      <c r="C112" s="15"/>
      <c r="E112" s="15"/>
      <c r="F112" s="17"/>
      <c r="G112" s="26"/>
      <c r="H112" s="26"/>
      <c r="I112" s="26"/>
      <c r="J112" s="26"/>
    </row>
    <row r="113" spans="1:10">
      <c r="A113" s="25"/>
      <c r="B113" s="15"/>
      <c r="C113" s="15"/>
      <c r="E113" s="15"/>
      <c r="F113" s="17"/>
      <c r="G113" s="26"/>
      <c r="H113" s="26"/>
      <c r="I113" s="26"/>
      <c r="J113" s="26"/>
    </row>
    <row r="114" spans="1:10">
      <c r="A114" s="25"/>
      <c r="B114" s="15"/>
      <c r="C114" s="15"/>
      <c r="E114" s="15"/>
      <c r="F114" s="17"/>
      <c r="G114" s="26"/>
      <c r="H114" s="26"/>
      <c r="I114" s="26"/>
      <c r="J114" s="26"/>
    </row>
    <row r="115" spans="1:10">
      <c r="A115" s="25"/>
      <c r="B115" s="15"/>
      <c r="C115" s="15"/>
      <c r="E115" s="15"/>
      <c r="F115" s="17"/>
      <c r="G115" s="26"/>
      <c r="H115" s="26"/>
      <c r="I115" s="26"/>
      <c r="J115" s="26"/>
    </row>
    <row r="116" spans="1:10">
      <c r="A116" s="25"/>
      <c r="B116" s="15"/>
      <c r="C116" s="15"/>
      <c r="E116" s="15"/>
      <c r="F116" s="17"/>
      <c r="G116" s="26"/>
      <c r="H116" s="26"/>
      <c r="I116" s="26"/>
      <c r="J116" s="26"/>
    </row>
    <row r="117" spans="1:10">
      <c r="A117" s="25"/>
      <c r="B117" s="15"/>
      <c r="C117" s="15"/>
      <c r="E117" s="15"/>
      <c r="F117" s="17"/>
      <c r="G117" s="26"/>
      <c r="H117" s="26"/>
      <c r="I117" s="26"/>
      <c r="J117" s="26"/>
    </row>
    <row r="118" spans="1:10">
      <c r="A118" s="25"/>
      <c r="B118" s="15"/>
      <c r="C118" s="15"/>
      <c r="E118" s="15"/>
      <c r="F118" s="17"/>
      <c r="G118" s="26"/>
      <c r="H118" s="26"/>
      <c r="I118" s="26"/>
      <c r="J118" s="26"/>
    </row>
    <row r="119" spans="1:10">
      <c r="A119" s="25"/>
      <c r="B119" s="15"/>
      <c r="C119" s="15"/>
      <c r="E119" s="15"/>
      <c r="F119" s="17"/>
      <c r="G119" s="26"/>
      <c r="H119" s="26"/>
      <c r="I119" s="26"/>
      <c r="J119" s="26"/>
    </row>
    <row r="120" spans="1:10">
      <c r="A120" s="25"/>
      <c r="B120" s="15"/>
      <c r="C120" s="15"/>
      <c r="E120" s="15"/>
      <c r="F120" s="17"/>
      <c r="G120" s="26"/>
      <c r="H120" s="26"/>
      <c r="I120" s="26"/>
      <c r="J120" s="26"/>
    </row>
    <row r="121" spans="1:10">
      <c r="A121" s="25"/>
      <c r="B121" s="15"/>
      <c r="C121" s="15"/>
      <c r="E121" s="15"/>
      <c r="F121" s="17"/>
      <c r="G121" s="26"/>
      <c r="H121" s="26"/>
      <c r="I121" s="26"/>
      <c r="J121" s="26"/>
    </row>
    <row r="122" spans="1:10">
      <c r="A122" s="25"/>
      <c r="B122" s="15"/>
      <c r="C122" s="15"/>
      <c r="E122" s="15"/>
      <c r="F122" s="17"/>
      <c r="G122" s="26"/>
      <c r="H122" s="26"/>
      <c r="I122" s="26"/>
      <c r="J122" s="26"/>
    </row>
    <row r="123" spans="1:10">
      <c r="A123" s="25"/>
      <c r="B123" s="15"/>
      <c r="C123" s="15"/>
      <c r="E123" s="15"/>
      <c r="F123" s="17"/>
      <c r="G123" s="26"/>
      <c r="H123" s="26"/>
      <c r="I123" s="26"/>
      <c r="J123" s="26"/>
    </row>
    <row r="124" spans="1:10">
      <c r="A124" s="25"/>
      <c r="B124" s="15"/>
      <c r="C124" s="15"/>
      <c r="E124" s="15"/>
      <c r="F124" s="17"/>
      <c r="G124" s="26"/>
      <c r="H124" s="26"/>
      <c r="I124" s="26"/>
      <c r="J124" s="26"/>
    </row>
    <row r="125" spans="1:10">
      <c r="A125" s="25"/>
      <c r="B125" s="15"/>
      <c r="C125" s="15"/>
      <c r="E125" s="15"/>
      <c r="F125" s="17"/>
      <c r="G125" s="26"/>
      <c r="H125" s="26"/>
      <c r="I125" s="26"/>
      <c r="J125" s="26"/>
    </row>
    <row r="126" spans="1:10">
      <c r="A126" s="25"/>
      <c r="B126" s="15"/>
      <c r="C126" s="15"/>
      <c r="E126" s="15"/>
      <c r="F126" s="17"/>
      <c r="G126" s="26"/>
      <c r="H126" s="26"/>
      <c r="I126" s="26"/>
      <c r="J126" s="26"/>
    </row>
    <row r="127" spans="1:10">
      <c r="A127" s="25"/>
      <c r="B127" s="15"/>
      <c r="C127" s="15"/>
      <c r="E127" s="15"/>
      <c r="F127" s="17"/>
      <c r="G127" s="26"/>
      <c r="H127" s="26"/>
      <c r="I127" s="26"/>
      <c r="J127" s="26"/>
    </row>
    <row r="128" spans="1:10">
      <c r="A128" s="25"/>
      <c r="B128" s="15"/>
      <c r="C128" s="15"/>
      <c r="E128" s="15"/>
      <c r="F128" s="17"/>
      <c r="G128" s="26"/>
      <c r="H128" s="26"/>
      <c r="I128" s="26"/>
      <c r="J128" s="26"/>
    </row>
    <row r="129" spans="1:10">
      <c r="A129" s="25"/>
      <c r="B129" s="15"/>
      <c r="C129" s="15"/>
      <c r="E129" s="15"/>
      <c r="F129" s="17"/>
      <c r="G129" s="26"/>
      <c r="H129" s="26"/>
      <c r="I129" s="26"/>
      <c r="J129" s="26"/>
    </row>
    <row r="130" spans="1:10">
      <c r="A130" s="25"/>
      <c r="B130" s="15"/>
      <c r="C130" s="15"/>
      <c r="E130" s="15"/>
      <c r="F130" s="17"/>
      <c r="G130" s="26"/>
      <c r="H130" s="26"/>
      <c r="I130" s="26"/>
      <c r="J130" s="26"/>
    </row>
    <row r="131" spans="1:10">
      <c r="A131" s="25"/>
      <c r="B131" s="15"/>
      <c r="C131" s="15"/>
      <c r="E131" s="15"/>
      <c r="F131" s="17"/>
      <c r="G131" s="26"/>
      <c r="H131" s="26"/>
      <c r="I131" s="26"/>
      <c r="J131" s="26"/>
    </row>
    <row r="132" spans="1:10">
      <c r="A132" s="25"/>
      <c r="B132" s="15"/>
      <c r="C132" s="15"/>
      <c r="E132" s="15"/>
      <c r="F132" s="17"/>
      <c r="G132" s="26"/>
      <c r="H132" s="26"/>
      <c r="I132" s="26"/>
      <c r="J132" s="26"/>
    </row>
    <row r="133" spans="1:10">
      <c r="A133" s="25"/>
      <c r="B133" s="15"/>
      <c r="C133" s="15"/>
      <c r="E133" s="15"/>
      <c r="F133" s="17"/>
      <c r="G133" s="26"/>
      <c r="H133" s="26"/>
      <c r="I133" s="26"/>
      <c r="J133" s="26"/>
    </row>
    <row r="134" spans="1:10">
      <c r="A134" s="25"/>
      <c r="B134" s="15"/>
      <c r="C134" s="15"/>
      <c r="E134" s="15"/>
      <c r="F134" s="17"/>
      <c r="G134" s="26"/>
      <c r="H134" s="26"/>
      <c r="I134" s="26"/>
      <c r="J134" s="26"/>
    </row>
    <row r="135" spans="1:10">
      <c r="A135" s="25"/>
      <c r="B135" s="15"/>
      <c r="C135" s="15"/>
      <c r="E135" s="15"/>
      <c r="F135" s="17"/>
      <c r="G135" s="26"/>
      <c r="H135" s="26"/>
      <c r="I135" s="26"/>
      <c r="J135" s="26"/>
    </row>
    <row r="136" spans="1:10">
      <c r="A136" s="25"/>
      <c r="B136" s="15"/>
      <c r="C136" s="15"/>
      <c r="E136" s="15"/>
      <c r="F136" s="17"/>
      <c r="G136" s="26"/>
      <c r="H136" s="26"/>
      <c r="I136" s="26"/>
      <c r="J136" s="26"/>
    </row>
    <row r="137" spans="1:10">
      <c r="A137" s="25"/>
      <c r="B137" s="15"/>
      <c r="C137" s="15"/>
      <c r="E137" s="15"/>
      <c r="F137" s="17"/>
      <c r="G137" s="26"/>
      <c r="H137" s="26"/>
      <c r="I137" s="26"/>
      <c r="J137" s="26"/>
    </row>
    <row r="138" spans="1:10">
      <c r="A138" s="25"/>
      <c r="B138" s="15"/>
      <c r="C138" s="15"/>
      <c r="E138" s="15"/>
      <c r="F138" s="17"/>
      <c r="G138" s="26"/>
      <c r="H138" s="26"/>
      <c r="I138" s="26"/>
      <c r="J138" s="26"/>
    </row>
    <row r="139" spans="1:10">
      <c r="A139" s="25"/>
      <c r="B139" s="15"/>
      <c r="C139" s="15"/>
      <c r="E139" s="15"/>
      <c r="F139" s="17"/>
      <c r="G139" s="26"/>
      <c r="H139" s="26"/>
      <c r="I139" s="26"/>
      <c r="J139" s="26"/>
    </row>
    <row r="140" spans="1:10">
      <c r="A140" s="25"/>
      <c r="B140" s="15"/>
      <c r="C140" s="15"/>
      <c r="E140" s="15"/>
      <c r="F140" s="17"/>
      <c r="G140" s="26"/>
      <c r="H140" s="26"/>
      <c r="I140" s="26"/>
      <c r="J140" s="26"/>
    </row>
    <row r="141" spans="1:10">
      <c r="A141" s="25"/>
      <c r="B141" s="15"/>
      <c r="C141" s="15"/>
      <c r="E141" s="15"/>
      <c r="F141" s="17"/>
      <c r="G141" s="26"/>
      <c r="H141" s="26"/>
      <c r="I141" s="26"/>
      <c r="J141" s="26"/>
    </row>
    <row r="142" spans="1:10">
      <c r="A142" s="25"/>
      <c r="B142" s="15"/>
      <c r="C142" s="15"/>
      <c r="E142" s="15"/>
      <c r="F142" s="17"/>
      <c r="G142" s="26"/>
      <c r="H142" s="26"/>
      <c r="I142" s="26"/>
      <c r="J142" s="26"/>
    </row>
    <row r="143" spans="1:10">
      <c r="A143" s="25"/>
      <c r="B143" s="15"/>
      <c r="C143" s="15"/>
      <c r="E143" s="15"/>
      <c r="F143" s="17"/>
      <c r="G143" s="26"/>
      <c r="H143" s="26"/>
      <c r="I143" s="26"/>
      <c r="J143" s="26"/>
    </row>
    <row r="144" spans="1:10">
      <c r="A144" s="25"/>
      <c r="B144" s="15"/>
      <c r="C144" s="15"/>
      <c r="E144" s="15"/>
      <c r="F144" s="17"/>
      <c r="G144" s="26"/>
      <c r="H144" s="26"/>
      <c r="I144" s="26"/>
      <c r="J144" s="26"/>
    </row>
    <row r="145" spans="1:10">
      <c r="A145" s="25"/>
      <c r="B145" s="15"/>
      <c r="C145" s="15"/>
      <c r="E145" s="15"/>
      <c r="F145" s="17"/>
      <c r="G145" s="26"/>
      <c r="H145" s="26"/>
      <c r="I145" s="26"/>
      <c r="J145" s="26"/>
    </row>
    <row r="146" spans="1:10">
      <c r="A146" s="25"/>
      <c r="B146" s="15"/>
      <c r="C146" s="15"/>
      <c r="E146" s="15"/>
      <c r="F146" s="17"/>
      <c r="G146" s="26"/>
      <c r="H146" s="26"/>
      <c r="I146" s="26"/>
      <c r="J146" s="26"/>
    </row>
    <row r="147" spans="1:10">
      <c r="A147" s="25"/>
      <c r="B147" s="15"/>
      <c r="C147" s="15"/>
      <c r="E147" s="15"/>
      <c r="F147" s="17"/>
      <c r="G147" s="26"/>
      <c r="H147" s="26"/>
      <c r="I147" s="26"/>
      <c r="J147" s="26"/>
    </row>
    <row r="148" spans="1:10">
      <c r="A148" s="25"/>
      <c r="B148" s="15"/>
      <c r="C148" s="15"/>
      <c r="E148" s="15"/>
      <c r="F148" s="17"/>
      <c r="G148" s="26"/>
      <c r="H148" s="26"/>
      <c r="I148" s="26"/>
      <c r="J148" s="26"/>
    </row>
    <row r="149" spans="1:10">
      <c r="A149" s="25"/>
      <c r="B149" s="15"/>
      <c r="C149" s="15"/>
      <c r="E149" s="15"/>
      <c r="F149" s="17"/>
      <c r="G149" s="26"/>
      <c r="H149" s="26"/>
      <c r="I149" s="26"/>
      <c r="J149" s="26"/>
    </row>
    <row r="150" spans="1:10">
      <c r="A150" s="25"/>
      <c r="B150" s="15"/>
      <c r="C150" s="15"/>
      <c r="E150" s="15"/>
      <c r="F150" s="17"/>
      <c r="G150" s="26"/>
      <c r="H150" s="26"/>
      <c r="I150" s="26"/>
      <c r="J150" s="26"/>
    </row>
    <row r="151" spans="1:10">
      <c r="A151" s="25"/>
      <c r="B151" s="15"/>
      <c r="C151" s="15"/>
      <c r="E151" s="15"/>
      <c r="F151" s="17"/>
      <c r="G151" s="26"/>
      <c r="H151" s="26"/>
      <c r="I151" s="26"/>
      <c r="J151" s="26"/>
    </row>
    <row r="152" spans="1:10">
      <c r="A152" s="25"/>
      <c r="B152" s="15"/>
      <c r="C152" s="15"/>
      <c r="E152" s="15"/>
      <c r="F152" s="17"/>
      <c r="G152" s="26"/>
      <c r="H152" s="26"/>
      <c r="I152" s="26"/>
      <c r="J152" s="26"/>
    </row>
    <row r="153" spans="1:10">
      <c r="A153" s="25"/>
      <c r="B153" s="15"/>
      <c r="C153" s="15"/>
      <c r="E153" s="15"/>
      <c r="F153" s="17"/>
      <c r="G153" s="26"/>
      <c r="H153" s="26"/>
      <c r="I153" s="26"/>
      <c r="J153" s="26"/>
    </row>
    <row r="154" spans="1:10">
      <c r="A154" s="25"/>
      <c r="B154" s="15"/>
      <c r="C154" s="15"/>
      <c r="E154" s="15"/>
      <c r="F154" s="17"/>
      <c r="G154" s="26"/>
      <c r="H154" s="26"/>
      <c r="I154" s="26"/>
      <c r="J154" s="26"/>
    </row>
    <row r="155" spans="1:10">
      <c r="A155" s="25"/>
      <c r="B155" s="15"/>
      <c r="C155" s="15"/>
      <c r="E155" s="15"/>
      <c r="F155" s="17"/>
      <c r="G155" s="26"/>
      <c r="H155" s="26"/>
      <c r="I155" s="26"/>
      <c r="J155" s="26"/>
    </row>
    <row r="156" spans="1:10">
      <c r="A156" s="25"/>
      <c r="B156" s="15"/>
      <c r="C156" s="15"/>
      <c r="E156" s="15"/>
      <c r="F156" s="17"/>
      <c r="G156" s="26"/>
      <c r="H156" s="26"/>
      <c r="I156" s="26"/>
      <c r="J156" s="26"/>
    </row>
    <row r="157" spans="1:10">
      <c r="A157" s="25"/>
      <c r="B157" s="15"/>
      <c r="C157" s="15"/>
      <c r="E157" s="15"/>
      <c r="F157" s="17"/>
      <c r="G157" s="26"/>
      <c r="H157" s="26"/>
      <c r="I157" s="26"/>
      <c r="J157" s="26"/>
    </row>
    <row r="158" spans="1:10">
      <c r="A158" s="25"/>
      <c r="B158" s="15"/>
      <c r="C158" s="15"/>
      <c r="E158" s="15"/>
      <c r="F158" s="17"/>
      <c r="G158" s="26"/>
      <c r="H158" s="26"/>
      <c r="I158" s="26"/>
      <c r="J158" s="26"/>
    </row>
    <row r="159" spans="1:10">
      <c r="A159" s="25"/>
      <c r="B159" s="15"/>
      <c r="C159" s="15"/>
      <c r="E159" s="15"/>
      <c r="F159" s="17"/>
      <c r="G159" s="26"/>
      <c r="H159" s="26"/>
      <c r="I159" s="26"/>
      <c r="J159" s="26"/>
    </row>
    <row r="160" spans="1:10">
      <c r="A160" s="25"/>
      <c r="B160" s="15"/>
      <c r="C160" s="15"/>
      <c r="E160" s="15"/>
      <c r="F160" s="17"/>
      <c r="G160" s="26"/>
      <c r="H160" s="26"/>
      <c r="I160" s="26"/>
      <c r="J160" s="26"/>
    </row>
    <row r="161" spans="1:10">
      <c r="A161" s="25"/>
      <c r="B161" s="15"/>
      <c r="C161" s="15"/>
      <c r="E161" s="15"/>
      <c r="F161" s="17"/>
      <c r="G161" s="26"/>
      <c r="H161" s="26"/>
      <c r="I161" s="26"/>
      <c r="J161" s="26"/>
    </row>
    <row r="162" spans="1:10">
      <c r="A162" s="25"/>
      <c r="B162" s="15"/>
      <c r="C162" s="15"/>
      <c r="E162" s="15"/>
      <c r="F162" s="17"/>
      <c r="G162" s="26"/>
      <c r="H162" s="26"/>
      <c r="I162" s="26"/>
      <c r="J162" s="26"/>
    </row>
    <row r="163" spans="1:10">
      <c r="A163" s="25"/>
      <c r="B163" s="15"/>
      <c r="C163" s="15"/>
      <c r="E163" s="15"/>
      <c r="F163" s="17"/>
      <c r="G163" s="26"/>
      <c r="H163" s="26"/>
      <c r="I163" s="26"/>
      <c r="J163" s="26"/>
    </row>
    <row r="164" spans="1:10">
      <c r="A164" s="25"/>
      <c r="B164" s="15"/>
      <c r="C164" s="15"/>
      <c r="E164" s="15"/>
      <c r="F164" s="17"/>
      <c r="G164" s="26"/>
      <c r="H164" s="26"/>
      <c r="I164" s="26"/>
      <c r="J164" s="26"/>
    </row>
    <row r="165" spans="1:10">
      <c r="A165" s="25"/>
      <c r="B165" s="15"/>
      <c r="C165" s="15"/>
      <c r="E165" s="15"/>
      <c r="F165" s="17"/>
      <c r="G165" s="26"/>
      <c r="H165" s="26"/>
      <c r="I165" s="26"/>
      <c r="J165" s="26"/>
    </row>
    <row r="166" spans="1:10">
      <c r="A166" s="25"/>
      <c r="B166" s="15"/>
      <c r="C166" s="15"/>
      <c r="E166" s="15"/>
      <c r="F166" s="17"/>
      <c r="G166" s="26"/>
      <c r="H166" s="26"/>
      <c r="I166" s="26"/>
      <c r="J166" s="26"/>
    </row>
    <row r="167" spans="1:10">
      <c r="A167" s="25"/>
      <c r="B167" s="15"/>
      <c r="C167" s="15"/>
      <c r="E167" s="15"/>
      <c r="F167" s="17"/>
      <c r="G167" s="26"/>
      <c r="H167" s="26"/>
      <c r="I167" s="26"/>
      <c r="J167" s="26"/>
    </row>
    <row r="168" spans="1:10">
      <c r="A168" s="25"/>
      <c r="B168" s="15"/>
      <c r="C168" s="15"/>
      <c r="E168" s="15"/>
      <c r="F168" s="17"/>
      <c r="G168" s="26"/>
      <c r="H168" s="26"/>
      <c r="I168" s="26"/>
      <c r="J168" s="26"/>
    </row>
    <row r="169" spans="1:10">
      <c r="A169" s="25"/>
      <c r="B169" s="15"/>
      <c r="C169" s="15"/>
      <c r="E169" s="15"/>
      <c r="F169" s="17"/>
      <c r="G169" s="26"/>
      <c r="H169" s="26"/>
      <c r="I169" s="26"/>
      <c r="J169" s="26"/>
    </row>
    <row r="170" spans="1:10">
      <c r="A170" s="25"/>
      <c r="B170" s="15"/>
      <c r="C170" s="15"/>
      <c r="E170" s="15"/>
      <c r="F170" s="17"/>
      <c r="G170" s="26"/>
      <c r="H170" s="26"/>
      <c r="I170" s="26"/>
      <c r="J170" s="26"/>
    </row>
    <row r="171" spans="1:10">
      <c r="A171" s="25"/>
      <c r="B171" s="15"/>
      <c r="C171" s="15"/>
      <c r="E171" s="15"/>
      <c r="F171" s="17"/>
      <c r="G171" s="26"/>
      <c r="H171" s="26"/>
      <c r="I171" s="26"/>
      <c r="J171" s="26"/>
    </row>
    <row r="172" spans="1:10">
      <c r="A172" s="25"/>
      <c r="B172" s="15"/>
      <c r="C172" s="15"/>
      <c r="E172" s="15"/>
      <c r="F172" s="17"/>
      <c r="G172" s="26"/>
      <c r="H172" s="26"/>
      <c r="I172" s="26"/>
      <c r="J172" s="26"/>
    </row>
    <row r="173" spans="1:10">
      <c r="A173" s="25"/>
      <c r="B173" s="15"/>
      <c r="C173" s="15"/>
      <c r="E173" s="15"/>
      <c r="F173" s="17"/>
      <c r="G173" s="26"/>
      <c r="H173" s="26"/>
      <c r="I173" s="26"/>
      <c r="J173" s="26"/>
    </row>
    <row r="174" spans="1:10">
      <c r="A174" s="25"/>
      <c r="B174" s="15"/>
      <c r="C174" s="15"/>
      <c r="E174" s="15"/>
      <c r="F174" s="17"/>
      <c r="G174" s="26"/>
      <c r="H174" s="26"/>
      <c r="I174" s="26"/>
      <c r="J174" s="26"/>
    </row>
    <row r="175" spans="1:10">
      <c r="A175" s="25"/>
      <c r="B175" s="15"/>
      <c r="C175" s="15"/>
      <c r="E175" s="15"/>
      <c r="F175" s="17"/>
      <c r="G175" s="26"/>
      <c r="H175" s="26"/>
      <c r="I175" s="26"/>
      <c r="J175" s="26"/>
    </row>
    <row r="176" spans="1:10">
      <c r="A176" s="25"/>
      <c r="B176" s="15"/>
      <c r="C176" s="15"/>
      <c r="E176" s="15"/>
      <c r="F176" s="17"/>
      <c r="G176" s="26"/>
      <c r="H176" s="26"/>
      <c r="I176" s="26"/>
      <c r="J176" s="26"/>
    </row>
    <row r="177" spans="1:10">
      <c r="A177" s="25"/>
      <c r="B177" s="15"/>
      <c r="C177" s="15"/>
      <c r="E177" s="15"/>
      <c r="F177" s="17"/>
      <c r="G177" s="26"/>
      <c r="H177" s="26"/>
      <c r="I177" s="26"/>
      <c r="J177" s="26"/>
    </row>
    <row r="178" spans="1:10">
      <c r="A178" s="25"/>
      <c r="B178" s="15"/>
      <c r="C178" s="15"/>
      <c r="E178" s="15"/>
      <c r="F178" s="17"/>
      <c r="G178" s="26"/>
      <c r="H178" s="26"/>
      <c r="I178" s="26"/>
      <c r="J178" s="26"/>
    </row>
    <row r="179" spans="1:10">
      <c r="A179" s="25"/>
      <c r="B179" s="15"/>
      <c r="C179" s="15"/>
      <c r="E179" s="15"/>
      <c r="F179" s="17"/>
      <c r="G179" s="26"/>
      <c r="H179" s="26"/>
      <c r="I179" s="26"/>
      <c r="J179" s="26"/>
    </row>
    <row r="180" spans="1:10">
      <c r="A180" s="25"/>
      <c r="B180" s="15"/>
      <c r="C180" s="15"/>
      <c r="E180" s="15"/>
      <c r="F180" s="17"/>
      <c r="G180" s="26"/>
      <c r="H180" s="26"/>
      <c r="I180" s="26"/>
      <c r="J180" s="26"/>
    </row>
    <row r="181" spans="1:10">
      <c r="A181" s="25"/>
      <c r="B181" s="15"/>
      <c r="C181" s="15"/>
      <c r="E181" s="15"/>
      <c r="F181" s="17"/>
      <c r="G181" s="26"/>
      <c r="H181" s="26"/>
      <c r="I181" s="26"/>
      <c r="J181" s="26"/>
    </row>
    <row r="182" spans="1:10">
      <c r="A182" s="25"/>
      <c r="B182" s="15"/>
      <c r="C182" s="15"/>
      <c r="E182" s="15"/>
      <c r="F182" s="17"/>
      <c r="G182" s="26"/>
      <c r="H182" s="26"/>
      <c r="I182" s="26"/>
      <c r="J182" s="26"/>
    </row>
    <row r="183" spans="1:10">
      <c r="A183" s="25"/>
      <c r="B183" s="15"/>
      <c r="C183" s="15"/>
      <c r="E183" s="15"/>
      <c r="F183" s="17"/>
      <c r="G183" s="26"/>
      <c r="H183" s="26"/>
      <c r="I183" s="26"/>
      <c r="J183" s="26"/>
    </row>
    <row r="184" spans="1:10">
      <c r="A184" s="25"/>
      <c r="B184" s="15"/>
      <c r="C184" s="15"/>
      <c r="E184" s="15"/>
      <c r="F184" s="17"/>
      <c r="G184" s="26"/>
      <c r="H184" s="26"/>
      <c r="I184" s="26"/>
      <c r="J184" s="26"/>
    </row>
    <row r="185" spans="1:10">
      <c r="A185" s="25"/>
      <c r="B185" s="15"/>
      <c r="C185" s="15"/>
      <c r="E185" s="15"/>
      <c r="F185" s="17"/>
      <c r="G185" s="26"/>
      <c r="H185" s="26"/>
      <c r="I185" s="26"/>
      <c r="J185" s="26"/>
    </row>
    <row r="186" spans="1:10">
      <c r="A186" s="25"/>
      <c r="B186" s="15"/>
      <c r="C186" s="15"/>
      <c r="E186" s="15"/>
      <c r="F186" s="17"/>
      <c r="G186" s="26"/>
      <c r="H186" s="26"/>
      <c r="I186" s="26"/>
      <c r="J186" s="26"/>
    </row>
    <row r="187" spans="1:10">
      <c r="A187" s="25"/>
      <c r="B187" s="15"/>
      <c r="C187" s="15"/>
      <c r="E187" s="15"/>
      <c r="F187" s="17"/>
      <c r="G187" s="26"/>
      <c r="H187" s="26"/>
      <c r="I187" s="26"/>
      <c r="J187" s="26"/>
    </row>
    <row r="188" spans="1:10">
      <c r="A188" s="25"/>
      <c r="B188" s="15"/>
      <c r="C188" s="15"/>
      <c r="E188" s="15"/>
      <c r="F188" s="17"/>
      <c r="G188" s="26"/>
      <c r="H188" s="26"/>
      <c r="I188" s="26"/>
      <c r="J188" s="26"/>
    </row>
    <row r="189" spans="1:10">
      <c r="A189" s="25"/>
      <c r="B189" s="15"/>
      <c r="C189" s="15"/>
      <c r="E189" s="15"/>
      <c r="F189" s="17"/>
      <c r="G189" s="26"/>
      <c r="H189" s="26"/>
      <c r="I189" s="26"/>
      <c r="J189" s="26"/>
    </row>
    <row r="190" spans="1:10">
      <c r="A190" s="25"/>
      <c r="B190" s="15"/>
      <c r="C190" s="15"/>
      <c r="E190" s="15"/>
      <c r="F190" s="17"/>
      <c r="G190" s="26"/>
      <c r="H190" s="26"/>
      <c r="I190" s="26"/>
      <c r="J190" s="26"/>
    </row>
    <row r="191" spans="1:10">
      <c r="A191" s="25"/>
      <c r="B191" s="15"/>
      <c r="C191" s="15"/>
      <c r="E191" s="15"/>
      <c r="F191" s="17"/>
      <c r="G191" s="26"/>
      <c r="H191" s="26"/>
      <c r="I191" s="26"/>
      <c r="J191" s="26"/>
    </row>
    <row r="192" spans="1:10">
      <c r="A192" s="25"/>
      <c r="B192" s="15"/>
      <c r="C192" s="15"/>
      <c r="E192" s="15"/>
      <c r="F192" s="17"/>
      <c r="G192" s="26"/>
      <c r="H192" s="26"/>
      <c r="I192" s="26"/>
      <c r="J192" s="26"/>
    </row>
    <row r="193" spans="1:10">
      <c r="A193" s="25"/>
      <c r="B193" s="15"/>
      <c r="C193" s="15"/>
      <c r="E193" s="15"/>
      <c r="F193" s="17"/>
      <c r="G193" s="26"/>
      <c r="H193" s="26"/>
      <c r="I193" s="26"/>
      <c r="J193" s="26"/>
    </row>
    <row r="194" spans="1:10">
      <c r="A194" s="25"/>
      <c r="B194" s="15"/>
      <c r="C194" s="15"/>
      <c r="E194" s="15"/>
      <c r="F194" s="17"/>
      <c r="G194" s="26"/>
      <c r="H194" s="26"/>
      <c r="I194" s="26"/>
      <c r="J194" s="26"/>
    </row>
    <row r="195" spans="1:10">
      <c r="A195" s="25"/>
      <c r="B195" s="15"/>
      <c r="C195" s="15"/>
      <c r="E195" s="15"/>
      <c r="F195" s="17"/>
      <c r="G195" s="26"/>
      <c r="H195" s="26"/>
      <c r="I195" s="26"/>
      <c r="J195" s="26"/>
    </row>
    <row r="196" spans="1:10">
      <c r="A196" s="25"/>
      <c r="B196" s="15"/>
      <c r="C196" s="15"/>
      <c r="E196" s="15"/>
      <c r="F196" s="17"/>
      <c r="G196" s="26"/>
      <c r="H196" s="26"/>
      <c r="I196" s="26"/>
      <c r="J196" s="26"/>
    </row>
    <row r="197" spans="1:10">
      <c r="A197" s="25"/>
      <c r="B197" s="15"/>
      <c r="C197" s="15"/>
      <c r="E197" s="15"/>
      <c r="F197" s="17"/>
      <c r="G197" s="26"/>
      <c r="H197" s="26"/>
      <c r="I197" s="26"/>
      <c r="J197" s="26"/>
    </row>
    <row r="198" spans="1:10">
      <c r="A198" s="25"/>
      <c r="B198" s="15"/>
      <c r="C198" s="15"/>
      <c r="E198" s="15"/>
      <c r="F198" s="17"/>
      <c r="G198" s="26"/>
      <c r="H198" s="26"/>
      <c r="I198" s="26"/>
      <c r="J198" s="26"/>
    </row>
    <row r="199" spans="1:10">
      <c r="A199" s="25"/>
      <c r="B199" s="15"/>
      <c r="C199" s="15"/>
      <c r="E199" s="15"/>
      <c r="F199" s="17"/>
      <c r="G199" s="26"/>
      <c r="H199" s="26"/>
      <c r="I199" s="26"/>
      <c r="J199" s="26"/>
    </row>
    <row r="200" spans="1:10">
      <c r="A200" s="25"/>
      <c r="B200" s="15"/>
      <c r="C200" s="15"/>
      <c r="E200" s="15"/>
      <c r="F200" s="17"/>
      <c r="G200" s="26"/>
      <c r="H200" s="26"/>
      <c r="I200" s="26"/>
      <c r="J200" s="26"/>
    </row>
    <row r="201" spans="1:10">
      <c r="A201" s="25"/>
      <c r="B201" s="15"/>
      <c r="C201" s="15"/>
      <c r="E201" s="15"/>
      <c r="F201" s="17"/>
      <c r="G201" s="26"/>
      <c r="H201" s="26"/>
      <c r="I201" s="26"/>
      <c r="J201" s="26"/>
    </row>
    <row r="202" spans="1:10">
      <c r="A202" s="25"/>
      <c r="B202" s="15"/>
      <c r="C202" s="15"/>
      <c r="E202" s="15"/>
      <c r="F202" s="17"/>
      <c r="G202" s="26"/>
      <c r="H202" s="26"/>
      <c r="I202" s="26"/>
      <c r="J202" s="26"/>
    </row>
    <row r="203" spans="1:10">
      <c r="A203" s="25"/>
      <c r="B203" s="15"/>
      <c r="C203" s="15"/>
      <c r="E203" s="15"/>
      <c r="F203" s="17"/>
      <c r="G203" s="26"/>
      <c r="H203" s="26"/>
      <c r="I203" s="26"/>
      <c r="J203" s="26"/>
    </row>
    <row r="204" spans="1:10">
      <c r="A204" s="25"/>
      <c r="B204" s="15"/>
      <c r="C204" s="15"/>
      <c r="E204" s="15"/>
      <c r="F204" s="17"/>
      <c r="G204" s="26"/>
      <c r="H204" s="26"/>
      <c r="I204" s="26"/>
      <c r="J204" s="26"/>
    </row>
    <row r="205" spans="1:10">
      <c r="A205" s="25"/>
      <c r="B205" s="15"/>
      <c r="C205" s="15"/>
      <c r="E205" s="15"/>
      <c r="F205" s="17"/>
      <c r="G205" s="26"/>
      <c r="H205" s="26"/>
      <c r="I205" s="26"/>
      <c r="J205" s="26"/>
    </row>
    <row r="206" spans="1:10">
      <c r="A206" s="25"/>
      <c r="B206" s="15"/>
      <c r="C206" s="15"/>
      <c r="E206" s="15"/>
      <c r="F206" s="17"/>
      <c r="G206" s="26"/>
      <c r="H206" s="26"/>
      <c r="I206" s="26"/>
      <c r="J206" s="26"/>
    </row>
    <row r="207" spans="1:10">
      <c r="A207" s="25"/>
      <c r="B207" s="15"/>
      <c r="C207" s="15"/>
      <c r="E207" s="15"/>
      <c r="F207" s="17"/>
      <c r="G207" s="26"/>
      <c r="H207" s="26"/>
      <c r="I207" s="26"/>
      <c r="J207" s="26"/>
    </row>
    <row r="208" spans="1:10">
      <c r="A208" s="25"/>
      <c r="B208" s="15"/>
      <c r="C208" s="15"/>
      <c r="E208" s="15"/>
      <c r="F208" s="17"/>
      <c r="G208" s="26"/>
      <c r="H208" s="26"/>
      <c r="I208" s="26"/>
      <c r="J208" s="26"/>
    </row>
    <row r="209" spans="1:10">
      <c r="A209" s="25"/>
      <c r="B209" s="15"/>
      <c r="C209" s="15"/>
      <c r="E209" s="15"/>
      <c r="F209" s="17"/>
      <c r="G209" s="26"/>
      <c r="H209" s="26"/>
      <c r="I209" s="26"/>
      <c r="J209" s="26"/>
    </row>
    <row r="210" spans="1:10">
      <c r="A210" s="25"/>
      <c r="B210" s="15"/>
      <c r="C210" s="15"/>
      <c r="E210" s="15"/>
      <c r="F210" s="17"/>
      <c r="G210" s="26"/>
      <c r="H210" s="26"/>
      <c r="I210" s="26"/>
      <c r="J210" s="26"/>
    </row>
    <row r="211" spans="1:10">
      <c r="A211" s="25"/>
      <c r="B211" s="15"/>
      <c r="C211" s="15"/>
      <c r="E211" s="15"/>
      <c r="F211" s="17"/>
      <c r="G211" s="26"/>
      <c r="H211" s="26"/>
      <c r="I211" s="26"/>
      <c r="J211" s="26"/>
    </row>
    <row r="212" spans="1:10">
      <c r="A212" s="25"/>
      <c r="B212" s="15"/>
      <c r="C212" s="15"/>
      <c r="E212" s="15"/>
      <c r="F212" s="17"/>
      <c r="G212" s="26"/>
      <c r="H212" s="26"/>
      <c r="I212" s="26"/>
      <c r="J212" s="26"/>
    </row>
    <row r="213" spans="1:10">
      <c r="A213" s="25"/>
      <c r="B213" s="15"/>
      <c r="C213" s="15"/>
      <c r="E213" s="15"/>
      <c r="F213" s="17"/>
      <c r="G213" s="26"/>
      <c r="H213" s="26"/>
      <c r="I213" s="26"/>
      <c r="J213" s="26"/>
    </row>
    <row r="214" spans="1:10">
      <c r="A214" s="25"/>
      <c r="B214" s="15"/>
      <c r="C214" s="15"/>
      <c r="E214" s="15"/>
      <c r="F214" s="17"/>
      <c r="G214" s="26"/>
      <c r="H214" s="26"/>
      <c r="I214" s="26"/>
      <c r="J214" s="26"/>
    </row>
    <row r="215" spans="1:10">
      <c r="A215" s="25"/>
      <c r="B215" s="15"/>
      <c r="C215" s="15"/>
      <c r="E215" s="15"/>
      <c r="F215" s="17"/>
      <c r="G215" s="26"/>
      <c r="H215" s="26"/>
      <c r="I215" s="26"/>
      <c r="J215" s="26"/>
    </row>
    <row r="216" spans="1:10">
      <c r="A216" s="25"/>
      <c r="B216" s="15"/>
      <c r="C216" s="15"/>
      <c r="E216" s="15"/>
      <c r="F216" s="17"/>
      <c r="G216" s="26"/>
      <c r="H216" s="26"/>
      <c r="I216" s="26"/>
      <c r="J216" s="26"/>
    </row>
    <row r="217" spans="1:10">
      <c r="A217" s="25"/>
      <c r="B217" s="15"/>
      <c r="C217" s="15"/>
      <c r="E217" s="15"/>
      <c r="F217" s="17"/>
      <c r="G217" s="26"/>
      <c r="H217" s="26"/>
      <c r="I217" s="26"/>
      <c r="J217" s="26"/>
    </row>
    <row r="218" spans="1:10">
      <c r="A218" s="25"/>
      <c r="B218" s="15"/>
      <c r="C218" s="15"/>
      <c r="E218" s="15"/>
      <c r="F218" s="17"/>
      <c r="G218" s="26"/>
      <c r="H218" s="26"/>
      <c r="I218" s="26"/>
      <c r="J218" s="26"/>
    </row>
    <row r="219" spans="1:10">
      <c r="A219" s="25"/>
      <c r="B219" s="15"/>
      <c r="C219" s="15"/>
      <c r="E219" s="15"/>
      <c r="F219" s="17"/>
      <c r="G219" s="26"/>
      <c r="H219" s="26"/>
      <c r="I219" s="26"/>
      <c r="J219" s="26"/>
    </row>
    <row r="220" spans="1:10">
      <c r="A220" s="25"/>
      <c r="B220" s="15"/>
      <c r="C220" s="15"/>
      <c r="E220" s="15"/>
      <c r="F220" s="17"/>
      <c r="G220" s="26"/>
      <c r="H220" s="26"/>
      <c r="I220" s="26"/>
      <c r="J220" s="26"/>
    </row>
    <row r="221" spans="1:10">
      <c r="A221" s="25"/>
      <c r="B221" s="15"/>
      <c r="C221" s="15"/>
      <c r="E221" s="15"/>
      <c r="F221" s="17"/>
      <c r="G221" s="26"/>
      <c r="H221" s="26"/>
      <c r="I221" s="26"/>
      <c r="J221" s="26"/>
    </row>
    <row r="222" spans="1:10">
      <c r="A222" s="25"/>
      <c r="B222" s="15"/>
      <c r="C222" s="15"/>
      <c r="E222" s="15"/>
      <c r="F222" s="17"/>
      <c r="G222" s="26"/>
      <c r="H222" s="26"/>
      <c r="I222" s="26"/>
      <c r="J222" s="26"/>
    </row>
    <row r="223" spans="1:10">
      <c r="A223" s="25"/>
      <c r="B223" s="15"/>
      <c r="C223" s="15"/>
      <c r="E223" s="15"/>
      <c r="F223" s="17"/>
      <c r="G223" s="26"/>
      <c r="H223" s="26"/>
      <c r="I223" s="26"/>
      <c r="J223" s="26"/>
    </row>
    <row r="224" spans="1:10">
      <c r="A224" s="25"/>
      <c r="B224" s="15"/>
      <c r="C224" s="15"/>
      <c r="E224" s="15"/>
      <c r="F224" s="17"/>
      <c r="G224" s="26"/>
      <c r="H224" s="26"/>
      <c r="I224" s="26"/>
      <c r="J224" s="26"/>
    </row>
    <row r="225" spans="1:10">
      <c r="A225" s="25"/>
      <c r="B225" s="15"/>
      <c r="C225" s="15"/>
      <c r="E225" s="15"/>
      <c r="F225" s="17"/>
      <c r="G225" s="26"/>
      <c r="H225" s="26"/>
      <c r="I225" s="26"/>
      <c r="J225" s="26"/>
    </row>
    <row r="226" spans="1:10">
      <c r="A226" s="25"/>
      <c r="B226" s="15"/>
      <c r="C226" s="15"/>
      <c r="E226" s="15"/>
      <c r="F226" s="17"/>
      <c r="G226" s="26"/>
      <c r="H226" s="26"/>
      <c r="I226" s="26"/>
      <c r="J226" s="26"/>
    </row>
    <row r="227" spans="1:10">
      <c r="A227" s="25"/>
      <c r="B227" s="15"/>
      <c r="C227" s="15"/>
      <c r="E227" s="15"/>
      <c r="F227" s="17"/>
      <c r="G227" s="26"/>
      <c r="H227" s="26"/>
      <c r="I227" s="26"/>
      <c r="J227" s="26"/>
    </row>
    <row r="228" spans="1:10">
      <c r="A228" s="25"/>
      <c r="B228" s="15"/>
      <c r="C228" s="15"/>
      <c r="E228" s="15"/>
      <c r="F228" s="17"/>
      <c r="G228" s="26"/>
      <c r="H228" s="26"/>
      <c r="I228" s="26"/>
      <c r="J228" s="26"/>
    </row>
    <row r="229" spans="1:10">
      <c r="A229" s="25"/>
      <c r="B229" s="15"/>
      <c r="C229" s="15"/>
      <c r="E229" s="15"/>
      <c r="F229" s="17"/>
      <c r="G229" s="26"/>
      <c r="H229" s="26"/>
      <c r="I229" s="26"/>
      <c r="J229" s="26"/>
    </row>
    <row r="230" spans="1:10">
      <c r="A230" s="25"/>
      <c r="B230" s="15"/>
      <c r="C230" s="15"/>
      <c r="E230" s="15"/>
      <c r="F230" s="17"/>
      <c r="G230" s="26"/>
      <c r="H230" s="26"/>
      <c r="I230" s="26"/>
      <c r="J230" s="26"/>
    </row>
    <row r="231" spans="1:10">
      <c r="A231" s="25"/>
      <c r="B231" s="15"/>
      <c r="C231" s="15"/>
      <c r="E231" s="15"/>
      <c r="F231" s="17"/>
      <c r="G231" s="26"/>
      <c r="H231" s="26"/>
      <c r="I231" s="26"/>
      <c r="J231" s="26"/>
    </row>
    <row r="232" spans="1:10">
      <c r="A232" s="25"/>
      <c r="B232" s="15"/>
      <c r="C232" s="15"/>
      <c r="E232" s="15"/>
      <c r="F232" s="17"/>
      <c r="G232" s="26"/>
      <c r="H232" s="26"/>
      <c r="I232" s="26"/>
      <c r="J232" s="26"/>
    </row>
    <row r="233" spans="1:10">
      <c r="A233" s="25"/>
      <c r="B233" s="15"/>
      <c r="C233" s="15"/>
      <c r="E233" s="15"/>
      <c r="F233" s="17"/>
      <c r="G233" s="26"/>
      <c r="H233" s="26"/>
      <c r="I233" s="26"/>
      <c r="J233" s="26"/>
    </row>
    <row r="234" spans="1:10">
      <c r="A234" s="25"/>
      <c r="B234" s="15"/>
      <c r="C234" s="15"/>
      <c r="E234" s="15"/>
      <c r="F234" s="17"/>
      <c r="G234" s="26"/>
      <c r="H234" s="26"/>
      <c r="I234" s="26"/>
      <c r="J234" s="26"/>
    </row>
    <row r="235" spans="1:10">
      <c r="A235" s="25"/>
      <c r="B235" s="15"/>
      <c r="C235" s="15"/>
      <c r="E235" s="15"/>
      <c r="F235" s="17"/>
      <c r="G235" s="26"/>
      <c r="H235" s="26"/>
      <c r="I235" s="26"/>
      <c r="J235" s="26"/>
    </row>
    <row r="236" spans="1:10">
      <c r="A236" s="25"/>
      <c r="B236" s="15"/>
      <c r="C236" s="15"/>
      <c r="E236" s="15"/>
      <c r="F236" s="17"/>
      <c r="G236" s="26"/>
      <c r="H236" s="26"/>
      <c r="I236" s="26"/>
      <c r="J236" s="26"/>
    </row>
    <row r="237" spans="1:10">
      <c r="A237" s="25"/>
      <c r="B237" s="15"/>
      <c r="C237" s="15"/>
      <c r="E237" s="15"/>
      <c r="F237" s="17"/>
      <c r="G237" s="26"/>
      <c r="H237" s="26"/>
      <c r="I237" s="26"/>
      <c r="J237" s="26"/>
    </row>
    <row r="238" spans="1:10">
      <c r="A238" s="25"/>
      <c r="B238" s="15"/>
      <c r="C238" s="15"/>
      <c r="E238" s="15"/>
      <c r="F238" s="17"/>
      <c r="G238" s="26"/>
      <c r="H238" s="26"/>
      <c r="I238" s="26"/>
      <c r="J238" s="26"/>
    </row>
    <row r="239" spans="1:10">
      <c r="A239" s="25"/>
      <c r="B239" s="15"/>
      <c r="C239" s="15"/>
      <c r="E239" s="15"/>
      <c r="F239" s="17"/>
      <c r="G239" s="26"/>
      <c r="H239" s="26"/>
      <c r="I239" s="26"/>
      <c r="J239" s="26"/>
    </row>
    <row r="240" spans="1:10">
      <c r="A240" s="25"/>
      <c r="B240" s="15"/>
      <c r="C240" s="15"/>
      <c r="E240" s="15"/>
      <c r="F240" s="17"/>
      <c r="G240" s="26"/>
      <c r="H240" s="26"/>
      <c r="I240" s="26"/>
      <c r="J240" s="26"/>
    </row>
    <row r="241" spans="1:10">
      <c r="A241" s="25"/>
      <c r="B241" s="15"/>
      <c r="C241" s="15"/>
      <c r="E241" s="15"/>
      <c r="F241" s="17"/>
      <c r="G241" s="26"/>
      <c r="H241" s="26"/>
      <c r="I241" s="26"/>
      <c r="J241" s="26"/>
    </row>
    <row r="242" spans="1:10">
      <c r="A242" s="25"/>
      <c r="B242" s="15"/>
      <c r="C242" s="15"/>
      <c r="E242" s="15"/>
      <c r="F242" s="17"/>
      <c r="G242" s="26"/>
      <c r="H242" s="26"/>
      <c r="I242" s="26"/>
      <c r="J242" s="26"/>
    </row>
    <row r="243" spans="1:10">
      <c r="A243" s="25"/>
      <c r="B243" s="15"/>
      <c r="C243" s="15"/>
      <c r="E243" s="15"/>
      <c r="F243" s="17"/>
      <c r="G243" s="26"/>
      <c r="H243" s="26"/>
      <c r="I243" s="26"/>
      <c r="J243" s="26"/>
    </row>
    <row r="244" spans="1:10">
      <c r="A244" s="25"/>
      <c r="B244" s="15"/>
      <c r="C244" s="15"/>
      <c r="E244" s="15"/>
      <c r="F244" s="17"/>
      <c r="G244" s="26"/>
      <c r="H244" s="26"/>
      <c r="I244" s="26"/>
      <c r="J244" s="26"/>
    </row>
    <row r="245" spans="1:10">
      <c r="A245" s="25"/>
      <c r="B245" s="15"/>
      <c r="C245" s="15"/>
      <c r="E245" s="15"/>
      <c r="F245" s="17"/>
      <c r="G245" s="26"/>
      <c r="H245" s="26"/>
      <c r="I245" s="26"/>
      <c r="J245" s="26"/>
    </row>
    <row r="246" spans="1:10">
      <c r="A246" s="25"/>
      <c r="B246" s="15"/>
      <c r="C246" s="15"/>
      <c r="E246" s="15"/>
      <c r="F246" s="17"/>
      <c r="G246" s="26"/>
      <c r="H246" s="26"/>
      <c r="I246" s="26"/>
      <c r="J246" s="26"/>
    </row>
    <row r="247" spans="1:10">
      <c r="A247" s="25"/>
      <c r="B247" s="15"/>
      <c r="C247" s="15"/>
      <c r="E247" s="15"/>
      <c r="F247" s="17"/>
      <c r="G247" s="26"/>
      <c r="H247" s="26"/>
      <c r="I247" s="26"/>
      <c r="J247" s="26"/>
    </row>
    <row r="248" spans="1:10">
      <c r="A248" s="25"/>
      <c r="B248" s="15"/>
      <c r="C248" s="15"/>
      <c r="E248" s="15"/>
      <c r="F248" s="17"/>
      <c r="G248" s="26"/>
      <c r="H248" s="26"/>
      <c r="I248" s="26"/>
      <c r="J248" s="26"/>
    </row>
    <row r="249" spans="1:10">
      <c r="A249" s="25"/>
      <c r="B249" s="15"/>
      <c r="C249" s="15"/>
      <c r="E249" s="15"/>
      <c r="F249" s="17"/>
      <c r="G249" s="26"/>
      <c r="H249" s="26"/>
      <c r="I249" s="26"/>
      <c r="J249" s="26"/>
    </row>
    <row r="250" spans="1:10">
      <c r="A250" s="25"/>
      <c r="B250" s="15"/>
      <c r="C250" s="15"/>
      <c r="E250" s="15"/>
      <c r="F250" s="17"/>
      <c r="G250" s="26"/>
      <c r="H250" s="26"/>
      <c r="I250" s="26"/>
      <c r="J250" s="26"/>
    </row>
    <row r="251" spans="1:10">
      <c r="A251" s="25"/>
      <c r="B251" s="15"/>
      <c r="C251" s="15"/>
      <c r="E251" s="15"/>
      <c r="F251" s="17"/>
      <c r="G251" s="26"/>
      <c r="H251" s="26"/>
      <c r="I251" s="26"/>
      <c r="J251" s="26"/>
    </row>
    <row r="252" spans="1:10">
      <c r="A252" s="25"/>
      <c r="B252" s="15"/>
      <c r="C252" s="15"/>
      <c r="E252" s="15"/>
      <c r="F252" s="17"/>
      <c r="G252" s="26"/>
      <c r="H252" s="26"/>
      <c r="I252" s="26"/>
      <c r="J252" s="26"/>
    </row>
    <row r="253" spans="1:10">
      <c r="A253" s="25"/>
      <c r="B253" s="15"/>
      <c r="C253" s="15"/>
      <c r="E253" s="15"/>
      <c r="F253" s="17"/>
      <c r="G253" s="26"/>
      <c r="H253" s="26"/>
      <c r="I253" s="26"/>
      <c r="J253" s="26"/>
    </row>
    <row r="254" spans="1:10">
      <c r="A254" s="25"/>
      <c r="B254" s="15"/>
      <c r="C254" s="15"/>
      <c r="E254" s="15"/>
      <c r="F254" s="17"/>
      <c r="G254" s="26"/>
      <c r="H254" s="26"/>
      <c r="I254" s="26"/>
      <c r="J254" s="26"/>
    </row>
    <row r="255" spans="1:10">
      <c r="A255" s="25"/>
      <c r="B255" s="15"/>
      <c r="C255" s="15"/>
      <c r="E255" s="15"/>
      <c r="F255" s="17"/>
      <c r="G255" s="26"/>
      <c r="H255" s="26"/>
      <c r="I255" s="26"/>
      <c r="J255" s="26"/>
    </row>
    <row r="256" spans="1:10">
      <c r="A256" s="25"/>
      <c r="B256" s="15"/>
      <c r="C256" s="15"/>
      <c r="E256" s="15"/>
      <c r="F256" s="17"/>
      <c r="G256" s="26"/>
      <c r="H256" s="26"/>
      <c r="I256" s="26"/>
      <c r="J256" s="26"/>
    </row>
    <row r="257" spans="1:10">
      <c r="A257" s="25"/>
      <c r="B257" s="15"/>
      <c r="C257" s="15"/>
      <c r="E257" s="15"/>
      <c r="F257" s="17"/>
      <c r="G257" s="26"/>
      <c r="H257" s="26"/>
      <c r="I257" s="26"/>
      <c r="J257" s="26"/>
    </row>
    <row r="258" spans="1:10">
      <c r="A258" s="25"/>
      <c r="B258" s="15"/>
      <c r="C258" s="15"/>
      <c r="E258" s="15"/>
      <c r="F258" s="17"/>
      <c r="G258" s="26"/>
      <c r="H258" s="26"/>
      <c r="I258" s="26"/>
      <c r="J258" s="26"/>
    </row>
    <row r="259" spans="1:10">
      <c r="A259" s="25"/>
      <c r="B259" s="15"/>
      <c r="C259" s="15"/>
      <c r="E259" s="15"/>
      <c r="F259" s="17"/>
      <c r="G259" s="26"/>
      <c r="H259" s="26"/>
      <c r="I259" s="26"/>
      <c r="J259" s="26"/>
    </row>
    <row r="260" spans="1:10">
      <c r="A260" s="25"/>
      <c r="B260" s="15"/>
      <c r="C260" s="15"/>
      <c r="E260" s="15"/>
      <c r="F260" s="17"/>
      <c r="G260" s="26"/>
      <c r="H260" s="26"/>
      <c r="I260" s="26"/>
      <c r="J260" s="26"/>
    </row>
    <row r="261" spans="1:10">
      <c r="A261" s="25"/>
      <c r="B261" s="15"/>
      <c r="C261" s="15"/>
      <c r="E261" s="15"/>
      <c r="F261" s="17"/>
      <c r="G261" s="26"/>
      <c r="H261" s="26"/>
      <c r="I261" s="26"/>
      <c r="J261" s="26"/>
    </row>
    <row r="262" spans="1:10">
      <c r="A262" s="25"/>
      <c r="B262" s="15"/>
      <c r="C262" s="15"/>
      <c r="E262" s="15"/>
      <c r="F262" s="17"/>
      <c r="G262" s="26"/>
      <c r="H262" s="26"/>
      <c r="I262" s="26"/>
      <c r="J262" s="26"/>
    </row>
    <row r="263" spans="1:10">
      <c r="A263" s="25"/>
      <c r="B263" s="15"/>
      <c r="C263" s="15"/>
      <c r="E263" s="15"/>
      <c r="F263" s="17"/>
      <c r="G263" s="26"/>
      <c r="H263" s="26"/>
      <c r="I263" s="26"/>
      <c r="J263" s="26"/>
    </row>
    <row r="264" spans="1:10">
      <c r="A264" s="25"/>
      <c r="B264" s="15"/>
      <c r="C264" s="15"/>
      <c r="E264" s="15"/>
      <c r="F264" s="17"/>
      <c r="G264" s="26"/>
      <c r="H264" s="26"/>
      <c r="I264" s="26"/>
      <c r="J264" s="26"/>
    </row>
    <row r="265" spans="1:10">
      <c r="A265" s="25"/>
      <c r="B265" s="15"/>
      <c r="C265" s="15"/>
      <c r="E265" s="15"/>
      <c r="F265" s="17"/>
      <c r="G265" s="26"/>
      <c r="H265" s="26"/>
      <c r="I265" s="26"/>
      <c r="J265" s="26"/>
    </row>
    <row r="266" spans="1:10">
      <c r="A266" s="25"/>
      <c r="B266" s="15"/>
      <c r="C266" s="15"/>
      <c r="E266" s="15"/>
      <c r="F266" s="17"/>
      <c r="G266" s="26"/>
      <c r="H266" s="26"/>
      <c r="I266" s="26"/>
      <c r="J266" s="26"/>
    </row>
    <row r="267" spans="1:10">
      <c r="A267" s="25"/>
      <c r="B267" s="15"/>
      <c r="C267" s="15"/>
      <c r="E267" s="15"/>
      <c r="F267" s="17"/>
      <c r="G267" s="26"/>
      <c r="H267" s="26"/>
      <c r="I267" s="26"/>
      <c r="J267" s="26"/>
    </row>
    <row r="268" spans="1:10">
      <c r="A268" s="25"/>
      <c r="B268" s="15"/>
      <c r="C268" s="15"/>
      <c r="E268" s="15"/>
      <c r="F268" s="17"/>
      <c r="G268" s="26"/>
      <c r="H268" s="26"/>
      <c r="I268" s="26"/>
      <c r="J268" s="26"/>
    </row>
    <row r="269" spans="1:10">
      <c r="A269" s="25"/>
      <c r="B269" s="15"/>
      <c r="C269" s="15"/>
      <c r="E269" s="15"/>
      <c r="F269" s="17"/>
      <c r="G269" s="26"/>
      <c r="H269" s="26"/>
      <c r="I269" s="26"/>
      <c r="J269" s="26"/>
    </row>
    <row r="270" spans="1:10">
      <c r="A270" s="25"/>
      <c r="B270" s="15"/>
      <c r="C270" s="15"/>
      <c r="E270" s="15"/>
      <c r="F270" s="17"/>
      <c r="G270" s="26"/>
      <c r="H270" s="26"/>
      <c r="I270" s="26"/>
      <c r="J270" s="26"/>
    </row>
    <row r="271" spans="1:10">
      <c r="A271" s="25"/>
      <c r="B271" s="15"/>
      <c r="C271" s="15"/>
      <c r="E271" s="15"/>
      <c r="F271" s="17"/>
      <c r="G271" s="26"/>
      <c r="H271" s="26"/>
      <c r="I271" s="26"/>
      <c r="J271" s="26"/>
    </row>
    <row r="272" spans="1:10">
      <c r="A272" s="25"/>
      <c r="B272" s="15"/>
      <c r="C272" s="15"/>
      <c r="E272" s="15"/>
      <c r="F272" s="17"/>
      <c r="G272" s="26"/>
      <c r="H272" s="26"/>
      <c r="I272" s="26"/>
      <c r="J272" s="26"/>
    </row>
    <row r="273" spans="1:10">
      <c r="A273" s="25"/>
      <c r="B273" s="15"/>
      <c r="C273" s="15"/>
      <c r="E273" s="15"/>
      <c r="F273" s="17"/>
      <c r="G273" s="26"/>
      <c r="H273" s="26"/>
      <c r="I273" s="26"/>
      <c r="J273" s="26"/>
    </row>
    <row r="274" spans="1:10">
      <c r="A274" s="25"/>
      <c r="B274" s="15"/>
      <c r="C274" s="15"/>
      <c r="E274" s="15"/>
      <c r="F274" s="17"/>
      <c r="G274" s="26"/>
      <c r="H274" s="26"/>
      <c r="I274" s="26"/>
      <c r="J274" s="26"/>
    </row>
    <row r="275" spans="1:10">
      <c r="A275" s="25"/>
      <c r="B275" s="15"/>
      <c r="C275" s="15"/>
      <c r="E275" s="15"/>
      <c r="F275" s="17"/>
      <c r="G275" s="26"/>
      <c r="H275" s="26"/>
      <c r="I275" s="26"/>
      <c r="J275" s="26"/>
    </row>
    <row r="276" spans="1:10">
      <c r="A276" s="25"/>
      <c r="B276" s="15"/>
      <c r="C276" s="15"/>
      <c r="E276" s="15"/>
      <c r="F276" s="17"/>
      <c r="G276" s="26"/>
      <c r="H276" s="26"/>
      <c r="I276" s="26"/>
      <c r="J276" s="26"/>
    </row>
    <row r="277" spans="1:10">
      <c r="A277" s="25"/>
      <c r="B277" s="15"/>
      <c r="C277" s="15"/>
      <c r="E277" s="15"/>
      <c r="F277" s="17"/>
      <c r="G277" s="26"/>
      <c r="H277" s="26"/>
      <c r="I277" s="26"/>
      <c r="J277" s="26"/>
    </row>
    <row r="278" spans="1:10">
      <c r="A278" s="25"/>
      <c r="B278" s="15"/>
      <c r="C278" s="15"/>
      <c r="E278" s="15"/>
      <c r="F278" s="17"/>
      <c r="G278" s="26"/>
      <c r="H278" s="26"/>
      <c r="I278" s="26"/>
      <c r="J278" s="26"/>
    </row>
    <row r="279" spans="1:10">
      <c r="A279" s="25"/>
      <c r="B279" s="15"/>
      <c r="C279" s="15"/>
      <c r="E279" s="15"/>
      <c r="F279" s="17"/>
      <c r="G279" s="26"/>
      <c r="H279" s="26"/>
      <c r="I279" s="26"/>
      <c r="J279" s="26"/>
    </row>
    <row r="280" spans="1:10">
      <c r="A280" s="25"/>
      <c r="B280" s="15"/>
      <c r="C280" s="15"/>
      <c r="E280" s="15"/>
      <c r="F280" s="17"/>
      <c r="G280" s="26"/>
      <c r="H280" s="26"/>
      <c r="I280" s="26"/>
      <c r="J280" s="26"/>
    </row>
    <row r="281" spans="1:10">
      <c r="A281" s="25"/>
      <c r="B281" s="15"/>
      <c r="C281" s="15"/>
      <c r="E281" s="15"/>
      <c r="F281" s="17"/>
      <c r="G281" s="26"/>
      <c r="H281" s="26"/>
      <c r="I281" s="26"/>
      <c r="J281" s="26"/>
    </row>
    <row r="282" spans="1:10">
      <c r="A282" s="25"/>
      <c r="B282" s="15"/>
      <c r="C282" s="15"/>
      <c r="E282" s="15"/>
      <c r="F282" s="17"/>
      <c r="G282" s="26"/>
      <c r="H282" s="26"/>
      <c r="I282" s="26"/>
      <c r="J282" s="26"/>
    </row>
    <row r="283" spans="1:10">
      <c r="A283" s="25"/>
      <c r="B283" s="15"/>
      <c r="C283" s="15"/>
      <c r="E283" s="15"/>
      <c r="F283" s="17"/>
      <c r="G283" s="26"/>
      <c r="H283" s="26"/>
      <c r="I283" s="26"/>
      <c r="J283" s="26"/>
    </row>
    <row r="284" spans="1:10">
      <c r="A284" s="25"/>
      <c r="B284" s="15"/>
      <c r="C284" s="15"/>
      <c r="E284" s="15"/>
      <c r="F284" s="17"/>
      <c r="G284" s="26"/>
      <c r="H284" s="26"/>
      <c r="I284" s="26"/>
      <c r="J284" s="26"/>
    </row>
    <row r="285" spans="1:10">
      <c r="A285" s="25"/>
      <c r="B285" s="15"/>
      <c r="C285" s="15"/>
      <c r="E285" s="15"/>
      <c r="F285" s="17"/>
      <c r="G285" s="26"/>
      <c r="H285" s="26"/>
      <c r="I285" s="26"/>
      <c r="J285" s="26"/>
    </row>
    <row r="286" spans="1:10">
      <c r="A286" s="25"/>
      <c r="B286" s="15"/>
      <c r="C286" s="15"/>
      <c r="E286" s="15"/>
      <c r="F286" s="17"/>
      <c r="G286" s="26"/>
      <c r="H286" s="26"/>
      <c r="I286" s="26"/>
      <c r="J286" s="26"/>
    </row>
    <row r="287" spans="1:10">
      <c r="A287" s="25"/>
      <c r="B287" s="15"/>
      <c r="C287" s="15"/>
      <c r="E287" s="15"/>
      <c r="F287" s="17"/>
      <c r="G287" s="26"/>
      <c r="H287" s="26"/>
      <c r="I287" s="26"/>
      <c r="J287" s="26"/>
    </row>
    <row r="288" spans="1:10">
      <c r="A288" s="25"/>
      <c r="B288" s="15"/>
      <c r="C288" s="15"/>
      <c r="E288" s="15"/>
      <c r="F288" s="17"/>
      <c r="G288" s="26"/>
      <c r="H288" s="26"/>
      <c r="I288" s="26"/>
      <c r="J288" s="26"/>
    </row>
    <row r="289" spans="1:10">
      <c r="A289" s="25"/>
      <c r="B289" s="15"/>
      <c r="C289" s="15"/>
      <c r="E289" s="15"/>
      <c r="F289" s="17"/>
      <c r="G289" s="26"/>
      <c r="H289" s="26"/>
      <c r="I289" s="26"/>
      <c r="J289" s="26"/>
    </row>
    <row r="290" spans="1:10">
      <c r="A290" s="25"/>
      <c r="B290" s="15"/>
      <c r="C290" s="15"/>
      <c r="E290" s="15"/>
      <c r="F290" s="17"/>
      <c r="G290" s="26"/>
      <c r="H290" s="26"/>
      <c r="I290" s="26"/>
      <c r="J290" s="26"/>
    </row>
    <row r="291" spans="1:10">
      <c r="A291" s="25"/>
      <c r="B291" s="15"/>
      <c r="C291" s="15"/>
      <c r="E291" s="15"/>
      <c r="F291" s="17"/>
      <c r="G291" s="26"/>
      <c r="H291" s="26"/>
      <c r="I291" s="26"/>
      <c r="J291" s="26"/>
    </row>
    <row r="292" spans="1:10">
      <c r="A292" s="25"/>
      <c r="B292" s="15"/>
      <c r="C292" s="15"/>
      <c r="E292" s="15"/>
      <c r="F292" s="17"/>
      <c r="G292" s="26"/>
      <c r="H292" s="26"/>
      <c r="I292" s="26"/>
      <c r="J292" s="26"/>
    </row>
    <row r="293" spans="1:10">
      <c r="A293" s="25"/>
      <c r="B293" s="15"/>
      <c r="C293" s="15"/>
      <c r="E293" s="15"/>
      <c r="F293" s="17"/>
      <c r="G293" s="26"/>
      <c r="H293" s="26"/>
      <c r="I293" s="26"/>
      <c r="J293" s="26"/>
    </row>
    <row r="294" spans="1:10">
      <c r="A294" s="25"/>
      <c r="B294" s="15"/>
      <c r="C294" s="15"/>
      <c r="E294" s="15"/>
      <c r="F294" s="17"/>
      <c r="G294" s="26"/>
      <c r="H294" s="26"/>
      <c r="I294" s="26"/>
      <c r="J294" s="26"/>
    </row>
    <row r="295" spans="1:10">
      <c r="A295" s="25"/>
      <c r="B295" s="15"/>
      <c r="C295" s="15"/>
      <c r="E295" s="15"/>
      <c r="F295" s="17"/>
      <c r="G295" s="26"/>
      <c r="H295" s="26"/>
      <c r="I295" s="26"/>
      <c r="J295" s="26"/>
    </row>
    <row r="296" spans="1:10">
      <c r="A296" s="25"/>
      <c r="B296" s="15"/>
      <c r="C296" s="15"/>
      <c r="E296" s="15"/>
      <c r="F296" s="17"/>
      <c r="G296" s="26"/>
      <c r="H296" s="26"/>
      <c r="I296" s="26"/>
      <c r="J296" s="26"/>
    </row>
    <row r="297" spans="1:10">
      <c r="A297" s="25"/>
      <c r="B297" s="15"/>
      <c r="C297" s="15"/>
      <c r="E297" s="15"/>
      <c r="F297" s="17"/>
      <c r="G297" s="26"/>
      <c r="H297" s="26"/>
      <c r="I297" s="26"/>
      <c r="J297" s="26"/>
    </row>
    <row r="298" spans="1:10">
      <c r="A298" s="25"/>
      <c r="B298" s="15"/>
      <c r="C298" s="15"/>
      <c r="E298" s="15"/>
      <c r="F298" s="17"/>
      <c r="G298" s="26"/>
      <c r="H298" s="26"/>
      <c r="I298" s="26"/>
      <c r="J298" s="26"/>
    </row>
    <row r="299" spans="1:10">
      <c r="A299" s="25"/>
      <c r="B299" s="15"/>
      <c r="C299" s="15"/>
      <c r="E299" s="15"/>
      <c r="F299" s="17"/>
      <c r="G299" s="26"/>
      <c r="H299" s="26"/>
      <c r="I299" s="26"/>
      <c r="J299" s="26"/>
    </row>
    <row r="300" spans="1:10">
      <c r="A300" s="25"/>
      <c r="B300" s="15"/>
      <c r="C300" s="15"/>
      <c r="E300" s="15"/>
      <c r="F300" s="17"/>
      <c r="G300" s="26"/>
      <c r="H300" s="26"/>
      <c r="I300" s="26"/>
      <c r="J300" s="26"/>
    </row>
    <row r="301" spans="1:10">
      <c r="A301" s="25"/>
      <c r="B301" s="15"/>
      <c r="C301" s="15"/>
      <c r="E301" s="15"/>
      <c r="F301" s="17"/>
      <c r="G301" s="26"/>
      <c r="H301" s="26"/>
      <c r="I301" s="26"/>
      <c r="J301" s="26"/>
    </row>
    <row r="302" spans="1:10">
      <c r="A302" s="25"/>
      <c r="B302" s="15"/>
      <c r="C302" s="15"/>
      <c r="E302" s="15"/>
      <c r="F302" s="17"/>
      <c r="G302" s="26"/>
      <c r="H302" s="26"/>
      <c r="I302" s="26"/>
      <c r="J302" s="26"/>
    </row>
    <row r="303" spans="1:10">
      <c r="A303" s="25"/>
      <c r="B303" s="15"/>
      <c r="C303" s="15"/>
      <c r="E303" s="15"/>
      <c r="F303" s="17"/>
      <c r="G303" s="26"/>
      <c r="H303" s="26"/>
      <c r="I303" s="26"/>
      <c r="J303" s="26"/>
    </row>
    <row r="304" spans="1:10">
      <c r="A304" s="25"/>
      <c r="B304" s="15"/>
      <c r="C304" s="15"/>
      <c r="E304" s="15"/>
      <c r="F304" s="17"/>
      <c r="G304" s="26"/>
      <c r="H304" s="26"/>
      <c r="I304" s="26"/>
      <c r="J304" s="26"/>
    </row>
    <row r="305" spans="1:10">
      <c r="A305" s="25"/>
      <c r="B305" s="15"/>
      <c r="C305" s="15"/>
      <c r="E305" s="15"/>
      <c r="F305" s="17"/>
      <c r="G305" s="26"/>
      <c r="H305" s="26"/>
      <c r="I305" s="26"/>
      <c r="J305" s="26"/>
    </row>
    <row r="306" spans="1:10">
      <c r="A306" s="25"/>
      <c r="B306" s="15"/>
      <c r="C306" s="15"/>
      <c r="E306" s="15"/>
      <c r="F306" s="17"/>
      <c r="G306" s="26"/>
      <c r="H306" s="26"/>
      <c r="I306" s="26"/>
      <c r="J306" s="26"/>
    </row>
    <row r="307" spans="1:10">
      <c r="A307" s="25"/>
      <c r="B307" s="15"/>
      <c r="C307" s="15"/>
      <c r="E307" s="15"/>
      <c r="F307" s="17"/>
      <c r="G307" s="26"/>
      <c r="H307" s="26"/>
      <c r="I307" s="26"/>
      <c r="J307" s="26"/>
    </row>
    <row r="308" spans="1:10">
      <c r="A308" s="25"/>
      <c r="B308" s="15"/>
      <c r="C308" s="15"/>
      <c r="E308" s="15"/>
      <c r="F308" s="17"/>
      <c r="G308" s="26"/>
      <c r="H308" s="26"/>
      <c r="I308" s="26"/>
      <c r="J308" s="26"/>
    </row>
    <row r="309" spans="1:10">
      <c r="A309" s="25"/>
      <c r="B309" s="15"/>
      <c r="C309" s="15"/>
      <c r="E309" s="15"/>
      <c r="F309" s="17"/>
      <c r="G309" s="26"/>
      <c r="H309" s="26"/>
      <c r="I309" s="26"/>
      <c r="J309" s="26"/>
    </row>
    <row r="310" spans="1:10">
      <c r="A310" s="25"/>
      <c r="B310" s="15"/>
      <c r="C310" s="15"/>
      <c r="E310" s="15"/>
      <c r="F310" s="17"/>
      <c r="G310" s="26"/>
      <c r="H310" s="26"/>
      <c r="I310" s="26"/>
      <c r="J310" s="26"/>
    </row>
    <row r="311" spans="1:10">
      <c r="A311" s="25"/>
      <c r="B311" s="15"/>
      <c r="C311" s="15"/>
      <c r="E311" s="15"/>
      <c r="F311" s="17"/>
      <c r="G311" s="26"/>
      <c r="H311" s="26"/>
      <c r="I311" s="26"/>
      <c r="J311" s="26"/>
    </row>
    <row r="312" spans="1:10">
      <c r="A312" s="25"/>
      <c r="B312" s="15"/>
      <c r="C312" s="15"/>
      <c r="E312" s="15"/>
      <c r="F312" s="17"/>
      <c r="G312" s="26"/>
      <c r="H312" s="26"/>
      <c r="I312" s="26"/>
      <c r="J312" s="26"/>
    </row>
    <row r="313" spans="1:10">
      <c r="A313" s="25"/>
      <c r="B313" s="15"/>
      <c r="C313" s="15"/>
      <c r="E313" s="15"/>
      <c r="F313" s="17"/>
      <c r="G313" s="26"/>
      <c r="H313" s="26"/>
      <c r="I313" s="26"/>
      <c r="J313" s="26"/>
    </row>
    <row r="314" spans="1:10">
      <c r="A314" s="25"/>
      <c r="B314" s="15"/>
      <c r="C314" s="15"/>
      <c r="E314" s="15"/>
      <c r="F314" s="17"/>
      <c r="G314" s="26"/>
      <c r="H314" s="26"/>
      <c r="I314" s="26"/>
      <c r="J314" s="26"/>
    </row>
    <row r="315" spans="1:10">
      <c r="A315" s="25"/>
      <c r="B315" s="15"/>
      <c r="C315" s="15"/>
      <c r="E315" s="15"/>
      <c r="F315" s="17"/>
      <c r="G315" s="26"/>
      <c r="H315" s="26"/>
      <c r="I315" s="26"/>
      <c r="J315" s="26"/>
    </row>
    <row r="316" spans="1:10">
      <c r="A316" s="25"/>
      <c r="B316" s="15"/>
      <c r="C316" s="15"/>
      <c r="E316" s="15"/>
      <c r="F316" s="17"/>
      <c r="G316" s="26"/>
      <c r="H316" s="26"/>
      <c r="I316" s="26"/>
      <c r="J316" s="26"/>
    </row>
    <row r="317" spans="1:10">
      <c r="A317" s="25"/>
      <c r="B317" s="15"/>
      <c r="C317" s="15"/>
      <c r="E317" s="15"/>
      <c r="F317" s="17"/>
      <c r="G317" s="26"/>
      <c r="H317" s="26"/>
      <c r="I317" s="26"/>
      <c r="J317" s="26"/>
    </row>
    <row r="318" spans="1:10">
      <c r="A318" s="25"/>
      <c r="B318" s="15"/>
      <c r="C318" s="15"/>
      <c r="E318" s="15"/>
      <c r="F318" s="17"/>
      <c r="G318" s="26"/>
      <c r="H318" s="26"/>
      <c r="I318" s="26"/>
      <c r="J318" s="26"/>
    </row>
    <row r="319" spans="1:10">
      <c r="A319" s="25"/>
      <c r="B319" s="15"/>
      <c r="C319" s="15"/>
      <c r="E319" s="15"/>
      <c r="F319" s="17"/>
      <c r="G319" s="26"/>
      <c r="H319" s="26"/>
      <c r="I319" s="26"/>
      <c r="J319" s="26"/>
    </row>
    <row r="320" spans="1:10">
      <c r="A320" s="25"/>
      <c r="B320" s="15"/>
      <c r="C320" s="15"/>
      <c r="E320" s="15"/>
      <c r="F320" s="17"/>
      <c r="G320" s="26"/>
      <c r="H320" s="26"/>
      <c r="I320" s="26"/>
      <c r="J320" s="26"/>
    </row>
    <row r="321" spans="1:10">
      <c r="A321" s="25"/>
      <c r="B321" s="15"/>
      <c r="C321" s="15"/>
      <c r="E321" s="15"/>
      <c r="F321" s="17"/>
      <c r="G321" s="26"/>
      <c r="H321" s="26"/>
      <c r="I321" s="26"/>
      <c r="J321" s="26"/>
    </row>
    <row r="322" spans="1:10">
      <c r="A322" s="25"/>
      <c r="B322" s="15"/>
      <c r="C322" s="15"/>
      <c r="E322" s="15"/>
      <c r="F322" s="17"/>
      <c r="G322" s="26"/>
      <c r="H322" s="26"/>
      <c r="I322" s="26"/>
      <c r="J322" s="26"/>
    </row>
    <row r="323" spans="1:10">
      <c r="A323" s="25"/>
      <c r="B323" s="15"/>
      <c r="C323" s="15"/>
      <c r="E323" s="15"/>
      <c r="F323" s="17"/>
      <c r="G323" s="26"/>
      <c r="H323" s="26"/>
      <c r="I323" s="26"/>
      <c r="J323" s="26"/>
    </row>
    <row r="324" spans="1:10">
      <c r="A324" s="25"/>
      <c r="B324" s="15"/>
      <c r="C324" s="15"/>
      <c r="E324" s="15"/>
      <c r="F324" s="17"/>
      <c r="G324" s="26"/>
      <c r="H324" s="26"/>
      <c r="I324" s="26"/>
      <c r="J324" s="26"/>
    </row>
    <row r="325" spans="1:10">
      <c r="A325" s="25"/>
      <c r="B325" s="15"/>
      <c r="C325" s="15"/>
      <c r="E325" s="15"/>
      <c r="F325" s="17"/>
      <c r="G325" s="26"/>
      <c r="H325" s="26"/>
      <c r="I325" s="26"/>
      <c r="J325" s="26"/>
    </row>
    <row r="326" spans="1:10">
      <c r="A326" s="25"/>
      <c r="B326" s="15"/>
      <c r="C326" s="15"/>
      <c r="E326" s="15"/>
      <c r="F326" s="17"/>
      <c r="G326" s="26"/>
      <c r="H326" s="26"/>
      <c r="I326" s="26"/>
      <c r="J326" s="26"/>
    </row>
    <row r="327" spans="1:10">
      <c r="A327" s="25"/>
      <c r="B327" s="15"/>
      <c r="C327" s="15"/>
      <c r="E327" s="15"/>
      <c r="F327" s="17"/>
      <c r="G327" s="26"/>
      <c r="H327" s="26"/>
      <c r="I327" s="26"/>
      <c r="J327" s="26"/>
    </row>
    <row r="328" spans="1:10">
      <c r="A328" s="25"/>
      <c r="B328" s="15"/>
      <c r="C328" s="15"/>
      <c r="E328" s="15"/>
      <c r="F328" s="17"/>
      <c r="G328" s="26"/>
      <c r="H328" s="26"/>
      <c r="I328" s="26"/>
      <c r="J328" s="26"/>
    </row>
    <row r="329" spans="1:10">
      <c r="A329" s="25"/>
      <c r="B329" s="15"/>
      <c r="C329" s="15"/>
      <c r="E329" s="15"/>
      <c r="F329" s="17"/>
      <c r="G329" s="26"/>
      <c r="H329" s="26"/>
      <c r="I329" s="26"/>
      <c r="J329" s="26"/>
    </row>
    <row r="330" spans="1:10">
      <c r="A330" s="25"/>
      <c r="B330" s="15"/>
      <c r="C330" s="15"/>
      <c r="E330" s="15"/>
      <c r="F330" s="17"/>
      <c r="G330" s="26"/>
      <c r="H330" s="26"/>
      <c r="I330" s="26"/>
      <c r="J330" s="26"/>
    </row>
    <row r="331" spans="1:10">
      <c r="A331" s="25"/>
      <c r="B331" s="15"/>
      <c r="C331" s="15"/>
      <c r="E331" s="15"/>
      <c r="F331" s="17"/>
      <c r="G331" s="26"/>
      <c r="H331" s="26"/>
      <c r="I331" s="26"/>
      <c r="J331" s="26"/>
    </row>
    <row r="332" spans="1:10">
      <c r="A332" s="25"/>
      <c r="B332" s="15"/>
      <c r="C332" s="15"/>
      <c r="E332" s="15"/>
      <c r="F332" s="17"/>
      <c r="G332" s="26"/>
      <c r="H332" s="26"/>
      <c r="I332" s="26"/>
      <c r="J332" s="26"/>
    </row>
    <row r="333" spans="1:10">
      <c r="A333" s="25"/>
      <c r="B333" s="15"/>
      <c r="C333" s="15"/>
      <c r="E333" s="15"/>
      <c r="F333" s="17"/>
      <c r="G333" s="26"/>
      <c r="H333" s="26"/>
      <c r="I333" s="26"/>
      <c r="J333" s="26"/>
    </row>
    <row r="334" spans="1:10">
      <c r="A334" s="25"/>
      <c r="B334" s="15"/>
      <c r="C334" s="15"/>
      <c r="E334" s="15"/>
      <c r="F334" s="17"/>
      <c r="G334" s="26"/>
      <c r="H334" s="26"/>
      <c r="I334" s="26"/>
      <c r="J334" s="26"/>
    </row>
    <row r="335" spans="1:10">
      <c r="A335" s="25"/>
      <c r="B335" s="15"/>
      <c r="C335" s="15"/>
      <c r="E335" s="15"/>
      <c r="F335" s="17"/>
      <c r="G335" s="26"/>
      <c r="H335" s="26"/>
      <c r="I335" s="26"/>
      <c r="J335" s="26"/>
    </row>
    <row r="336" spans="1:10">
      <c r="A336" s="25"/>
      <c r="B336" s="15"/>
      <c r="C336" s="15"/>
      <c r="E336" s="15"/>
      <c r="F336" s="17"/>
      <c r="G336" s="26"/>
      <c r="H336" s="26"/>
      <c r="I336" s="26"/>
      <c r="J336" s="26"/>
    </row>
    <row r="337" spans="1:10">
      <c r="A337" s="25"/>
      <c r="B337" s="15"/>
      <c r="C337" s="15"/>
      <c r="E337" s="15"/>
      <c r="F337" s="17"/>
      <c r="G337" s="26"/>
      <c r="H337" s="26"/>
      <c r="I337" s="26"/>
      <c r="J337" s="26"/>
    </row>
    <row r="338" spans="1:10">
      <c r="A338" s="25"/>
      <c r="B338" s="15"/>
      <c r="C338" s="15"/>
      <c r="E338" s="15"/>
      <c r="F338" s="17"/>
      <c r="G338" s="26"/>
      <c r="H338" s="26"/>
      <c r="I338" s="26"/>
      <c r="J338" s="26"/>
    </row>
    <row r="339" spans="1:10">
      <c r="A339" s="25"/>
      <c r="B339" s="15"/>
      <c r="C339" s="15"/>
      <c r="E339" s="15"/>
      <c r="F339" s="17"/>
      <c r="G339" s="26"/>
      <c r="H339" s="26"/>
      <c r="I339" s="26"/>
      <c r="J339" s="26"/>
    </row>
    <row r="340" spans="1:10">
      <c r="A340" s="25"/>
      <c r="B340" s="15"/>
      <c r="C340" s="15"/>
      <c r="E340" s="15"/>
      <c r="F340" s="17"/>
      <c r="G340" s="26"/>
      <c r="H340" s="26"/>
      <c r="I340" s="26"/>
      <c r="J340" s="26"/>
    </row>
    <row r="341" spans="1:10">
      <c r="A341" s="25"/>
      <c r="B341" s="15"/>
      <c r="C341" s="15"/>
      <c r="E341" s="15"/>
      <c r="F341" s="17"/>
      <c r="G341" s="26"/>
      <c r="H341" s="26"/>
      <c r="I341" s="26"/>
      <c r="J341" s="26"/>
    </row>
    <row r="342" spans="1:10">
      <c r="A342" s="25"/>
      <c r="B342" s="15"/>
      <c r="C342" s="15"/>
      <c r="E342" s="15"/>
      <c r="F342" s="17"/>
      <c r="G342" s="26"/>
      <c r="H342" s="26"/>
      <c r="I342" s="26"/>
      <c r="J342" s="26"/>
    </row>
    <row r="343" spans="1:10">
      <c r="A343" s="25"/>
      <c r="B343" s="15"/>
      <c r="C343" s="15"/>
      <c r="E343" s="15"/>
      <c r="F343" s="17"/>
      <c r="G343" s="26"/>
      <c r="H343" s="26"/>
      <c r="I343" s="26"/>
      <c r="J343" s="26"/>
    </row>
    <row r="344" spans="1:10">
      <c r="A344" s="25"/>
      <c r="B344" s="15"/>
      <c r="C344" s="15"/>
      <c r="E344" s="15"/>
      <c r="F344" s="17"/>
      <c r="G344" s="26"/>
      <c r="H344" s="26"/>
      <c r="I344" s="26"/>
      <c r="J344" s="26"/>
    </row>
    <row r="345" spans="1:10">
      <c r="A345" s="25"/>
      <c r="B345" s="15"/>
      <c r="C345" s="15"/>
      <c r="E345" s="15"/>
      <c r="F345" s="17"/>
      <c r="G345" s="26"/>
      <c r="H345" s="26"/>
      <c r="I345" s="26"/>
      <c r="J345" s="26"/>
    </row>
    <row r="346" spans="1:10">
      <c r="A346" s="25"/>
      <c r="B346" s="15"/>
      <c r="C346" s="15"/>
      <c r="E346" s="15"/>
      <c r="F346" s="17"/>
      <c r="G346" s="26"/>
      <c r="H346" s="26"/>
      <c r="I346" s="26"/>
      <c r="J346" s="26"/>
    </row>
    <row r="347" spans="1:10">
      <c r="A347" s="25"/>
      <c r="B347" s="15"/>
      <c r="C347" s="15"/>
      <c r="E347" s="15"/>
      <c r="F347" s="17"/>
      <c r="G347" s="26"/>
      <c r="H347" s="26"/>
      <c r="I347" s="26"/>
      <c r="J347" s="26"/>
    </row>
    <row r="348" spans="1:10">
      <c r="A348" s="25"/>
      <c r="B348" s="15"/>
      <c r="C348" s="15"/>
      <c r="E348" s="15"/>
      <c r="F348" s="17"/>
      <c r="G348" s="26"/>
      <c r="H348" s="26"/>
      <c r="I348" s="26"/>
      <c r="J348" s="26"/>
    </row>
    <row r="349" spans="1:10">
      <c r="A349" s="25"/>
      <c r="B349" s="15"/>
      <c r="C349" s="15"/>
      <c r="E349" s="15"/>
      <c r="F349" s="17"/>
      <c r="G349" s="26"/>
      <c r="H349" s="26"/>
      <c r="I349" s="26"/>
      <c r="J349" s="26"/>
    </row>
    <row r="350" spans="1:10">
      <c r="A350" s="25"/>
      <c r="B350" s="15"/>
      <c r="C350" s="15"/>
      <c r="E350" s="15"/>
      <c r="F350" s="17"/>
      <c r="G350" s="26"/>
      <c r="H350" s="26"/>
      <c r="I350" s="26"/>
      <c r="J350" s="26"/>
    </row>
    <row r="351" spans="1:10">
      <c r="A351" s="25"/>
      <c r="B351" s="15"/>
      <c r="C351" s="15"/>
      <c r="E351" s="15"/>
      <c r="F351" s="17"/>
      <c r="G351" s="26"/>
      <c r="H351" s="26"/>
      <c r="I351" s="26"/>
      <c r="J351" s="26"/>
    </row>
    <row r="352" spans="1:10">
      <c r="A352" s="25"/>
      <c r="B352" s="15"/>
      <c r="C352" s="15"/>
      <c r="E352" s="15"/>
      <c r="F352" s="17"/>
      <c r="G352" s="26"/>
      <c r="H352" s="26"/>
      <c r="I352" s="26"/>
      <c r="J352" s="26"/>
    </row>
    <row r="353" spans="1:10">
      <c r="A353" s="25"/>
      <c r="B353" s="15"/>
      <c r="C353" s="15"/>
      <c r="E353" s="15"/>
      <c r="F353" s="17"/>
      <c r="G353" s="26"/>
      <c r="H353" s="26"/>
      <c r="I353" s="26"/>
      <c r="J353" s="26"/>
    </row>
    <row r="354" spans="1:10">
      <c r="A354" s="25"/>
      <c r="B354" s="15"/>
      <c r="C354" s="15"/>
      <c r="E354" s="15"/>
      <c r="F354" s="17"/>
      <c r="G354" s="26"/>
      <c r="H354" s="26"/>
      <c r="I354" s="26"/>
      <c r="J354" s="26"/>
    </row>
    <row r="355" spans="1:10">
      <c r="A355" s="25"/>
      <c r="B355" s="15"/>
      <c r="C355" s="15"/>
      <c r="E355" s="15"/>
      <c r="F355" s="17"/>
      <c r="G355" s="26"/>
      <c r="H355" s="26"/>
      <c r="I355" s="26"/>
      <c r="J355" s="26"/>
    </row>
    <row r="356" spans="1:10">
      <c r="A356" s="25"/>
      <c r="B356" s="15"/>
      <c r="C356" s="15"/>
      <c r="E356" s="15"/>
      <c r="F356" s="17"/>
      <c r="G356" s="26"/>
      <c r="H356" s="26"/>
      <c r="I356" s="26"/>
      <c r="J356" s="26"/>
    </row>
    <row r="357" spans="1:10">
      <c r="A357" s="25"/>
      <c r="B357" s="15"/>
      <c r="C357" s="15"/>
      <c r="E357" s="15"/>
      <c r="F357" s="17"/>
      <c r="G357" s="26"/>
      <c r="H357" s="26"/>
      <c r="I357" s="26"/>
      <c r="J357" s="26"/>
    </row>
    <row r="358" spans="1:10">
      <c r="A358" s="25"/>
      <c r="B358" s="15"/>
      <c r="C358" s="15"/>
      <c r="E358" s="15"/>
      <c r="F358" s="17"/>
      <c r="G358" s="26"/>
      <c r="H358" s="26"/>
      <c r="I358" s="26"/>
      <c r="J358" s="26"/>
    </row>
    <row r="359" spans="1:10">
      <c r="A359" s="25"/>
      <c r="B359" s="15"/>
      <c r="C359" s="15"/>
      <c r="E359" s="15"/>
      <c r="F359" s="17"/>
      <c r="G359" s="26"/>
      <c r="H359" s="26"/>
      <c r="I359" s="26"/>
      <c r="J359" s="26"/>
    </row>
    <row r="360" spans="1:10">
      <c r="A360" s="25"/>
      <c r="B360" s="15"/>
      <c r="C360" s="15"/>
      <c r="E360" s="15"/>
      <c r="F360" s="17"/>
      <c r="G360" s="26"/>
      <c r="H360" s="26"/>
      <c r="I360" s="26"/>
      <c r="J360" s="26"/>
    </row>
    <row r="361" spans="1:10">
      <c r="A361" s="25"/>
      <c r="B361" s="15"/>
      <c r="C361" s="15"/>
      <c r="E361" s="15"/>
      <c r="F361" s="17"/>
      <c r="G361" s="26"/>
      <c r="H361" s="26"/>
      <c r="I361" s="26"/>
      <c r="J361" s="26"/>
    </row>
    <row r="362" spans="1:10">
      <c r="A362" s="25"/>
      <c r="B362" s="15"/>
      <c r="C362" s="15"/>
      <c r="E362" s="15"/>
      <c r="F362" s="17"/>
      <c r="G362" s="26"/>
      <c r="H362" s="26"/>
      <c r="I362" s="26"/>
      <c r="J362" s="26"/>
    </row>
    <row r="363" spans="1:10">
      <c r="A363" s="25"/>
      <c r="B363" s="15"/>
      <c r="C363" s="15"/>
      <c r="E363" s="15"/>
      <c r="F363" s="17"/>
      <c r="G363" s="26"/>
      <c r="H363" s="26"/>
      <c r="I363" s="26"/>
      <c r="J363" s="26"/>
    </row>
    <row r="364" spans="1:10">
      <c r="A364" s="25"/>
      <c r="B364" s="15"/>
      <c r="C364" s="15"/>
      <c r="E364" s="15"/>
      <c r="F364" s="17"/>
      <c r="G364" s="26"/>
      <c r="H364" s="26"/>
      <c r="I364" s="26"/>
      <c r="J364" s="26"/>
    </row>
    <row r="365" spans="1:10">
      <c r="A365" s="25"/>
      <c r="B365" s="15"/>
      <c r="C365" s="15"/>
      <c r="E365" s="15"/>
      <c r="F365" s="17"/>
      <c r="G365" s="26"/>
      <c r="H365" s="26"/>
      <c r="I365" s="26"/>
      <c r="J365" s="26"/>
    </row>
    <row r="366" spans="1:10">
      <c r="A366" s="25"/>
      <c r="B366" s="15"/>
      <c r="C366" s="15"/>
      <c r="E366" s="15"/>
      <c r="F366" s="17"/>
      <c r="G366" s="26"/>
      <c r="H366" s="26"/>
      <c r="I366" s="26"/>
      <c r="J366" s="26"/>
    </row>
    <row r="367" spans="1:10">
      <c r="A367" s="25"/>
      <c r="B367" s="15"/>
      <c r="C367" s="15"/>
      <c r="E367" s="15"/>
      <c r="F367" s="17"/>
      <c r="G367" s="26"/>
      <c r="H367" s="26"/>
      <c r="I367" s="26"/>
      <c r="J367" s="26"/>
    </row>
    <row r="368" spans="1:10">
      <c r="A368" s="25"/>
      <c r="B368" s="15"/>
      <c r="C368" s="15"/>
      <c r="E368" s="15"/>
      <c r="F368" s="17"/>
      <c r="G368" s="26"/>
      <c r="H368" s="26"/>
      <c r="I368" s="26"/>
      <c r="J368" s="26"/>
    </row>
    <row r="369" spans="1:10">
      <c r="A369" s="25"/>
      <c r="B369" s="15"/>
      <c r="C369" s="15"/>
      <c r="E369" s="15"/>
      <c r="F369" s="17"/>
      <c r="G369" s="26"/>
      <c r="H369" s="26"/>
      <c r="I369" s="26"/>
      <c r="J369" s="26"/>
    </row>
    <row r="370" spans="1:10">
      <c r="A370" s="25"/>
      <c r="B370" s="15"/>
      <c r="C370" s="15"/>
      <c r="E370" s="15"/>
      <c r="F370" s="17"/>
      <c r="G370" s="26"/>
      <c r="H370" s="26"/>
      <c r="I370" s="26"/>
      <c r="J370" s="26"/>
    </row>
    <row r="371" spans="1:10">
      <c r="A371" s="25"/>
      <c r="B371" s="15"/>
      <c r="C371" s="15"/>
      <c r="E371" s="15"/>
      <c r="F371" s="17"/>
      <c r="G371" s="26"/>
      <c r="H371" s="26"/>
      <c r="I371" s="26"/>
      <c r="J371" s="26"/>
    </row>
    <row r="372" spans="1:10">
      <c r="A372" s="25"/>
      <c r="B372" s="15"/>
      <c r="C372" s="15"/>
      <c r="E372" s="15"/>
      <c r="F372" s="17"/>
      <c r="G372" s="26"/>
      <c r="H372" s="26"/>
      <c r="I372" s="26"/>
      <c r="J372" s="26"/>
    </row>
    <row r="373" spans="1:10">
      <c r="A373" s="25"/>
      <c r="B373" s="15"/>
      <c r="C373" s="15"/>
      <c r="E373" s="15"/>
      <c r="F373" s="17"/>
      <c r="G373" s="26"/>
      <c r="H373" s="26"/>
      <c r="I373" s="26"/>
      <c r="J373" s="26"/>
    </row>
    <row r="374" spans="1:10">
      <c r="A374" s="25"/>
      <c r="B374" s="15"/>
      <c r="C374" s="15"/>
      <c r="E374" s="15"/>
      <c r="F374" s="17"/>
      <c r="G374" s="26"/>
      <c r="H374" s="26"/>
      <c r="I374" s="26"/>
      <c r="J374" s="26"/>
    </row>
    <row r="375" spans="1:10">
      <c r="A375" s="25"/>
      <c r="B375" s="15"/>
      <c r="C375" s="15"/>
      <c r="E375" s="15"/>
      <c r="F375" s="17"/>
      <c r="G375" s="26"/>
      <c r="H375" s="26"/>
      <c r="I375" s="26"/>
      <c r="J375" s="26"/>
    </row>
    <row r="376" spans="1:10">
      <c r="A376" s="25"/>
      <c r="B376" s="15"/>
      <c r="C376" s="15"/>
      <c r="E376" s="15"/>
      <c r="F376" s="17"/>
      <c r="G376" s="26"/>
      <c r="H376" s="26"/>
      <c r="I376" s="26"/>
      <c r="J376" s="26"/>
    </row>
    <row r="377" spans="1:10">
      <c r="A377" s="25"/>
      <c r="B377" s="15"/>
      <c r="C377" s="15"/>
      <c r="E377" s="15"/>
      <c r="F377" s="17"/>
      <c r="G377" s="26"/>
      <c r="H377" s="26"/>
      <c r="I377" s="26"/>
      <c r="J377" s="26"/>
    </row>
    <row r="378" spans="1:10">
      <c r="A378" s="25"/>
      <c r="B378" s="15"/>
      <c r="C378" s="15"/>
      <c r="E378" s="15"/>
      <c r="F378" s="17"/>
      <c r="G378" s="26"/>
      <c r="H378" s="26"/>
      <c r="I378" s="26"/>
      <c r="J378" s="26"/>
    </row>
    <row r="379" spans="1:10">
      <c r="A379" s="25"/>
      <c r="B379" s="15"/>
      <c r="C379" s="15"/>
      <c r="E379" s="15"/>
      <c r="F379" s="17"/>
      <c r="G379" s="26"/>
      <c r="H379" s="26"/>
      <c r="I379" s="26"/>
      <c r="J379" s="26"/>
    </row>
    <row r="380" spans="1:10">
      <c r="A380" s="25"/>
      <c r="B380" s="15"/>
      <c r="C380" s="15"/>
      <c r="E380" s="15"/>
      <c r="F380" s="17"/>
      <c r="G380" s="26"/>
      <c r="H380" s="26"/>
      <c r="I380" s="26"/>
      <c r="J380" s="26"/>
    </row>
    <row r="381" spans="1:10">
      <c r="A381" s="25"/>
      <c r="B381" s="15"/>
      <c r="C381" s="15"/>
      <c r="E381" s="15"/>
      <c r="F381" s="17"/>
      <c r="G381" s="26"/>
      <c r="H381" s="26"/>
      <c r="I381" s="26"/>
      <c r="J381" s="26"/>
    </row>
    <row r="382" spans="1:10">
      <c r="A382" s="25"/>
      <c r="B382" s="15"/>
      <c r="C382" s="15"/>
      <c r="E382" s="15"/>
      <c r="F382" s="17"/>
      <c r="G382" s="26"/>
      <c r="H382" s="26"/>
      <c r="I382" s="26"/>
      <c r="J382" s="26"/>
    </row>
    <row r="383" spans="1:10">
      <c r="A383" s="25"/>
      <c r="B383" s="15"/>
      <c r="C383" s="15"/>
      <c r="E383" s="15"/>
      <c r="F383" s="17"/>
      <c r="G383" s="26"/>
      <c r="H383" s="26"/>
      <c r="I383" s="26"/>
      <c r="J383" s="26"/>
    </row>
    <row r="384" spans="1:10">
      <c r="A384" s="25"/>
      <c r="B384" s="15"/>
      <c r="C384" s="15"/>
      <c r="E384" s="15"/>
      <c r="F384" s="17"/>
      <c r="G384" s="26"/>
      <c r="H384" s="26"/>
      <c r="I384" s="26"/>
      <c r="J384" s="26"/>
    </row>
    <row r="385" spans="1:10">
      <c r="A385" s="25"/>
      <c r="B385" s="15"/>
      <c r="C385" s="15"/>
      <c r="E385" s="15"/>
      <c r="F385" s="17"/>
      <c r="G385" s="26"/>
      <c r="H385" s="26"/>
      <c r="I385" s="26"/>
      <c r="J385" s="26"/>
    </row>
    <row r="386" spans="1:10">
      <c r="A386" s="25"/>
      <c r="B386" s="15"/>
      <c r="C386" s="15"/>
      <c r="E386" s="15"/>
      <c r="F386" s="17"/>
      <c r="G386" s="26"/>
      <c r="H386" s="26"/>
      <c r="I386" s="26"/>
      <c r="J386" s="26"/>
    </row>
    <row r="387" spans="1:10">
      <c r="A387" s="25"/>
      <c r="B387" s="15"/>
      <c r="C387" s="15"/>
      <c r="E387" s="15"/>
      <c r="F387" s="17"/>
      <c r="G387" s="26"/>
      <c r="H387" s="26"/>
      <c r="I387" s="26"/>
      <c r="J387" s="26"/>
    </row>
    <row r="388" spans="1:10">
      <c r="A388" s="25"/>
      <c r="B388" s="15"/>
      <c r="C388" s="15"/>
      <c r="E388" s="15"/>
      <c r="F388" s="17"/>
      <c r="G388" s="26"/>
      <c r="H388" s="26"/>
      <c r="I388" s="26"/>
      <c r="J388" s="26"/>
    </row>
    <row r="389" spans="1:10">
      <c r="A389" s="25"/>
      <c r="B389" s="15"/>
      <c r="C389" s="15"/>
      <c r="E389" s="15"/>
      <c r="F389" s="17"/>
      <c r="G389" s="26"/>
      <c r="H389" s="26"/>
      <c r="I389" s="26"/>
      <c r="J389" s="26"/>
    </row>
    <row r="390" spans="1:10">
      <c r="A390" s="25"/>
      <c r="B390" s="15"/>
      <c r="C390" s="15"/>
      <c r="E390" s="15"/>
      <c r="F390" s="17"/>
      <c r="G390" s="26"/>
      <c r="H390" s="26"/>
      <c r="I390" s="26"/>
      <c r="J390" s="26"/>
    </row>
    <row r="391" spans="1:10">
      <c r="A391" s="25"/>
      <c r="B391" s="15"/>
      <c r="C391" s="15"/>
      <c r="E391" s="15"/>
      <c r="F391" s="17"/>
      <c r="G391" s="26"/>
      <c r="H391" s="26"/>
      <c r="I391" s="26"/>
      <c r="J391" s="26"/>
    </row>
    <row r="392" spans="1:10">
      <c r="A392" s="25"/>
      <c r="B392" s="15"/>
      <c r="C392" s="15"/>
      <c r="E392" s="15"/>
      <c r="F392" s="17"/>
      <c r="G392" s="26"/>
      <c r="H392" s="26"/>
      <c r="I392" s="26"/>
      <c r="J392" s="26"/>
    </row>
    <row r="393" spans="1:10">
      <c r="A393" s="25"/>
      <c r="B393" s="15"/>
      <c r="C393" s="15"/>
      <c r="E393" s="15"/>
      <c r="F393" s="17"/>
      <c r="G393" s="26"/>
      <c r="H393" s="26"/>
      <c r="I393" s="26"/>
      <c r="J393" s="26"/>
    </row>
    <row r="394" spans="1:10">
      <c r="A394" s="25"/>
      <c r="B394" s="15"/>
      <c r="C394" s="15"/>
      <c r="E394" s="15"/>
      <c r="F394" s="17"/>
      <c r="G394" s="26"/>
      <c r="H394" s="26"/>
      <c r="I394" s="26"/>
      <c r="J394" s="26"/>
    </row>
    <row r="395" spans="1:10">
      <c r="A395" s="25"/>
      <c r="B395" s="15"/>
      <c r="C395" s="15"/>
      <c r="E395" s="15"/>
      <c r="F395" s="17"/>
      <c r="G395" s="26"/>
      <c r="H395" s="26"/>
      <c r="I395" s="26"/>
      <c r="J395" s="26"/>
    </row>
    <row r="396" spans="1:10">
      <c r="A396" s="25"/>
      <c r="B396" s="15"/>
      <c r="C396" s="15"/>
      <c r="E396" s="15"/>
      <c r="F396" s="17"/>
      <c r="G396" s="26"/>
      <c r="H396" s="26"/>
      <c r="I396" s="26"/>
      <c r="J396" s="26"/>
    </row>
    <row r="397" spans="1:10">
      <c r="A397" s="25"/>
      <c r="B397" s="15"/>
      <c r="C397" s="15"/>
      <c r="E397" s="15"/>
      <c r="F397" s="17"/>
      <c r="G397" s="26"/>
      <c r="H397" s="26"/>
      <c r="I397" s="26"/>
      <c r="J397" s="26"/>
    </row>
    <row r="398" spans="1:10">
      <c r="A398" s="25"/>
      <c r="B398" s="15"/>
      <c r="C398" s="15"/>
      <c r="E398" s="15"/>
      <c r="F398" s="17"/>
      <c r="G398" s="26"/>
      <c r="H398" s="26"/>
      <c r="I398" s="26"/>
      <c r="J398" s="26"/>
    </row>
    <row r="399" spans="1:10">
      <c r="A399" s="25"/>
      <c r="B399" s="15"/>
      <c r="C399" s="15"/>
      <c r="E399" s="15"/>
      <c r="F399" s="17"/>
      <c r="G399" s="26"/>
      <c r="H399" s="26"/>
      <c r="I399" s="26"/>
      <c r="J399" s="26"/>
    </row>
    <row r="400" spans="1:10">
      <c r="A400" s="25"/>
      <c r="B400" s="15"/>
      <c r="C400" s="15"/>
      <c r="E400" s="15"/>
      <c r="F400" s="17"/>
      <c r="G400" s="26"/>
      <c r="H400" s="26"/>
      <c r="I400" s="26"/>
      <c r="J400" s="26"/>
    </row>
    <row r="401" spans="1:10">
      <c r="A401" s="25"/>
      <c r="B401" s="15"/>
      <c r="C401" s="15"/>
      <c r="E401" s="15"/>
      <c r="F401" s="17"/>
      <c r="G401" s="26"/>
      <c r="H401" s="26"/>
      <c r="I401" s="26"/>
      <c r="J401" s="26"/>
    </row>
    <row r="402" spans="1:10">
      <c r="A402" s="25"/>
      <c r="B402" s="15"/>
      <c r="C402" s="15"/>
      <c r="E402" s="15"/>
      <c r="F402" s="17"/>
      <c r="G402" s="26"/>
      <c r="H402" s="26"/>
      <c r="I402" s="26"/>
      <c r="J402" s="26"/>
    </row>
    <row r="403" spans="1:10">
      <c r="A403" s="25"/>
      <c r="B403" s="15"/>
      <c r="C403" s="15"/>
      <c r="E403" s="15"/>
      <c r="F403" s="17"/>
      <c r="G403" s="26"/>
      <c r="H403" s="26"/>
      <c r="I403" s="26"/>
      <c r="J403" s="26"/>
    </row>
    <row r="404" spans="1:10">
      <c r="A404" s="25"/>
      <c r="B404" s="15"/>
      <c r="C404" s="15"/>
      <c r="E404" s="15"/>
      <c r="F404" s="17"/>
      <c r="G404" s="26"/>
      <c r="H404" s="26"/>
      <c r="I404" s="26"/>
      <c r="J404" s="26"/>
    </row>
    <row r="405" spans="1:10">
      <c r="A405" s="25"/>
      <c r="B405" s="15"/>
      <c r="C405" s="15"/>
      <c r="E405" s="15"/>
      <c r="F405" s="17"/>
      <c r="G405" s="26"/>
      <c r="H405" s="26"/>
      <c r="I405" s="26"/>
      <c r="J405" s="26"/>
    </row>
    <row r="406" spans="1:10">
      <c r="A406" s="25"/>
      <c r="B406" s="15"/>
      <c r="C406" s="15"/>
      <c r="E406" s="15"/>
      <c r="F406" s="17"/>
      <c r="G406" s="26"/>
      <c r="H406" s="26"/>
      <c r="I406" s="26"/>
      <c r="J406" s="26"/>
    </row>
    <row r="407" spans="1:10">
      <c r="A407" s="25"/>
      <c r="B407" s="15"/>
      <c r="C407" s="15"/>
      <c r="E407" s="15"/>
      <c r="F407" s="17"/>
      <c r="G407" s="26"/>
      <c r="H407" s="26"/>
      <c r="I407" s="26"/>
      <c r="J407" s="26"/>
    </row>
    <row r="408" spans="1:10">
      <c r="A408" s="25"/>
      <c r="B408" s="15"/>
      <c r="C408" s="15"/>
      <c r="E408" s="15"/>
      <c r="F408" s="17"/>
      <c r="G408" s="26"/>
      <c r="H408" s="26"/>
      <c r="I408" s="26"/>
      <c r="J408" s="26"/>
    </row>
    <row r="409" spans="1:10">
      <c r="A409" s="25"/>
      <c r="B409" s="15"/>
      <c r="C409" s="15"/>
      <c r="E409" s="15"/>
      <c r="F409" s="17"/>
      <c r="G409" s="26"/>
      <c r="H409" s="26"/>
      <c r="I409" s="26"/>
      <c r="J409" s="26"/>
    </row>
    <row r="410" spans="1:10">
      <c r="A410" s="25"/>
      <c r="B410" s="15"/>
      <c r="C410" s="15"/>
      <c r="E410" s="15"/>
      <c r="F410" s="17"/>
      <c r="G410" s="26"/>
      <c r="H410" s="26"/>
      <c r="I410" s="26"/>
      <c r="J410" s="26"/>
    </row>
    <row r="411" spans="1:10">
      <c r="A411" s="25"/>
      <c r="B411" s="15"/>
      <c r="C411" s="15"/>
      <c r="E411" s="15"/>
      <c r="F411" s="17"/>
      <c r="G411" s="26"/>
      <c r="H411" s="26"/>
      <c r="I411" s="26"/>
      <c r="J411" s="26"/>
    </row>
    <row r="412" spans="1:10">
      <c r="A412" s="25"/>
      <c r="B412" s="15"/>
      <c r="C412" s="15"/>
      <c r="E412" s="15"/>
      <c r="F412" s="17"/>
      <c r="G412" s="26"/>
      <c r="H412" s="26"/>
      <c r="I412" s="26"/>
      <c r="J412" s="26"/>
    </row>
    <row r="413" spans="1:10">
      <c r="A413" s="25"/>
      <c r="B413" s="15"/>
      <c r="C413" s="15"/>
      <c r="E413" s="15"/>
      <c r="F413" s="17"/>
      <c r="G413" s="26"/>
      <c r="H413" s="26"/>
      <c r="I413" s="26"/>
      <c r="J413" s="26"/>
    </row>
    <row r="414" spans="1:10">
      <c r="A414" s="25"/>
      <c r="B414" s="15"/>
      <c r="C414" s="15"/>
      <c r="E414" s="15"/>
      <c r="F414" s="17"/>
      <c r="G414" s="26"/>
      <c r="H414" s="26"/>
      <c r="I414" s="26"/>
      <c r="J414" s="26"/>
    </row>
    <row r="415" spans="1:10">
      <c r="A415" s="25"/>
      <c r="B415" s="15"/>
      <c r="C415" s="15"/>
      <c r="E415" s="15"/>
      <c r="F415" s="17"/>
      <c r="G415" s="26"/>
      <c r="H415" s="26"/>
      <c r="I415" s="26"/>
      <c r="J415" s="26"/>
    </row>
    <row r="416" spans="1:10">
      <c r="A416" s="25"/>
      <c r="B416" s="15"/>
      <c r="C416" s="15"/>
      <c r="E416" s="15"/>
      <c r="F416" s="17"/>
      <c r="G416" s="26"/>
      <c r="H416" s="26"/>
      <c r="I416" s="26"/>
      <c r="J416" s="26"/>
    </row>
    <row r="417" spans="1:10">
      <c r="A417" s="25"/>
      <c r="B417" s="15"/>
      <c r="C417" s="15"/>
      <c r="E417" s="15"/>
      <c r="F417" s="17"/>
      <c r="G417" s="26"/>
      <c r="H417" s="26"/>
      <c r="I417" s="26"/>
      <c r="J417" s="26"/>
    </row>
    <row r="418" spans="1:10">
      <c r="A418" s="25"/>
      <c r="B418" s="15"/>
      <c r="C418" s="15"/>
      <c r="E418" s="15"/>
      <c r="F418" s="17"/>
      <c r="G418" s="26"/>
      <c r="H418" s="26"/>
      <c r="I418" s="26"/>
      <c r="J418" s="26"/>
    </row>
    <row r="419" spans="1:10">
      <c r="A419" s="25"/>
      <c r="B419" s="15"/>
      <c r="C419" s="15"/>
      <c r="E419" s="15"/>
      <c r="F419" s="17"/>
      <c r="G419" s="26"/>
      <c r="H419" s="26"/>
      <c r="I419" s="26"/>
      <c r="J419" s="26"/>
    </row>
    <row r="420" spans="1:10">
      <c r="A420" s="25"/>
      <c r="B420" s="15"/>
      <c r="C420" s="15"/>
      <c r="E420" s="15"/>
      <c r="F420" s="17"/>
      <c r="G420" s="26"/>
      <c r="H420" s="26"/>
      <c r="I420" s="26"/>
      <c r="J420" s="26"/>
    </row>
    <row r="421" spans="1:10">
      <c r="A421" s="25"/>
      <c r="B421" s="15"/>
      <c r="C421" s="15"/>
      <c r="E421" s="15"/>
      <c r="F421" s="17"/>
      <c r="G421" s="26"/>
      <c r="H421" s="26"/>
      <c r="I421" s="26"/>
      <c r="J421" s="26"/>
    </row>
    <row r="422" spans="1:10">
      <c r="A422" s="25"/>
      <c r="B422" s="15"/>
      <c r="C422" s="15"/>
      <c r="E422" s="15"/>
      <c r="F422" s="17"/>
      <c r="G422" s="26"/>
      <c r="H422" s="26"/>
      <c r="I422" s="26"/>
      <c r="J422" s="26"/>
    </row>
    <row r="423" spans="1:10">
      <c r="A423" s="25"/>
      <c r="B423" s="15"/>
      <c r="C423" s="15"/>
      <c r="E423" s="15"/>
      <c r="F423" s="17"/>
      <c r="G423" s="26"/>
      <c r="H423" s="26"/>
      <c r="I423" s="26"/>
      <c r="J423" s="26"/>
    </row>
    <row r="424" spans="1:10">
      <c r="A424" s="25"/>
      <c r="B424" s="15"/>
      <c r="C424" s="15"/>
      <c r="E424" s="15"/>
      <c r="F424" s="17"/>
      <c r="G424" s="26"/>
      <c r="H424" s="26"/>
      <c r="I424" s="26"/>
      <c r="J424" s="26"/>
    </row>
    <row r="425" spans="1:10">
      <c r="A425" s="25"/>
      <c r="B425" s="15"/>
      <c r="C425" s="15"/>
      <c r="E425" s="15"/>
      <c r="F425" s="17"/>
      <c r="G425" s="26"/>
      <c r="H425" s="26"/>
      <c r="I425" s="26"/>
      <c r="J425" s="26"/>
    </row>
    <row r="426" spans="1:10">
      <c r="A426" s="25"/>
      <c r="B426" s="15"/>
      <c r="C426" s="15"/>
      <c r="E426" s="15"/>
      <c r="F426" s="17"/>
      <c r="G426" s="26"/>
      <c r="H426" s="26"/>
      <c r="I426" s="26"/>
      <c r="J426" s="26"/>
    </row>
    <row r="427" spans="1:10">
      <c r="A427" s="25"/>
      <c r="B427" s="15"/>
      <c r="C427" s="15"/>
      <c r="E427" s="15"/>
      <c r="F427" s="17"/>
      <c r="G427" s="26"/>
      <c r="H427" s="26"/>
      <c r="I427" s="26"/>
      <c r="J427" s="26"/>
    </row>
    <row r="428" spans="1:10">
      <c r="A428" s="25"/>
      <c r="B428" s="15"/>
      <c r="C428" s="15"/>
      <c r="E428" s="15"/>
      <c r="F428" s="17"/>
      <c r="G428" s="26"/>
      <c r="H428" s="26"/>
      <c r="I428" s="26"/>
      <c r="J428" s="26"/>
    </row>
    <row r="429" spans="1:10">
      <c r="A429" s="25"/>
      <c r="B429" s="15"/>
      <c r="C429" s="15"/>
      <c r="E429" s="15"/>
      <c r="F429" s="17"/>
      <c r="G429" s="26"/>
      <c r="H429" s="26"/>
      <c r="I429" s="26"/>
      <c r="J429" s="26"/>
    </row>
    <row r="430" spans="1:10">
      <c r="A430" s="25"/>
      <c r="B430" s="15"/>
      <c r="C430" s="15"/>
      <c r="E430" s="15"/>
      <c r="F430" s="17"/>
      <c r="G430" s="26"/>
      <c r="H430" s="26"/>
      <c r="I430" s="26"/>
      <c r="J430" s="26"/>
    </row>
    <row r="431" spans="1:10">
      <c r="A431" s="25"/>
      <c r="B431" s="15"/>
      <c r="C431" s="15"/>
      <c r="E431" s="15"/>
      <c r="F431" s="17"/>
      <c r="G431" s="26"/>
      <c r="H431" s="26"/>
      <c r="I431" s="26"/>
      <c r="J431" s="26"/>
    </row>
    <row r="432" spans="1:10">
      <c r="A432" s="25"/>
      <c r="B432" s="15"/>
      <c r="C432" s="15"/>
      <c r="E432" s="15"/>
      <c r="F432" s="17"/>
      <c r="G432" s="26"/>
      <c r="H432" s="26"/>
      <c r="I432" s="26"/>
      <c r="J432" s="26"/>
    </row>
    <row r="433" spans="1:10">
      <c r="A433" s="25"/>
      <c r="B433" s="15"/>
      <c r="C433" s="15"/>
      <c r="E433" s="15"/>
      <c r="F433" s="17"/>
      <c r="G433" s="26"/>
      <c r="H433" s="26"/>
      <c r="I433" s="26"/>
      <c r="J433" s="26"/>
    </row>
    <row r="434" spans="1:10">
      <c r="A434" s="25"/>
      <c r="B434" s="15"/>
      <c r="C434" s="15"/>
      <c r="E434" s="15"/>
      <c r="F434" s="17"/>
      <c r="G434" s="26"/>
      <c r="H434" s="26"/>
      <c r="I434" s="26"/>
      <c r="J434" s="26"/>
    </row>
    <row r="435" spans="1:10">
      <c r="A435" s="25"/>
      <c r="B435" s="15"/>
      <c r="C435" s="15"/>
      <c r="E435" s="15"/>
      <c r="F435" s="17"/>
      <c r="G435" s="26"/>
      <c r="H435" s="26"/>
      <c r="I435" s="26"/>
      <c r="J435" s="26"/>
    </row>
    <row r="436" spans="1:10">
      <c r="A436" s="25"/>
      <c r="B436" s="15"/>
      <c r="C436" s="15"/>
      <c r="E436" s="15"/>
      <c r="F436" s="17"/>
      <c r="G436" s="26"/>
      <c r="H436" s="26"/>
      <c r="I436" s="26"/>
      <c r="J436" s="26"/>
    </row>
    <row r="437" spans="1:10">
      <c r="A437" s="25"/>
      <c r="B437" s="15"/>
      <c r="C437" s="15"/>
      <c r="E437" s="15"/>
      <c r="F437" s="17"/>
      <c r="G437" s="26"/>
      <c r="H437" s="26"/>
      <c r="I437" s="26"/>
      <c r="J437" s="26"/>
    </row>
    <row r="438" spans="1:10">
      <c r="A438" s="25"/>
      <c r="B438" s="15"/>
      <c r="C438" s="15"/>
      <c r="E438" s="15"/>
      <c r="F438" s="17"/>
      <c r="G438" s="26"/>
      <c r="H438" s="26"/>
      <c r="I438" s="26"/>
      <c r="J438" s="26"/>
    </row>
    <row r="439" spans="1:10">
      <c r="A439" s="25"/>
      <c r="B439" s="15"/>
      <c r="C439" s="15"/>
      <c r="E439" s="15"/>
      <c r="F439" s="17"/>
      <c r="G439" s="26"/>
      <c r="H439" s="26"/>
      <c r="I439" s="26"/>
      <c r="J439" s="26"/>
    </row>
    <row r="440" spans="1:10">
      <c r="A440" s="25"/>
      <c r="B440" s="15"/>
      <c r="C440" s="15"/>
      <c r="E440" s="15"/>
      <c r="F440" s="17"/>
      <c r="G440" s="26"/>
      <c r="H440" s="26"/>
      <c r="I440" s="26"/>
      <c r="J440" s="26"/>
    </row>
    <row r="441" spans="1:10">
      <c r="A441" s="25"/>
      <c r="B441" s="15"/>
      <c r="C441" s="15"/>
      <c r="E441" s="15"/>
      <c r="F441" s="17"/>
      <c r="G441" s="26"/>
      <c r="H441" s="26"/>
      <c r="I441" s="26"/>
      <c r="J441" s="26"/>
    </row>
    <row r="442" spans="1:10">
      <c r="A442" s="25"/>
      <c r="B442" s="15"/>
      <c r="C442" s="15"/>
      <c r="E442" s="15"/>
      <c r="F442" s="17"/>
      <c r="G442" s="26"/>
      <c r="H442" s="26"/>
      <c r="I442" s="26"/>
      <c r="J442" s="26"/>
    </row>
    <row r="443" spans="1:10">
      <c r="A443" s="25"/>
      <c r="B443" s="15"/>
      <c r="C443" s="15"/>
      <c r="E443" s="15"/>
      <c r="F443" s="17"/>
      <c r="G443" s="26"/>
      <c r="H443" s="26"/>
      <c r="I443" s="26"/>
      <c r="J443" s="26"/>
    </row>
    <row r="444" spans="1:10">
      <c r="A444" s="25"/>
      <c r="B444" s="15"/>
      <c r="C444" s="15"/>
      <c r="E444" s="15"/>
      <c r="F444" s="17"/>
      <c r="G444" s="26"/>
      <c r="H444" s="26"/>
      <c r="I444" s="26"/>
      <c r="J444" s="26"/>
    </row>
    <row r="445" spans="1:10">
      <c r="A445" s="25"/>
      <c r="B445" s="15"/>
      <c r="C445" s="15"/>
      <c r="E445" s="15"/>
      <c r="F445" s="17"/>
      <c r="G445" s="26"/>
      <c r="H445" s="26"/>
      <c r="I445" s="26"/>
      <c r="J445" s="26"/>
    </row>
    <row r="446" spans="1:10">
      <c r="A446" s="25"/>
      <c r="B446" s="15"/>
      <c r="C446" s="15"/>
      <c r="E446" s="15"/>
      <c r="F446" s="17"/>
      <c r="G446" s="26"/>
      <c r="H446" s="26"/>
      <c r="I446" s="26"/>
      <c r="J446" s="26"/>
    </row>
    <row r="447" spans="1:10">
      <c r="A447" s="25"/>
      <c r="B447" s="15"/>
      <c r="C447" s="15"/>
      <c r="E447" s="15"/>
      <c r="F447" s="17"/>
      <c r="G447" s="26"/>
      <c r="H447" s="26"/>
      <c r="I447" s="26"/>
      <c r="J447" s="26"/>
    </row>
    <row r="448" spans="1:10">
      <c r="A448" s="25"/>
      <c r="B448" s="15"/>
      <c r="C448" s="15"/>
      <c r="E448" s="15"/>
      <c r="F448" s="17"/>
      <c r="G448" s="26"/>
      <c r="H448" s="26"/>
      <c r="I448" s="26"/>
      <c r="J448" s="26"/>
    </row>
    <row r="449" spans="1:10">
      <c r="A449" s="25"/>
      <c r="B449" s="15"/>
      <c r="C449" s="15"/>
      <c r="E449" s="15"/>
      <c r="F449" s="17"/>
      <c r="G449" s="26"/>
      <c r="H449" s="26"/>
      <c r="I449" s="26"/>
      <c r="J449" s="26"/>
    </row>
    <row r="450" spans="1:10">
      <c r="A450" s="25"/>
      <c r="B450" s="15"/>
      <c r="C450" s="15"/>
      <c r="E450" s="15"/>
      <c r="F450" s="17"/>
      <c r="G450" s="26"/>
      <c r="H450" s="26"/>
      <c r="I450" s="26"/>
      <c r="J450" s="26"/>
    </row>
    <row r="451" spans="1:10">
      <c r="A451" s="25"/>
      <c r="B451" s="15"/>
      <c r="C451" s="15"/>
      <c r="E451" s="15"/>
      <c r="F451" s="17"/>
      <c r="G451" s="26"/>
      <c r="H451" s="26"/>
      <c r="I451" s="26"/>
      <c r="J451" s="26"/>
    </row>
    <row r="452" spans="1:10">
      <c r="A452" s="25"/>
      <c r="B452" s="15"/>
      <c r="C452" s="15"/>
      <c r="E452" s="15"/>
      <c r="F452" s="17"/>
      <c r="G452" s="26"/>
      <c r="H452" s="26"/>
      <c r="I452" s="26"/>
      <c r="J452" s="26"/>
    </row>
    <row r="453" spans="1:10">
      <c r="A453" s="25"/>
      <c r="B453" s="15"/>
      <c r="C453" s="15"/>
      <c r="E453" s="15"/>
      <c r="F453" s="17"/>
      <c r="G453" s="26"/>
      <c r="H453" s="26"/>
      <c r="I453" s="26"/>
      <c r="J453" s="26"/>
    </row>
    <row r="454" spans="1:10">
      <c r="A454" s="25"/>
      <c r="B454" s="15"/>
      <c r="C454" s="15"/>
      <c r="E454" s="15"/>
      <c r="F454" s="17"/>
      <c r="G454" s="26"/>
      <c r="H454" s="26"/>
      <c r="I454" s="26"/>
      <c r="J454" s="26"/>
    </row>
    <row r="455" spans="1:10">
      <c r="A455" s="25"/>
      <c r="B455" s="15"/>
      <c r="C455" s="15"/>
      <c r="E455" s="15"/>
      <c r="F455" s="17"/>
      <c r="G455" s="26"/>
      <c r="H455" s="26"/>
      <c r="I455" s="26"/>
      <c r="J455" s="26"/>
    </row>
    <row r="456" spans="1:10">
      <c r="A456" s="25"/>
      <c r="B456" s="15"/>
      <c r="C456" s="15"/>
      <c r="E456" s="15"/>
      <c r="F456" s="17"/>
      <c r="G456" s="26"/>
      <c r="H456" s="26"/>
      <c r="I456" s="26"/>
      <c r="J456" s="26"/>
    </row>
    <row r="457" spans="1:10">
      <c r="A457" s="25"/>
      <c r="B457" s="15"/>
      <c r="C457" s="15"/>
      <c r="E457" s="15"/>
      <c r="F457" s="17"/>
      <c r="G457" s="26"/>
      <c r="H457" s="26"/>
      <c r="I457" s="26"/>
      <c r="J457" s="26"/>
    </row>
    <row r="458" spans="1:10">
      <c r="A458" s="25"/>
      <c r="B458" s="15"/>
      <c r="C458" s="15"/>
      <c r="E458" s="15"/>
      <c r="F458" s="17"/>
      <c r="G458" s="26"/>
      <c r="H458" s="26"/>
      <c r="I458" s="26"/>
      <c r="J458" s="26"/>
    </row>
    <row r="459" spans="1:10">
      <c r="A459" s="25"/>
      <c r="B459" s="15"/>
      <c r="C459" s="15"/>
      <c r="E459" s="15"/>
      <c r="F459" s="17"/>
      <c r="G459" s="26"/>
      <c r="H459" s="26"/>
      <c r="I459" s="26"/>
      <c r="J459" s="26"/>
    </row>
    <row r="460" spans="1:10">
      <c r="A460" s="25"/>
      <c r="B460" s="15"/>
      <c r="C460" s="15"/>
      <c r="E460" s="15"/>
      <c r="F460" s="17"/>
      <c r="G460" s="26"/>
      <c r="H460" s="26"/>
      <c r="I460" s="26"/>
      <c r="J460" s="26"/>
    </row>
    <row r="461" spans="1:10">
      <c r="A461" s="25"/>
      <c r="B461" s="15"/>
      <c r="C461" s="15"/>
      <c r="E461" s="15"/>
      <c r="F461" s="17"/>
      <c r="G461" s="26"/>
      <c r="H461" s="26"/>
      <c r="I461" s="26"/>
      <c r="J461" s="26"/>
    </row>
    <row r="462" spans="1:10">
      <c r="A462" s="25"/>
      <c r="B462" s="15"/>
      <c r="C462" s="15"/>
      <c r="E462" s="15"/>
      <c r="F462" s="17"/>
      <c r="G462" s="26"/>
      <c r="H462" s="26"/>
      <c r="I462" s="26"/>
      <c r="J462" s="26"/>
    </row>
    <row r="463" spans="1:10">
      <c r="A463" s="25"/>
      <c r="B463" s="15"/>
      <c r="C463" s="15"/>
      <c r="E463" s="15"/>
      <c r="F463" s="17"/>
      <c r="G463" s="26"/>
      <c r="H463" s="26"/>
      <c r="I463" s="26"/>
      <c r="J463" s="26"/>
    </row>
    <row r="464" spans="1:10">
      <c r="A464" s="25"/>
      <c r="B464" s="15"/>
      <c r="C464" s="15"/>
      <c r="E464" s="15"/>
      <c r="F464" s="17"/>
      <c r="G464" s="26"/>
      <c r="H464" s="26"/>
      <c r="I464" s="26"/>
      <c r="J464" s="26"/>
    </row>
    <row r="465" spans="1:10">
      <c r="A465" s="25"/>
      <c r="B465" s="15"/>
      <c r="C465" s="15"/>
      <c r="E465" s="15"/>
      <c r="F465" s="17"/>
      <c r="G465" s="26"/>
      <c r="H465" s="26"/>
      <c r="I465" s="26"/>
      <c r="J465" s="26"/>
    </row>
    <row r="466" spans="1:10">
      <c r="A466" s="25"/>
      <c r="B466" s="15"/>
      <c r="C466" s="15"/>
      <c r="E466" s="15"/>
      <c r="F466" s="17"/>
      <c r="G466" s="26"/>
      <c r="H466" s="26"/>
      <c r="I466" s="26"/>
      <c r="J466" s="26"/>
    </row>
    <row r="467" spans="1:10">
      <c r="A467" s="25"/>
      <c r="B467" s="15"/>
      <c r="C467" s="15"/>
      <c r="E467" s="15"/>
      <c r="F467" s="17"/>
      <c r="G467" s="26"/>
      <c r="H467" s="26"/>
      <c r="I467" s="26"/>
      <c r="J467" s="26"/>
    </row>
    <row r="468" spans="1:10">
      <c r="A468" s="25"/>
      <c r="B468" s="15"/>
      <c r="C468" s="15"/>
      <c r="E468" s="15"/>
      <c r="F468" s="17"/>
      <c r="G468" s="26"/>
      <c r="H468" s="26"/>
      <c r="I468" s="26"/>
      <c r="J468" s="26"/>
    </row>
    <row r="469" spans="1:10">
      <c r="A469" s="25"/>
      <c r="B469" s="15"/>
      <c r="C469" s="15"/>
      <c r="E469" s="15"/>
      <c r="F469" s="17"/>
      <c r="G469" s="26"/>
      <c r="H469" s="26"/>
      <c r="I469" s="26"/>
      <c r="J469" s="26"/>
    </row>
    <row r="470" spans="1:10">
      <c r="A470" s="25"/>
      <c r="B470" s="15"/>
      <c r="C470" s="15"/>
      <c r="E470" s="15"/>
      <c r="F470" s="17"/>
      <c r="G470" s="26"/>
      <c r="H470" s="26"/>
      <c r="I470" s="26"/>
      <c r="J470" s="26"/>
    </row>
    <row r="471" spans="1:10">
      <c r="A471" s="25"/>
      <c r="B471" s="15"/>
      <c r="C471" s="15"/>
      <c r="E471" s="15"/>
      <c r="F471" s="17"/>
      <c r="G471" s="26"/>
      <c r="H471" s="26"/>
      <c r="I471" s="26"/>
      <c r="J471" s="26"/>
    </row>
    <row r="472" spans="1:10">
      <c r="A472" s="25"/>
      <c r="B472" s="15"/>
      <c r="C472" s="15"/>
      <c r="E472" s="15"/>
      <c r="F472" s="17"/>
      <c r="G472" s="26"/>
      <c r="H472" s="26"/>
      <c r="I472" s="26"/>
      <c r="J472" s="26"/>
    </row>
    <row r="473" spans="1:10">
      <c r="A473" s="25"/>
      <c r="B473" s="15"/>
      <c r="C473" s="15"/>
      <c r="E473" s="15"/>
      <c r="F473" s="17"/>
      <c r="G473" s="26"/>
      <c r="H473" s="26"/>
      <c r="I473" s="26"/>
      <c r="J473" s="26"/>
    </row>
    <row r="474" spans="1:10">
      <c r="A474" s="25"/>
      <c r="B474" s="15"/>
      <c r="C474" s="15"/>
      <c r="E474" s="15"/>
      <c r="F474" s="17"/>
      <c r="G474" s="26"/>
      <c r="H474" s="26"/>
      <c r="I474" s="26"/>
      <c r="J474" s="26"/>
    </row>
    <row r="475" spans="1:10">
      <c r="A475" s="25"/>
      <c r="B475" s="15"/>
      <c r="C475" s="15"/>
      <c r="E475" s="15"/>
      <c r="F475" s="17"/>
      <c r="G475" s="26"/>
      <c r="H475" s="26"/>
      <c r="I475" s="26"/>
      <c r="J475" s="26"/>
    </row>
    <row r="476" spans="1:10">
      <c r="A476" s="25"/>
      <c r="B476" s="15"/>
      <c r="C476" s="15"/>
      <c r="E476" s="15"/>
      <c r="F476" s="17"/>
      <c r="G476" s="26"/>
      <c r="H476" s="26"/>
      <c r="I476" s="26"/>
      <c r="J476" s="26"/>
    </row>
    <row r="477" spans="1:10">
      <c r="A477" s="25"/>
      <c r="B477" s="15"/>
      <c r="C477" s="15"/>
      <c r="E477" s="15"/>
      <c r="F477" s="17"/>
      <c r="G477" s="26"/>
      <c r="H477" s="26"/>
      <c r="I477" s="26"/>
      <c r="J477" s="26"/>
    </row>
    <row r="478" spans="1:10">
      <c r="A478" s="25"/>
      <c r="B478" s="15"/>
      <c r="C478" s="15"/>
      <c r="E478" s="15"/>
      <c r="F478" s="17"/>
      <c r="G478" s="26"/>
      <c r="H478" s="26"/>
      <c r="I478" s="26"/>
      <c r="J478" s="26"/>
    </row>
    <row r="479" spans="1:10">
      <c r="A479" s="25"/>
      <c r="B479" s="15"/>
      <c r="C479" s="15"/>
      <c r="E479" s="15"/>
      <c r="F479" s="17"/>
      <c r="G479" s="26"/>
      <c r="H479" s="26"/>
      <c r="I479" s="26"/>
      <c r="J479" s="26"/>
    </row>
    <row r="480" spans="1:10">
      <c r="A480" s="25"/>
      <c r="B480" s="15"/>
      <c r="C480" s="15"/>
      <c r="E480" s="15"/>
      <c r="F480" s="17"/>
      <c r="G480" s="26"/>
      <c r="H480" s="26"/>
      <c r="I480" s="26"/>
      <c r="J480" s="26"/>
    </row>
    <row r="481" spans="1:10">
      <c r="A481" s="25"/>
      <c r="B481" s="15"/>
      <c r="C481" s="15"/>
      <c r="E481" s="15"/>
      <c r="F481" s="17"/>
      <c r="G481" s="26"/>
      <c r="H481" s="26"/>
      <c r="I481" s="26"/>
      <c r="J481" s="26"/>
    </row>
    <row r="482" spans="1:10">
      <c r="A482" s="25"/>
      <c r="B482" s="15"/>
      <c r="C482" s="15"/>
      <c r="E482" s="15"/>
      <c r="F482" s="17"/>
      <c r="G482" s="26"/>
      <c r="H482" s="26"/>
      <c r="I482" s="26"/>
      <c r="J482" s="26"/>
    </row>
    <row r="483" spans="1:10">
      <c r="A483" s="25"/>
      <c r="B483" s="15"/>
      <c r="C483" s="15"/>
      <c r="E483" s="15"/>
      <c r="F483" s="17"/>
      <c r="G483" s="26"/>
      <c r="H483" s="26"/>
      <c r="I483" s="26"/>
      <c r="J483" s="26"/>
    </row>
    <row r="484" spans="1:10">
      <c r="A484" s="25"/>
      <c r="B484" s="15"/>
      <c r="C484" s="15"/>
      <c r="E484" s="15"/>
      <c r="F484" s="17"/>
      <c r="G484" s="26"/>
      <c r="H484" s="26"/>
      <c r="I484" s="26"/>
      <c r="J484" s="26"/>
    </row>
    <row r="485" spans="1:10">
      <c r="A485" s="25"/>
      <c r="B485" s="15"/>
      <c r="C485" s="15"/>
      <c r="E485" s="15"/>
      <c r="F485" s="17"/>
      <c r="G485" s="26"/>
      <c r="H485" s="26"/>
      <c r="I485" s="26"/>
      <c r="J485" s="26"/>
    </row>
    <row r="486" spans="1:10">
      <c r="A486" s="25"/>
      <c r="B486" s="15"/>
      <c r="C486" s="15"/>
      <c r="E486" s="15"/>
      <c r="F486" s="17"/>
      <c r="G486" s="26"/>
      <c r="H486" s="26"/>
      <c r="I486" s="26"/>
      <c r="J486" s="26"/>
    </row>
    <row r="487" spans="1:10">
      <c r="A487" s="25"/>
      <c r="B487" s="15"/>
      <c r="C487" s="15"/>
      <c r="E487" s="15"/>
      <c r="F487" s="17"/>
      <c r="G487" s="26"/>
      <c r="H487" s="26"/>
      <c r="I487" s="26"/>
      <c r="J487" s="26"/>
    </row>
    <row r="488" spans="1:10">
      <c r="A488" s="25"/>
      <c r="B488" s="15"/>
      <c r="C488" s="15"/>
      <c r="E488" s="15"/>
      <c r="F488" s="17"/>
      <c r="G488" s="26"/>
      <c r="H488" s="26"/>
      <c r="I488" s="26"/>
      <c r="J488" s="26"/>
    </row>
    <row r="489" spans="1:10">
      <c r="A489" s="25"/>
      <c r="B489" s="15"/>
      <c r="C489" s="15"/>
      <c r="E489" s="15"/>
      <c r="F489" s="17"/>
      <c r="G489" s="26"/>
      <c r="H489" s="26"/>
      <c r="I489" s="26"/>
      <c r="J489" s="26"/>
    </row>
    <row r="490" spans="1:10">
      <c r="A490" s="25"/>
      <c r="B490" s="15"/>
      <c r="C490" s="15"/>
      <c r="E490" s="15"/>
      <c r="F490" s="17"/>
      <c r="G490" s="26"/>
      <c r="H490" s="26"/>
      <c r="I490" s="26"/>
      <c r="J490" s="26"/>
    </row>
    <row r="491" spans="1:10">
      <c r="A491" s="25"/>
      <c r="B491" s="15"/>
      <c r="C491" s="15"/>
      <c r="E491" s="15"/>
      <c r="F491" s="17"/>
      <c r="G491" s="26"/>
      <c r="H491" s="26"/>
      <c r="I491" s="26"/>
      <c r="J491" s="26"/>
    </row>
    <row r="492" spans="1:10">
      <c r="A492" s="25"/>
      <c r="B492" s="15"/>
      <c r="C492" s="15"/>
      <c r="E492" s="15"/>
      <c r="F492" s="17"/>
      <c r="G492" s="26"/>
      <c r="H492" s="26"/>
      <c r="I492" s="26"/>
      <c r="J492" s="26"/>
    </row>
    <row r="493" spans="1:10">
      <c r="A493" s="25"/>
      <c r="B493" s="15"/>
      <c r="C493" s="15"/>
      <c r="E493" s="15"/>
      <c r="F493" s="17"/>
      <c r="G493" s="26"/>
      <c r="H493" s="26"/>
      <c r="I493" s="26"/>
      <c r="J493" s="26"/>
    </row>
    <row r="494" spans="1:10">
      <c r="A494" s="25"/>
      <c r="B494" s="15"/>
      <c r="C494" s="15"/>
      <c r="E494" s="15"/>
      <c r="F494" s="17"/>
      <c r="G494" s="26"/>
      <c r="H494" s="26"/>
      <c r="I494" s="26"/>
      <c r="J494" s="26"/>
    </row>
    <row r="495" spans="1:10">
      <c r="A495" s="25"/>
      <c r="B495" s="15"/>
      <c r="C495" s="15"/>
      <c r="E495" s="15"/>
      <c r="F495" s="17"/>
      <c r="G495" s="26"/>
      <c r="H495" s="26"/>
      <c r="I495" s="26"/>
      <c r="J495" s="26"/>
    </row>
    <row r="496" spans="1:10">
      <c r="A496" s="25"/>
      <c r="B496" s="15"/>
      <c r="C496" s="15"/>
      <c r="E496" s="15"/>
      <c r="F496" s="17"/>
      <c r="G496" s="26"/>
      <c r="H496" s="26"/>
      <c r="I496" s="26"/>
      <c r="J496" s="26"/>
    </row>
    <row r="497" spans="1:10">
      <c r="A497" s="25"/>
      <c r="B497" s="15"/>
      <c r="C497" s="15"/>
      <c r="E497" s="15"/>
      <c r="F497" s="17"/>
      <c r="G497" s="26"/>
      <c r="H497" s="26"/>
      <c r="I497" s="26"/>
      <c r="J497" s="26"/>
    </row>
    <row r="498" spans="1:10">
      <c r="A498" s="25"/>
      <c r="B498" s="15"/>
      <c r="C498" s="15"/>
      <c r="E498" s="15"/>
      <c r="F498" s="17"/>
      <c r="G498" s="26"/>
      <c r="H498" s="26"/>
      <c r="I498" s="26"/>
      <c r="J498" s="26"/>
    </row>
    <row r="499" spans="1:10">
      <c r="A499" s="25"/>
      <c r="B499" s="15"/>
      <c r="C499" s="15"/>
      <c r="E499" s="15"/>
      <c r="F499" s="17"/>
      <c r="G499" s="26"/>
      <c r="H499" s="26"/>
      <c r="I499" s="26"/>
      <c r="J499" s="26"/>
    </row>
    <row r="500" spans="1:10">
      <c r="A500" s="25"/>
      <c r="B500" s="15"/>
      <c r="C500" s="15"/>
      <c r="E500" s="15"/>
      <c r="F500" s="17"/>
      <c r="G500" s="26"/>
      <c r="H500" s="26"/>
      <c r="I500" s="26"/>
      <c r="J500" s="26"/>
    </row>
    <row r="501" spans="1:10">
      <c r="A501" s="25"/>
      <c r="B501" s="15"/>
      <c r="C501" s="15"/>
      <c r="E501" s="15"/>
      <c r="F501" s="17"/>
      <c r="G501" s="26"/>
      <c r="H501" s="26"/>
      <c r="I501" s="26"/>
      <c r="J501" s="26"/>
    </row>
    <row r="502" spans="1:10">
      <c r="A502" s="25"/>
      <c r="B502" s="15"/>
      <c r="C502" s="15"/>
      <c r="E502" s="15"/>
      <c r="F502" s="17"/>
      <c r="G502" s="26"/>
      <c r="H502" s="26"/>
      <c r="I502" s="26"/>
      <c r="J502" s="26"/>
    </row>
    <row r="503" spans="1:10">
      <c r="A503" s="25"/>
      <c r="B503" s="15"/>
      <c r="C503" s="15"/>
      <c r="E503" s="15"/>
      <c r="F503" s="17"/>
      <c r="G503" s="26"/>
      <c r="H503" s="26"/>
      <c r="I503" s="26"/>
      <c r="J503" s="26"/>
    </row>
    <row r="504" spans="1:10">
      <c r="A504" s="25"/>
      <c r="B504" s="15"/>
      <c r="C504" s="15"/>
      <c r="E504" s="15"/>
      <c r="F504" s="17"/>
      <c r="G504" s="26"/>
      <c r="H504" s="26"/>
      <c r="I504" s="26"/>
      <c r="J504" s="26"/>
    </row>
    <row r="505" spans="1:10">
      <c r="A505" s="25"/>
      <c r="B505" s="15"/>
      <c r="C505" s="15"/>
      <c r="E505" s="15"/>
      <c r="F505" s="17"/>
      <c r="G505" s="26"/>
      <c r="H505" s="26"/>
      <c r="I505" s="26"/>
      <c r="J505" s="26"/>
    </row>
    <row r="506" spans="1:10">
      <c r="A506" s="25"/>
      <c r="B506" s="15"/>
      <c r="C506" s="15"/>
      <c r="E506" s="15"/>
      <c r="F506" s="17"/>
      <c r="G506" s="26"/>
      <c r="H506" s="26"/>
      <c r="I506" s="26"/>
      <c r="J506" s="26"/>
    </row>
    <row r="507" spans="1:10">
      <c r="A507" s="25"/>
      <c r="B507" s="15"/>
      <c r="C507" s="15"/>
      <c r="E507" s="15"/>
      <c r="F507" s="17"/>
      <c r="G507" s="26"/>
      <c r="H507" s="26"/>
      <c r="I507" s="26"/>
      <c r="J507" s="26"/>
    </row>
    <row r="508" spans="1:10">
      <c r="A508" s="25"/>
      <c r="B508" s="15"/>
      <c r="C508" s="15"/>
      <c r="E508" s="15"/>
      <c r="F508" s="17"/>
      <c r="G508" s="26"/>
      <c r="H508" s="26"/>
      <c r="I508" s="26"/>
      <c r="J508" s="26"/>
    </row>
    <row r="509" spans="1:10">
      <c r="A509" s="25"/>
      <c r="B509" s="15"/>
      <c r="C509" s="15"/>
      <c r="E509" s="15"/>
      <c r="F509" s="17"/>
      <c r="G509" s="26"/>
      <c r="H509" s="26"/>
      <c r="I509" s="26"/>
      <c r="J509" s="26"/>
    </row>
    <row r="510" spans="1:10">
      <c r="A510" s="25"/>
      <c r="B510" s="15"/>
      <c r="C510" s="15"/>
      <c r="E510" s="15"/>
      <c r="F510" s="17"/>
      <c r="G510" s="26"/>
      <c r="H510" s="26"/>
      <c r="I510" s="26"/>
      <c r="J510" s="26"/>
    </row>
    <row r="511" spans="1:10">
      <c r="A511" s="25"/>
      <c r="B511" s="15"/>
      <c r="C511" s="15"/>
      <c r="E511" s="15"/>
      <c r="F511" s="17"/>
      <c r="G511" s="26"/>
      <c r="H511" s="26"/>
      <c r="I511" s="26"/>
      <c r="J511" s="26"/>
    </row>
    <row r="512" spans="1:10">
      <c r="A512" s="25"/>
      <c r="B512" s="15"/>
      <c r="C512" s="15"/>
      <c r="E512" s="15"/>
      <c r="F512" s="17"/>
      <c r="G512" s="26"/>
      <c r="H512" s="26"/>
      <c r="I512" s="26"/>
      <c r="J512" s="26"/>
    </row>
    <row r="513" spans="1:10">
      <c r="A513" s="25"/>
      <c r="B513" s="15"/>
      <c r="C513" s="15"/>
      <c r="E513" s="15"/>
      <c r="F513" s="17"/>
      <c r="G513" s="26"/>
      <c r="H513" s="26"/>
      <c r="I513" s="26"/>
      <c r="J513" s="26"/>
    </row>
    <row r="514" spans="1:10">
      <c r="A514" s="25"/>
      <c r="B514" s="15"/>
      <c r="C514" s="15"/>
      <c r="E514" s="15"/>
      <c r="F514" s="17"/>
      <c r="G514" s="26"/>
      <c r="H514" s="26"/>
      <c r="I514" s="26"/>
      <c r="J514" s="26"/>
    </row>
    <row r="515" spans="1:10">
      <c r="A515" s="25"/>
      <c r="B515" s="15"/>
      <c r="C515" s="15"/>
      <c r="E515" s="15"/>
      <c r="F515" s="17"/>
      <c r="G515" s="26"/>
      <c r="H515" s="26"/>
      <c r="I515" s="26"/>
      <c r="J515" s="26"/>
    </row>
    <row r="516" spans="1:10">
      <c r="A516" s="25"/>
      <c r="B516" s="15"/>
      <c r="C516" s="15"/>
      <c r="E516" s="15"/>
      <c r="F516" s="17"/>
      <c r="G516" s="26"/>
      <c r="H516" s="26"/>
      <c r="I516" s="26"/>
      <c r="J516" s="26"/>
    </row>
    <row r="517" spans="1:10">
      <c r="A517" s="25"/>
      <c r="B517" s="15"/>
      <c r="C517" s="15"/>
      <c r="E517" s="15"/>
      <c r="F517" s="17"/>
      <c r="G517" s="26"/>
      <c r="H517" s="26"/>
      <c r="I517" s="26"/>
      <c r="J517" s="26"/>
    </row>
    <row r="518" spans="1:10">
      <c r="A518" s="25"/>
      <c r="B518" s="15"/>
      <c r="C518" s="15"/>
      <c r="E518" s="15"/>
      <c r="F518" s="17"/>
      <c r="G518" s="26"/>
      <c r="H518" s="26"/>
      <c r="I518" s="26"/>
      <c r="J518" s="26"/>
    </row>
    <row r="519" spans="1:10">
      <c r="A519" s="25"/>
      <c r="B519" s="15"/>
      <c r="C519" s="15"/>
      <c r="E519" s="15"/>
      <c r="F519" s="17"/>
      <c r="G519" s="26"/>
      <c r="H519" s="26"/>
      <c r="I519" s="26"/>
      <c r="J519" s="26"/>
    </row>
    <row r="520" spans="1:10">
      <c r="A520" s="25"/>
      <c r="B520" s="15"/>
      <c r="C520" s="15"/>
      <c r="E520" s="15"/>
      <c r="F520" s="17"/>
      <c r="G520" s="26"/>
      <c r="H520" s="26"/>
      <c r="I520" s="26"/>
      <c r="J520" s="26"/>
    </row>
    <row r="521" spans="1:10">
      <c r="A521" s="25"/>
      <c r="B521" s="15"/>
      <c r="C521" s="15"/>
      <c r="E521" s="15"/>
      <c r="F521" s="17"/>
      <c r="G521" s="26"/>
      <c r="H521" s="26"/>
      <c r="I521" s="26"/>
      <c r="J521" s="26"/>
    </row>
    <row r="522" spans="1:10">
      <c r="A522" s="25"/>
      <c r="B522" s="15"/>
      <c r="C522" s="15"/>
      <c r="E522" s="15"/>
      <c r="F522" s="17"/>
      <c r="G522" s="26"/>
      <c r="H522" s="26"/>
      <c r="I522" s="26"/>
      <c r="J522" s="26"/>
    </row>
    <row r="523" spans="1:10">
      <c r="A523" s="25"/>
      <c r="B523" s="15"/>
      <c r="C523" s="15"/>
      <c r="E523" s="15"/>
      <c r="F523" s="17"/>
      <c r="G523" s="26"/>
      <c r="H523" s="26"/>
      <c r="I523" s="26"/>
      <c r="J523" s="26"/>
    </row>
    <row r="524" spans="1:10">
      <c r="A524" s="25"/>
      <c r="B524" s="15"/>
      <c r="C524" s="15"/>
      <c r="E524" s="15"/>
      <c r="F524" s="17"/>
      <c r="G524" s="26"/>
      <c r="H524" s="26"/>
      <c r="I524" s="26"/>
      <c r="J524" s="26"/>
    </row>
    <row r="525" spans="1:10">
      <c r="A525" s="25"/>
      <c r="B525" s="15"/>
      <c r="C525" s="15"/>
      <c r="E525" s="15"/>
      <c r="F525" s="17"/>
      <c r="G525" s="26"/>
      <c r="H525" s="26"/>
      <c r="I525" s="26"/>
      <c r="J525" s="26"/>
    </row>
    <row r="526" spans="1:10">
      <c r="A526" s="25"/>
      <c r="B526" s="15"/>
      <c r="C526" s="15"/>
      <c r="E526" s="15"/>
      <c r="F526" s="17"/>
      <c r="G526" s="26"/>
      <c r="H526" s="26"/>
      <c r="I526" s="26"/>
      <c r="J526" s="26"/>
    </row>
    <row r="527" spans="1:10">
      <c r="A527" s="25"/>
      <c r="B527" s="15"/>
      <c r="C527" s="15"/>
      <c r="E527" s="15"/>
      <c r="F527" s="17"/>
      <c r="G527" s="26"/>
      <c r="H527" s="26"/>
      <c r="I527" s="26"/>
      <c r="J527" s="26"/>
    </row>
    <row r="528" spans="1:10">
      <c r="A528" s="25"/>
      <c r="B528" s="15"/>
      <c r="C528" s="15"/>
      <c r="E528" s="15"/>
      <c r="F528" s="17"/>
      <c r="G528" s="26"/>
      <c r="H528" s="26"/>
      <c r="I528" s="26"/>
      <c r="J528" s="26"/>
    </row>
    <row r="529" spans="1:10">
      <c r="A529" s="25"/>
      <c r="B529" s="15"/>
      <c r="C529" s="15"/>
      <c r="E529" s="15"/>
      <c r="F529" s="17"/>
      <c r="G529" s="26"/>
      <c r="H529" s="26"/>
      <c r="I529" s="26"/>
      <c r="J529" s="26"/>
    </row>
    <row r="530" spans="1:10">
      <c r="A530" s="25"/>
      <c r="B530" s="15"/>
      <c r="C530" s="15"/>
      <c r="E530" s="15"/>
      <c r="F530" s="17"/>
      <c r="G530" s="26"/>
      <c r="H530" s="26"/>
      <c r="I530" s="26"/>
      <c r="J530" s="26"/>
    </row>
    <row r="531" spans="1:10">
      <c r="A531" s="25"/>
      <c r="B531" s="15"/>
      <c r="C531" s="15"/>
      <c r="E531" s="15"/>
      <c r="F531" s="17"/>
      <c r="G531" s="26"/>
      <c r="H531" s="26"/>
      <c r="I531" s="26"/>
      <c r="J531" s="26"/>
    </row>
    <row r="532" spans="1:10">
      <c r="A532" s="25"/>
      <c r="B532" s="15"/>
      <c r="C532" s="15"/>
      <c r="E532" s="15"/>
      <c r="F532" s="17"/>
      <c r="G532" s="26"/>
      <c r="H532" s="26"/>
      <c r="I532" s="26"/>
      <c r="J532" s="26"/>
    </row>
    <row r="533" spans="1:10">
      <c r="A533" s="25"/>
      <c r="B533" s="15"/>
      <c r="C533" s="15"/>
      <c r="E533" s="15"/>
      <c r="F533" s="17"/>
      <c r="G533" s="26"/>
      <c r="H533" s="26"/>
      <c r="I533" s="26"/>
      <c r="J533" s="26"/>
    </row>
    <row r="534" spans="1:10">
      <c r="A534" s="25"/>
      <c r="B534" s="15"/>
      <c r="C534" s="15"/>
      <c r="E534" s="15"/>
      <c r="F534" s="17"/>
      <c r="G534" s="26"/>
      <c r="H534" s="26"/>
      <c r="I534" s="26"/>
      <c r="J534" s="26"/>
    </row>
    <row r="535" spans="1:10">
      <c r="A535" s="25"/>
      <c r="B535" s="15"/>
      <c r="C535" s="15"/>
      <c r="E535" s="15"/>
      <c r="F535" s="17"/>
      <c r="G535" s="26"/>
      <c r="H535" s="26"/>
      <c r="I535" s="26"/>
      <c r="J535" s="26"/>
    </row>
    <row r="536" spans="1:10">
      <c r="A536" s="25"/>
      <c r="B536" s="15"/>
      <c r="C536" s="15"/>
      <c r="E536" s="15"/>
      <c r="F536" s="17"/>
      <c r="G536" s="26"/>
      <c r="H536" s="26"/>
      <c r="I536" s="26"/>
      <c r="J536" s="26"/>
    </row>
    <row r="537" spans="1:10">
      <c r="A537" s="25"/>
      <c r="B537" s="15"/>
      <c r="C537" s="15"/>
      <c r="E537" s="15"/>
      <c r="F537" s="17"/>
      <c r="G537" s="26"/>
      <c r="H537" s="26"/>
      <c r="I537" s="26"/>
      <c r="J537" s="26"/>
    </row>
    <row r="538" spans="1:10">
      <c r="A538" s="25"/>
      <c r="B538" s="15"/>
      <c r="C538" s="15"/>
      <c r="E538" s="15"/>
      <c r="F538" s="17"/>
      <c r="G538" s="26"/>
      <c r="H538" s="26"/>
      <c r="I538" s="26"/>
      <c r="J538" s="26"/>
    </row>
    <row r="539" spans="1:10">
      <c r="A539" s="25"/>
      <c r="B539" s="15"/>
      <c r="C539" s="15"/>
      <c r="E539" s="15"/>
      <c r="F539" s="17"/>
      <c r="G539" s="26"/>
      <c r="H539" s="26"/>
      <c r="I539" s="26"/>
      <c r="J539" s="26"/>
    </row>
    <row r="540" spans="1:10">
      <c r="A540" s="25"/>
      <c r="B540" s="15"/>
      <c r="C540" s="15"/>
      <c r="E540" s="15"/>
      <c r="F540" s="17"/>
      <c r="G540" s="26"/>
      <c r="H540" s="26"/>
      <c r="I540" s="26"/>
      <c r="J540" s="26"/>
    </row>
    <row r="541" spans="1:10">
      <c r="A541" s="25"/>
      <c r="B541" s="15"/>
      <c r="C541" s="15"/>
      <c r="E541" s="15"/>
      <c r="F541" s="17"/>
      <c r="G541" s="26"/>
      <c r="H541" s="26"/>
      <c r="I541" s="26"/>
      <c r="J541" s="26"/>
    </row>
    <row r="542" spans="1:10">
      <c r="A542" s="25"/>
      <c r="B542" s="15"/>
      <c r="C542" s="15"/>
      <c r="E542" s="15"/>
      <c r="F542" s="17"/>
      <c r="G542" s="26"/>
      <c r="H542" s="26"/>
      <c r="I542" s="26"/>
      <c r="J542" s="26"/>
    </row>
    <row r="543" spans="1:10">
      <c r="A543" s="25"/>
      <c r="B543" s="15"/>
      <c r="C543" s="15"/>
      <c r="E543" s="15"/>
      <c r="F543" s="17"/>
      <c r="G543" s="26"/>
      <c r="H543" s="26"/>
      <c r="I543" s="26"/>
      <c r="J543" s="26"/>
    </row>
    <row r="544" spans="1:10">
      <c r="A544" s="25"/>
      <c r="B544" s="15"/>
      <c r="C544" s="15"/>
      <c r="E544" s="15"/>
      <c r="F544" s="17"/>
      <c r="G544" s="26"/>
      <c r="H544" s="26"/>
      <c r="I544" s="26"/>
      <c r="J544" s="26"/>
    </row>
    <row r="545" spans="1:10">
      <c r="A545" s="25"/>
      <c r="B545" s="15"/>
      <c r="C545" s="15"/>
      <c r="E545" s="15"/>
      <c r="F545" s="17"/>
      <c r="G545" s="26"/>
      <c r="H545" s="26"/>
      <c r="I545" s="26"/>
      <c r="J545" s="26"/>
    </row>
    <row r="546" spans="1:10">
      <c r="A546" s="25"/>
      <c r="B546" s="15"/>
      <c r="C546" s="15"/>
      <c r="E546" s="15"/>
      <c r="F546" s="17"/>
      <c r="G546" s="26"/>
      <c r="H546" s="26"/>
      <c r="I546" s="26"/>
      <c r="J546" s="26"/>
    </row>
    <row r="547" spans="1:10">
      <c r="A547" s="25"/>
      <c r="B547" s="15"/>
      <c r="C547" s="15"/>
      <c r="E547" s="15"/>
      <c r="F547" s="17"/>
      <c r="G547" s="26"/>
      <c r="H547" s="26"/>
      <c r="I547" s="26"/>
      <c r="J547" s="26"/>
    </row>
    <row r="548" spans="1:10">
      <c r="A548" s="25"/>
      <c r="B548" s="15"/>
      <c r="C548" s="15"/>
      <c r="E548" s="15"/>
      <c r="F548" s="17"/>
      <c r="G548" s="26"/>
      <c r="H548" s="26"/>
      <c r="I548" s="26"/>
      <c r="J548" s="26"/>
    </row>
    <row r="549" spans="1:10">
      <c r="A549" s="25"/>
      <c r="B549" s="15"/>
      <c r="C549" s="15"/>
      <c r="E549" s="15"/>
      <c r="F549" s="17"/>
      <c r="G549" s="26"/>
      <c r="H549" s="26"/>
      <c r="I549" s="26"/>
      <c r="J549" s="26"/>
    </row>
    <row r="550" spans="1:10">
      <c r="A550" s="25"/>
      <c r="B550" s="15"/>
      <c r="C550" s="15"/>
      <c r="E550" s="15"/>
      <c r="F550" s="17"/>
      <c r="G550" s="26"/>
      <c r="H550" s="26"/>
      <c r="I550" s="26"/>
      <c r="J550" s="26"/>
    </row>
    <row r="551" spans="1:10">
      <c r="A551" s="25"/>
      <c r="B551" s="15"/>
      <c r="C551" s="15"/>
      <c r="E551" s="15"/>
      <c r="F551" s="17"/>
      <c r="G551" s="26"/>
      <c r="H551" s="26"/>
      <c r="I551" s="26"/>
      <c r="J551" s="26"/>
    </row>
    <row r="552" spans="1:10">
      <c r="A552" s="25"/>
      <c r="B552" s="15"/>
      <c r="C552" s="15"/>
      <c r="E552" s="15"/>
      <c r="F552" s="17"/>
      <c r="G552" s="26"/>
      <c r="H552" s="26"/>
      <c r="I552" s="26"/>
      <c r="J552" s="26"/>
    </row>
    <row r="553" spans="1:10">
      <c r="A553" s="25"/>
      <c r="B553" s="15"/>
      <c r="C553" s="15"/>
      <c r="E553" s="15"/>
      <c r="F553" s="17"/>
      <c r="G553" s="26"/>
      <c r="H553" s="26"/>
      <c r="I553" s="26"/>
      <c r="J553" s="26"/>
    </row>
    <row r="554" spans="1:10">
      <c r="A554" s="25"/>
      <c r="B554" s="15"/>
      <c r="C554" s="15"/>
      <c r="E554" s="15"/>
      <c r="F554" s="17"/>
      <c r="G554" s="26"/>
      <c r="H554" s="26"/>
      <c r="I554" s="26"/>
      <c r="J554" s="26"/>
    </row>
    <row r="555" spans="1:10">
      <c r="A555" s="25"/>
      <c r="B555" s="15"/>
      <c r="C555" s="15"/>
      <c r="E555" s="15"/>
      <c r="F555" s="17"/>
      <c r="G555" s="26"/>
      <c r="H555" s="26"/>
      <c r="I555" s="26"/>
      <c r="J555" s="26"/>
    </row>
    <row r="556" spans="1:10">
      <c r="A556" s="25"/>
      <c r="B556" s="15"/>
      <c r="C556" s="15"/>
      <c r="E556" s="15"/>
      <c r="F556" s="17"/>
      <c r="G556" s="26"/>
      <c r="H556" s="26"/>
      <c r="I556" s="26"/>
      <c r="J556" s="26"/>
    </row>
    <row r="557" spans="1:10">
      <c r="A557" s="25"/>
      <c r="B557" s="15"/>
      <c r="C557" s="15"/>
      <c r="E557" s="15"/>
      <c r="F557" s="17"/>
      <c r="G557" s="26"/>
      <c r="H557" s="26"/>
      <c r="I557" s="26"/>
      <c r="J557" s="26"/>
    </row>
    <row r="558" spans="1:10">
      <c r="A558" s="25"/>
      <c r="B558" s="15"/>
      <c r="C558" s="15"/>
      <c r="E558" s="15"/>
      <c r="F558" s="17"/>
      <c r="G558" s="26"/>
      <c r="H558" s="26"/>
      <c r="I558" s="26"/>
      <c r="J558" s="26"/>
    </row>
    <row r="559" spans="1:10">
      <c r="A559" s="25"/>
      <c r="B559" s="15"/>
      <c r="C559" s="15"/>
      <c r="E559" s="15"/>
      <c r="F559" s="17"/>
      <c r="G559" s="26"/>
      <c r="H559" s="26"/>
      <c r="I559" s="26"/>
      <c r="J559" s="26"/>
    </row>
    <row r="560" spans="1:10">
      <c r="A560" s="25"/>
      <c r="B560" s="15"/>
      <c r="C560" s="15"/>
      <c r="E560" s="15"/>
      <c r="F560" s="17"/>
      <c r="G560" s="26"/>
      <c r="H560" s="26"/>
      <c r="I560" s="26"/>
      <c r="J560" s="26"/>
    </row>
    <row r="561" spans="1:10">
      <c r="A561" s="25"/>
      <c r="B561" s="15"/>
      <c r="C561" s="15"/>
      <c r="E561" s="15"/>
      <c r="F561" s="17"/>
      <c r="G561" s="26"/>
      <c r="H561" s="26"/>
      <c r="I561" s="26"/>
      <c r="J561" s="26"/>
    </row>
    <row r="562" spans="1:10">
      <c r="A562" s="25"/>
      <c r="B562" s="15"/>
      <c r="C562" s="15"/>
      <c r="E562" s="15"/>
      <c r="F562" s="17"/>
      <c r="G562" s="26"/>
      <c r="H562" s="26"/>
      <c r="I562" s="26"/>
      <c r="J562" s="26"/>
    </row>
    <row r="563" spans="1:10">
      <c r="A563" s="25"/>
      <c r="B563" s="15"/>
      <c r="C563" s="15"/>
      <c r="E563" s="15"/>
      <c r="F563" s="17"/>
      <c r="G563" s="26"/>
      <c r="H563" s="26"/>
      <c r="I563" s="26"/>
      <c r="J563" s="26"/>
    </row>
    <row r="564" spans="1:10">
      <c r="A564" s="25"/>
      <c r="B564" s="15"/>
      <c r="C564" s="15"/>
      <c r="E564" s="15"/>
      <c r="F564" s="17"/>
      <c r="G564" s="26"/>
      <c r="H564" s="26"/>
      <c r="I564" s="26"/>
      <c r="J564" s="26"/>
    </row>
    <row r="565" spans="1:10">
      <c r="A565" s="25"/>
      <c r="B565" s="15"/>
      <c r="C565" s="15"/>
      <c r="E565" s="15"/>
      <c r="F565" s="17"/>
      <c r="G565" s="26"/>
      <c r="H565" s="26"/>
      <c r="I565" s="26"/>
      <c r="J565" s="26"/>
    </row>
    <row r="566" spans="1:10">
      <c r="A566" s="25"/>
      <c r="B566" s="15"/>
      <c r="C566" s="15"/>
      <c r="E566" s="15"/>
      <c r="F566" s="17"/>
      <c r="G566" s="26"/>
      <c r="H566" s="26"/>
      <c r="I566" s="26"/>
      <c r="J566" s="26"/>
    </row>
    <row r="567" spans="1:10">
      <c r="A567" s="25"/>
      <c r="B567" s="15"/>
      <c r="C567" s="15"/>
      <c r="E567" s="15"/>
      <c r="F567" s="17"/>
      <c r="G567" s="26"/>
      <c r="H567" s="26"/>
      <c r="I567" s="26"/>
      <c r="J567" s="26"/>
    </row>
    <row r="568" spans="1:10">
      <c r="A568" s="25"/>
      <c r="B568" s="15"/>
      <c r="C568" s="15"/>
      <c r="E568" s="15"/>
      <c r="F568" s="17"/>
      <c r="G568" s="26"/>
      <c r="H568" s="26"/>
      <c r="I568" s="26"/>
      <c r="J568" s="26"/>
    </row>
    <row r="569" spans="1:10">
      <c r="A569" s="25"/>
      <c r="B569" s="15"/>
      <c r="C569" s="15"/>
      <c r="E569" s="15"/>
      <c r="F569" s="17"/>
      <c r="G569" s="26"/>
      <c r="H569" s="26"/>
      <c r="I569" s="26"/>
      <c r="J569" s="26"/>
    </row>
    <row r="570" spans="1:10">
      <c r="A570" s="25"/>
      <c r="B570" s="15"/>
      <c r="C570" s="15"/>
      <c r="E570" s="15"/>
      <c r="F570" s="17"/>
      <c r="G570" s="26"/>
      <c r="H570" s="26"/>
      <c r="I570" s="26"/>
      <c r="J570" s="26"/>
    </row>
    <row r="571" spans="1:10">
      <c r="A571" s="25"/>
      <c r="B571" s="15"/>
      <c r="C571" s="15"/>
      <c r="E571" s="15"/>
      <c r="F571" s="17"/>
      <c r="G571" s="26"/>
      <c r="H571" s="26"/>
      <c r="I571" s="26"/>
      <c r="J571" s="26"/>
    </row>
    <row r="572" spans="1:10">
      <c r="A572" s="25"/>
      <c r="B572" s="15"/>
      <c r="C572" s="15"/>
      <c r="E572" s="15"/>
      <c r="F572" s="17"/>
      <c r="G572" s="26"/>
      <c r="H572" s="26"/>
      <c r="I572" s="26"/>
      <c r="J572" s="26"/>
    </row>
    <row r="573" spans="1:10">
      <c r="A573" s="25"/>
      <c r="B573" s="15"/>
      <c r="C573" s="15"/>
      <c r="E573" s="15"/>
      <c r="F573" s="17"/>
      <c r="G573" s="26"/>
      <c r="H573" s="26"/>
      <c r="I573" s="26"/>
      <c r="J573" s="26"/>
    </row>
    <row r="574" spans="1:10">
      <c r="A574" s="25"/>
      <c r="B574" s="15"/>
      <c r="C574" s="15"/>
      <c r="E574" s="15"/>
      <c r="F574" s="17"/>
      <c r="G574" s="26"/>
      <c r="H574" s="26"/>
      <c r="I574" s="26"/>
      <c r="J574" s="26"/>
    </row>
    <row r="575" spans="1:10">
      <c r="A575" s="25"/>
      <c r="B575" s="15"/>
      <c r="C575" s="15"/>
      <c r="E575" s="15"/>
      <c r="F575" s="17"/>
      <c r="G575" s="26"/>
      <c r="H575" s="26"/>
      <c r="I575" s="26"/>
      <c r="J575" s="26"/>
    </row>
    <row r="576" spans="1:10">
      <c r="A576" s="25"/>
      <c r="B576" s="15"/>
      <c r="C576" s="15"/>
      <c r="E576" s="15"/>
      <c r="F576" s="17"/>
      <c r="G576" s="26"/>
      <c r="H576" s="26"/>
      <c r="I576" s="26"/>
      <c r="J576" s="26"/>
    </row>
    <row r="577" spans="1:10">
      <c r="A577" s="25"/>
      <c r="B577" s="15"/>
      <c r="C577" s="15"/>
      <c r="E577" s="15"/>
      <c r="F577" s="17"/>
      <c r="G577" s="26"/>
      <c r="H577" s="26"/>
      <c r="I577" s="26"/>
      <c r="J577" s="26"/>
    </row>
    <row r="578" spans="1:10">
      <c r="A578" s="25"/>
      <c r="B578" s="15"/>
      <c r="C578" s="15"/>
      <c r="E578" s="15"/>
      <c r="F578" s="17"/>
      <c r="G578" s="26"/>
      <c r="H578" s="26"/>
      <c r="I578" s="26"/>
      <c r="J578" s="26"/>
    </row>
    <row r="579" spans="1:10">
      <c r="A579" s="25"/>
      <c r="B579" s="15"/>
      <c r="C579" s="15"/>
      <c r="E579" s="15"/>
      <c r="F579" s="17"/>
      <c r="G579" s="26"/>
      <c r="H579" s="26"/>
      <c r="I579" s="26"/>
      <c r="J579" s="26"/>
    </row>
    <row r="580" spans="1:10">
      <c r="A580" s="25"/>
      <c r="B580" s="15"/>
      <c r="C580" s="15"/>
      <c r="E580" s="15"/>
      <c r="F580" s="17"/>
      <c r="G580" s="26"/>
      <c r="H580" s="26"/>
      <c r="I580" s="26"/>
      <c r="J580" s="26"/>
    </row>
    <row r="581" spans="1:10">
      <c r="A581" s="25"/>
      <c r="B581" s="15"/>
      <c r="C581" s="15"/>
      <c r="E581" s="15"/>
      <c r="F581" s="17"/>
      <c r="G581" s="26"/>
      <c r="H581" s="26"/>
      <c r="I581" s="26"/>
      <c r="J581" s="26"/>
    </row>
    <row r="582" spans="1:10">
      <c r="A582" s="25"/>
      <c r="B582" s="15"/>
      <c r="C582" s="15"/>
      <c r="E582" s="15"/>
      <c r="F582" s="17"/>
      <c r="G582" s="26"/>
      <c r="H582" s="26"/>
      <c r="I582" s="26"/>
      <c r="J582" s="26"/>
    </row>
    <row r="583" spans="1:10">
      <c r="A583" s="25"/>
      <c r="B583" s="15"/>
      <c r="C583" s="15"/>
      <c r="E583" s="15"/>
      <c r="F583" s="17"/>
      <c r="G583" s="26"/>
      <c r="H583" s="26"/>
      <c r="I583" s="26"/>
      <c r="J583" s="26"/>
    </row>
    <row r="584" spans="1:10">
      <c r="A584" s="25"/>
      <c r="B584" s="15"/>
      <c r="C584" s="15"/>
      <c r="E584" s="15"/>
      <c r="F584" s="17"/>
      <c r="G584" s="26"/>
      <c r="H584" s="26"/>
      <c r="I584" s="26"/>
      <c r="J584" s="26"/>
    </row>
    <row r="585" spans="1:10">
      <c r="A585" s="25"/>
      <c r="B585" s="15"/>
      <c r="C585" s="15"/>
      <c r="E585" s="15"/>
      <c r="F585" s="17"/>
      <c r="G585" s="26"/>
      <c r="H585" s="26"/>
      <c r="I585" s="26"/>
      <c r="J585" s="26"/>
    </row>
    <row r="586" spans="1:10">
      <c r="A586" s="25"/>
      <c r="B586" s="15"/>
      <c r="C586" s="15"/>
      <c r="E586" s="15"/>
      <c r="F586" s="17"/>
      <c r="G586" s="26"/>
      <c r="H586" s="26"/>
      <c r="I586" s="26"/>
      <c r="J586" s="26"/>
    </row>
    <row r="587" spans="1:10">
      <c r="A587" s="25"/>
      <c r="B587" s="15"/>
      <c r="C587" s="15"/>
      <c r="E587" s="15"/>
      <c r="F587" s="17"/>
      <c r="G587" s="26"/>
      <c r="H587" s="26"/>
      <c r="I587" s="26"/>
      <c r="J587" s="26"/>
    </row>
    <row r="588" spans="1:10">
      <c r="A588" s="25"/>
      <c r="B588" s="15"/>
      <c r="C588" s="15"/>
      <c r="E588" s="15"/>
      <c r="F588" s="17"/>
      <c r="G588" s="26"/>
      <c r="H588" s="26"/>
      <c r="I588" s="26"/>
      <c r="J588" s="26"/>
    </row>
    <row r="589" spans="1:10">
      <c r="A589" s="25"/>
      <c r="B589" s="15"/>
      <c r="C589" s="15"/>
      <c r="E589" s="15"/>
      <c r="F589" s="17"/>
      <c r="G589" s="26"/>
      <c r="H589" s="26"/>
      <c r="I589" s="26"/>
      <c r="J589" s="26"/>
    </row>
    <row r="590" spans="1:10">
      <c r="A590" s="25"/>
      <c r="B590" s="15"/>
      <c r="C590" s="15"/>
      <c r="E590" s="15"/>
      <c r="F590" s="17"/>
      <c r="G590" s="26"/>
      <c r="H590" s="26"/>
      <c r="I590" s="26"/>
      <c r="J590" s="26"/>
    </row>
    <row r="591" spans="1:10">
      <c r="A591" s="25"/>
      <c r="B591" s="15"/>
      <c r="C591" s="15"/>
      <c r="E591" s="15"/>
      <c r="F591" s="17"/>
      <c r="G591" s="26"/>
      <c r="H591" s="26"/>
      <c r="I591" s="26"/>
      <c r="J591" s="26"/>
    </row>
    <row r="592" spans="1:10">
      <c r="A592" s="25"/>
      <c r="B592" s="15"/>
      <c r="C592" s="15"/>
      <c r="E592" s="15"/>
      <c r="F592" s="17"/>
      <c r="G592" s="26"/>
      <c r="H592" s="26"/>
      <c r="I592" s="26"/>
      <c r="J592" s="26"/>
    </row>
    <row r="593" spans="1:10">
      <c r="A593" s="25"/>
      <c r="B593" s="15"/>
      <c r="C593" s="15"/>
      <c r="E593" s="15"/>
      <c r="F593" s="17"/>
      <c r="G593" s="26"/>
      <c r="H593" s="26"/>
      <c r="I593" s="26"/>
      <c r="J593" s="26"/>
    </row>
    <row r="594" spans="1:10">
      <c r="A594" s="25"/>
      <c r="B594" s="15"/>
      <c r="C594" s="15"/>
      <c r="E594" s="15"/>
      <c r="F594" s="17"/>
      <c r="G594" s="26"/>
      <c r="H594" s="26"/>
      <c r="I594" s="26"/>
      <c r="J594" s="26"/>
    </row>
    <row r="595" spans="1:10">
      <c r="A595" s="25"/>
      <c r="B595" s="15"/>
      <c r="C595" s="15"/>
      <c r="E595" s="15"/>
      <c r="F595" s="17"/>
      <c r="G595" s="26"/>
      <c r="H595" s="26"/>
      <c r="I595" s="26"/>
      <c r="J595" s="26"/>
    </row>
    <row r="596" spans="1:10">
      <c r="A596" s="25"/>
      <c r="B596" s="15"/>
      <c r="C596" s="15"/>
      <c r="E596" s="15"/>
      <c r="F596" s="17"/>
      <c r="G596" s="26"/>
      <c r="H596" s="26"/>
      <c r="I596" s="26"/>
      <c r="J596" s="26"/>
    </row>
    <row r="597" spans="1:10">
      <c r="A597" s="25"/>
      <c r="B597" s="15"/>
      <c r="C597" s="15"/>
      <c r="E597" s="15"/>
      <c r="F597" s="17"/>
      <c r="G597" s="26"/>
      <c r="H597" s="26"/>
      <c r="I597" s="26"/>
      <c r="J597" s="26"/>
    </row>
    <row r="598" spans="1:10">
      <c r="A598" s="25"/>
      <c r="B598" s="15"/>
      <c r="C598" s="15"/>
      <c r="E598" s="15"/>
      <c r="F598" s="17"/>
      <c r="G598" s="26"/>
      <c r="H598" s="26"/>
      <c r="I598" s="26"/>
      <c r="J598" s="26"/>
    </row>
    <row r="599" spans="1:10">
      <c r="A599" s="25"/>
      <c r="B599" s="15"/>
      <c r="C599" s="15"/>
      <c r="E599" s="15"/>
      <c r="F599" s="17"/>
      <c r="G599" s="26"/>
      <c r="H599" s="26"/>
      <c r="I599" s="26"/>
      <c r="J599" s="26"/>
    </row>
    <row r="600" spans="1:10">
      <c r="A600" s="25"/>
      <c r="B600" s="15"/>
      <c r="C600" s="15"/>
      <c r="E600" s="15"/>
      <c r="F600" s="17"/>
      <c r="G600" s="26"/>
      <c r="H600" s="26"/>
      <c r="I600" s="26"/>
      <c r="J600" s="26"/>
    </row>
    <row r="601" spans="1:10">
      <c r="A601" s="25"/>
      <c r="B601" s="15"/>
      <c r="C601" s="15"/>
      <c r="E601" s="15"/>
      <c r="F601" s="17"/>
      <c r="G601" s="26"/>
      <c r="H601" s="26"/>
      <c r="I601" s="26"/>
      <c r="J601" s="26"/>
    </row>
    <row r="602" spans="1:10">
      <c r="A602" s="25"/>
      <c r="B602" s="15"/>
      <c r="C602" s="15"/>
      <c r="E602" s="15"/>
      <c r="F602" s="17"/>
      <c r="G602" s="26"/>
      <c r="H602" s="26"/>
      <c r="I602" s="26"/>
      <c r="J602" s="26"/>
    </row>
    <row r="603" spans="1:10">
      <c r="A603" s="25"/>
      <c r="B603" s="15"/>
      <c r="C603" s="15"/>
      <c r="E603" s="15"/>
      <c r="F603" s="17"/>
      <c r="G603" s="26"/>
      <c r="H603" s="26"/>
      <c r="I603" s="26"/>
      <c r="J603" s="26"/>
    </row>
    <row r="604" spans="1:10">
      <c r="A604" s="25"/>
      <c r="B604" s="15"/>
      <c r="C604" s="15"/>
      <c r="E604" s="15"/>
      <c r="F604" s="17"/>
      <c r="G604" s="26"/>
      <c r="H604" s="26"/>
      <c r="I604" s="26"/>
      <c r="J604" s="26"/>
    </row>
    <row r="605" spans="1:10">
      <c r="A605" s="25"/>
      <c r="B605" s="15"/>
      <c r="C605" s="15"/>
      <c r="E605" s="15"/>
      <c r="F605" s="17"/>
      <c r="G605" s="26"/>
      <c r="H605" s="26"/>
      <c r="I605" s="26"/>
      <c r="J605" s="26"/>
    </row>
    <row r="606" spans="1:10">
      <c r="A606" s="25"/>
      <c r="B606" s="15"/>
      <c r="C606" s="15"/>
      <c r="E606" s="15"/>
      <c r="F606" s="17"/>
      <c r="G606" s="26"/>
      <c r="H606" s="26"/>
      <c r="I606" s="26"/>
      <c r="J606" s="26"/>
    </row>
    <row r="607" spans="1:10">
      <c r="A607" s="25"/>
      <c r="B607" s="15"/>
      <c r="C607" s="15"/>
      <c r="E607" s="15"/>
      <c r="F607" s="17"/>
      <c r="G607" s="26"/>
      <c r="H607" s="26"/>
      <c r="I607" s="26"/>
      <c r="J607" s="26"/>
    </row>
    <row r="608" spans="1:10">
      <c r="A608" s="25"/>
      <c r="B608" s="15"/>
      <c r="C608" s="15"/>
      <c r="E608" s="15"/>
      <c r="F608" s="17"/>
      <c r="G608" s="26"/>
      <c r="H608" s="26"/>
      <c r="I608" s="26"/>
      <c r="J608" s="26"/>
    </row>
    <row r="609" spans="1:10">
      <c r="A609" s="25"/>
      <c r="B609" s="15"/>
      <c r="C609" s="15"/>
      <c r="E609" s="15"/>
      <c r="F609" s="17"/>
      <c r="G609" s="26"/>
      <c r="H609" s="26"/>
      <c r="I609" s="26"/>
      <c r="J609" s="26"/>
    </row>
    <row r="610" spans="1:10">
      <c r="A610" s="25"/>
      <c r="B610" s="15"/>
      <c r="C610" s="15"/>
      <c r="E610" s="15"/>
      <c r="F610" s="17"/>
      <c r="G610" s="26"/>
      <c r="H610" s="26"/>
      <c r="I610" s="26"/>
      <c r="J610" s="26"/>
    </row>
    <row r="611" spans="1:10">
      <c r="A611" s="25"/>
      <c r="B611" s="15"/>
      <c r="C611" s="15"/>
      <c r="E611" s="15"/>
      <c r="F611" s="17"/>
      <c r="G611" s="26"/>
      <c r="H611" s="26"/>
      <c r="I611" s="26"/>
      <c r="J611" s="26"/>
    </row>
    <row r="612" spans="1:10">
      <c r="A612" s="25"/>
      <c r="B612" s="15"/>
      <c r="C612" s="15"/>
      <c r="E612" s="15"/>
      <c r="F612" s="17"/>
      <c r="G612" s="26"/>
      <c r="H612" s="26"/>
      <c r="I612" s="26"/>
      <c r="J612" s="26"/>
    </row>
    <row r="613" spans="1:10">
      <c r="A613" s="25"/>
      <c r="B613" s="15"/>
      <c r="C613" s="15"/>
      <c r="E613" s="15"/>
      <c r="F613" s="17"/>
      <c r="G613" s="26"/>
      <c r="H613" s="26"/>
      <c r="I613" s="26"/>
      <c r="J613" s="26"/>
    </row>
    <row r="614" spans="1:10">
      <c r="A614" s="25"/>
      <c r="B614" s="15"/>
      <c r="C614" s="15"/>
      <c r="E614" s="15"/>
      <c r="F614" s="17"/>
      <c r="G614" s="26"/>
      <c r="H614" s="26"/>
      <c r="I614" s="26"/>
      <c r="J614" s="26"/>
    </row>
    <row r="615" spans="1:10">
      <c r="A615" s="25"/>
      <c r="B615" s="15"/>
      <c r="C615" s="15"/>
      <c r="E615" s="15"/>
      <c r="F615" s="17"/>
      <c r="G615" s="26"/>
      <c r="H615" s="26"/>
      <c r="I615" s="26"/>
      <c r="J615" s="26"/>
    </row>
    <row r="616" spans="1:10">
      <c r="A616" s="25"/>
      <c r="B616" s="15"/>
      <c r="C616" s="15"/>
      <c r="E616" s="15"/>
      <c r="F616" s="17"/>
      <c r="G616" s="26"/>
      <c r="H616" s="26"/>
      <c r="I616" s="26"/>
      <c r="J616" s="26"/>
    </row>
    <row r="617" spans="1:10">
      <c r="A617" s="25"/>
      <c r="B617" s="15"/>
      <c r="C617" s="15"/>
      <c r="E617" s="15"/>
      <c r="F617" s="17"/>
      <c r="G617" s="26"/>
      <c r="H617" s="26"/>
      <c r="I617" s="26"/>
      <c r="J617" s="26"/>
    </row>
    <row r="618" spans="1:10">
      <c r="A618" s="25"/>
      <c r="B618" s="15"/>
      <c r="C618" s="15"/>
      <c r="E618" s="15"/>
      <c r="F618" s="17"/>
      <c r="G618" s="26"/>
      <c r="H618" s="26"/>
      <c r="I618" s="26"/>
      <c r="J618" s="26"/>
    </row>
    <row r="619" spans="1:10">
      <c r="A619" s="25"/>
      <c r="B619" s="15"/>
      <c r="C619" s="15"/>
      <c r="E619" s="15"/>
      <c r="F619" s="17"/>
      <c r="G619" s="26"/>
      <c r="H619" s="26"/>
      <c r="I619" s="26"/>
      <c r="J619" s="26"/>
    </row>
    <row r="620" spans="1:10">
      <c r="A620" s="25"/>
      <c r="B620" s="15"/>
      <c r="C620" s="15"/>
      <c r="E620" s="15"/>
      <c r="F620" s="17"/>
      <c r="G620" s="26"/>
      <c r="H620" s="26"/>
      <c r="I620" s="26"/>
      <c r="J620" s="26"/>
    </row>
    <row r="621" spans="1:10">
      <c r="A621" s="25"/>
      <c r="B621" s="15"/>
      <c r="C621" s="15"/>
      <c r="E621" s="15"/>
      <c r="F621" s="17"/>
      <c r="G621" s="26"/>
      <c r="H621" s="26"/>
      <c r="I621" s="26"/>
      <c r="J621" s="26"/>
    </row>
    <row r="622" spans="1:10">
      <c r="A622" s="25"/>
      <c r="B622" s="15"/>
      <c r="C622" s="15"/>
      <c r="E622" s="15"/>
      <c r="F622" s="17"/>
      <c r="G622" s="26"/>
      <c r="H622" s="26"/>
      <c r="I622" s="26"/>
      <c r="J622" s="26"/>
    </row>
    <row r="623" spans="1:10">
      <c r="A623" s="25"/>
      <c r="B623" s="15"/>
      <c r="C623" s="15"/>
      <c r="E623" s="15"/>
      <c r="F623" s="17"/>
      <c r="G623" s="26"/>
      <c r="H623" s="26"/>
      <c r="I623" s="26"/>
      <c r="J623" s="26"/>
    </row>
    <row r="624" spans="1:10">
      <c r="A624" s="25"/>
      <c r="B624" s="15"/>
      <c r="C624" s="15"/>
      <c r="E624" s="15"/>
      <c r="F624" s="17"/>
      <c r="G624" s="26"/>
      <c r="H624" s="26"/>
      <c r="I624" s="26"/>
      <c r="J624" s="26"/>
    </row>
    <row r="625" spans="1:10">
      <c r="A625" s="25"/>
      <c r="B625" s="15"/>
      <c r="C625" s="15"/>
      <c r="E625" s="15"/>
      <c r="F625" s="17"/>
      <c r="G625" s="26"/>
      <c r="H625" s="26"/>
      <c r="I625" s="26"/>
      <c r="J625" s="26"/>
    </row>
    <row r="626" spans="1:10">
      <c r="A626" s="25"/>
      <c r="B626" s="15"/>
      <c r="C626" s="15"/>
      <c r="E626" s="15"/>
      <c r="F626" s="17"/>
      <c r="G626" s="26"/>
      <c r="H626" s="26"/>
      <c r="I626" s="26"/>
      <c r="J626" s="26"/>
    </row>
    <row r="627" spans="1:10">
      <c r="A627" s="25"/>
      <c r="B627" s="15"/>
      <c r="C627" s="15"/>
      <c r="E627" s="15"/>
      <c r="F627" s="17"/>
      <c r="G627" s="26"/>
      <c r="H627" s="26"/>
      <c r="I627" s="26"/>
      <c r="J627" s="26"/>
    </row>
    <row r="628" spans="1:10">
      <c r="A628" s="25"/>
      <c r="B628" s="15"/>
      <c r="C628" s="15"/>
      <c r="E628" s="15"/>
      <c r="F628" s="17"/>
      <c r="G628" s="26"/>
      <c r="H628" s="26"/>
      <c r="I628" s="26"/>
      <c r="J628" s="26"/>
    </row>
    <row r="629" spans="1:10">
      <c r="A629" s="25"/>
      <c r="B629" s="15"/>
      <c r="C629" s="15"/>
      <c r="E629" s="15"/>
      <c r="F629" s="17"/>
      <c r="G629" s="26"/>
      <c r="H629" s="26"/>
      <c r="I629" s="26"/>
      <c r="J629" s="26"/>
    </row>
    <row r="630" spans="1:10">
      <c r="A630" s="25"/>
      <c r="B630" s="15"/>
      <c r="C630" s="15"/>
      <c r="E630" s="15"/>
      <c r="F630" s="17"/>
      <c r="G630" s="26"/>
      <c r="H630" s="26"/>
      <c r="I630" s="26"/>
      <c r="J630" s="26"/>
    </row>
    <row r="631" spans="1:10">
      <c r="A631" s="25"/>
      <c r="B631" s="15"/>
      <c r="C631" s="15"/>
      <c r="E631" s="15"/>
      <c r="F631" s="17"/>
      <c r="G631" s="26"/>
      <c r="H631" s="26"/>
      <c r="I631" s="26"/>
      <c r="J631" s="26"/>
    </row>
    <row r="632" spans="1:10">
      <c r="A632" s="25"/>
      <c r="B632" s="15"/>
      <c r="C632" s="15"/>
      <c r="E632" s="15"/>
      <c r="F632" s="17"/>
      <c r="G632" s="26"/>
      <c r="H632" s="26"/>
      <c r="I632" s="26"/>
      <c r="J632" s="26"/>
    </row>
    <row r="633" spans="1:10">
      <c r="A633" s="25"/>
      <c r="B633" s="15"/>
      <c r="C633" s="15"/>
      <c r="E633" s="15"/>
      <c r="F633" s="17"/>
      <c r="G633" s="26"/>
      <c r="H633" s="26"/>
      <c r="I633" s="26"/>
      <c r="J633" s="26"/>
    </row>
    <row r="634" spans="1:10">
      <c r="A634" s="25"/>
      <c r="B634" s="15"/>
      <c r="C634" s="15"/>
      <c r="E634" s="15"/>
      <c r="F634" s="17"/>
      <c r="G634" s="26"/>
      <c r="H634" s="26"/>
      <c r="I634" s="26"/>
      <c r="J634" s="26"/>
    </row>
    <row r="635" spans="1:10">
      <c r="A635" s="25"/>
      <c r="B635" s="15"/>
      <c r="C635" s="15"/>
      <c r="E635" s="15"/>
      <c r="F635" s="17"/>
      <c r="G635" s="26"/>
      <c r="H635" s="26"/>
      <c r="I635" s="26"/>
      <c r="J635" s="26"/>
    </row>
    <row r="636" spans="1:10">
      <c r="A636" s="25"/>
      <c r="B636" s="15"/>
      <c r="C636" s="15"/>
      <c r="E636" s="15"/>
      <c r="F636" s="17"/>
      <c r="G636" s="26"/>
      <c r="H636" s="26"/>
      <c r="I636" s="26"/>
      <c r="J636" s="26"/>
    </row>
    <row r="637" spans="1:10">
      <c r="A637" s="25"/>
      <c r="B637" s="15"/>
      <c r="C637" s="15"/>
      <c r="E637" s="15"/>
      <c r="F637" s="17"/>
      <c r="G637" s="26"/>
      <c r="H637" s="26"/>
      <c r="I637" s="26"/>
      <c r="J637" s="26"/>
    </row>
    <row r="638" spans="1:10">
      <c r="A638" s="25"/>
      <c r="B638" s="15"/>
      <c r="C638" s="15"/>
      <c r="E638" s="15"/>
      <c r="F638" s="17"/>
      <c r="G638" s="26"/>
      <c r="H638" s="26"/>
      <c r="I638" s="26"/>
      <c r="J638" s="26"/>
    </row>
    <row r="639" spans="1:10">
      <c r="A639" s="25"/>
      <c r="B639" s="15"/>
      <c r="C639" s="15"/>
      <c r="E639" s="15"/>
      <c r="F639" s="17"/>
      <c r="G639" s="26"/>
      <c r="H639" s="26"/>
      <c r="I639" s="26"/>
      <c r="J639" s="26"/>
    </row>
    <row r="640" spans="1:10">
      <c r="A640" s="25"/>
      <c r="B640" s="15"/>
      <c r="C640" s="15"/>
      <c r="E640" s="15"/>
      <c r="F640" s="17"/>
      <c r="G640" s="26"/>
      <c r="H640" s="26"/>
      <c r="I640" s="26"/>
      <c r="J640" s="26"/>
    </row>
    <row r="641" spans="1:10">
      <c r="A641" s="25"/>
      <c r="B641" s="15"/>
      <c r="C641" s="15"/>
      <c r="E641" s="15"/>
      <c r="F641" s="17"/>
      <c r="G641" s="26"/>
      <c r="H641" s="26"/>
      <c r="I641" s="26"/>
      <c r="J641" s="26"/>
    </row>
    <row r="642" spans="1:10">
      <c r="A642" s="25"/>
      <c r="B642" s="15"/>
      <c r="C642" s="15"/>
      <c r="E642" s="15"/>
      <c r="F642" s="17"/>
      <c r="G642" s="26"/>
      <c r="H642" s="26"/>
      <c r="I642" s="26"/>
      <c r="J642" s="26"/>
    </row>
    <row r="643" spans="1:10">
      <c r="A643" s="25"/>
      <c r="B643" s="15"/>
      <c r="C643" s="15"/>
      <c r="E643" s="15"/>
      <c r="F643" s="17"/>
      <c r="G643" s="26"/>
      <c r="H643" s="26"/>
      <c r="I643" s="26"/>
      <c r="J643" s="26"/>
    </row>
    <row r="644" spans="1:10">
      <c r="A644" s="25"/>
      <c r="B644" s="15"/>
      <c r="C644" s="15"/>
      <c r="E644" s="15"/>
      <c r="F644" s="17"/>
      <c r="G644" s="26"/>
      <c r="H644" s="26"/>
      <c r="I644" s="26"/>
      <c r="J644" s="26"/>
    </row>
    <row r="645" spans="1:10">
      <c r="A645" s="25"/>
      <c r="B645" s="15"/>
      <c r="C645" s="15"/>
      <c r="E645" s="15"/>
      <c r="F645" s="17"/>
      <c r="G645" s="26"/>
      <c r="H645" s="26"/>
      <c r="I645" s="26"/>
      <c r="J645" s="26"/>
    </row>
    <row r="646" spans="1:10">
      <c r="A646" s="25"/>
      <c r="B646" s="15"/>
      <c r="C646" s="15"/>
      <c r="E646" s="15"/>
      <c r="F646" s="17"/>
      <c r="G646" s="26"/>
      <c r="H646" s="26"/>
      <c r="I646" s="26"/>
      <c r="J646" s="26"/>
    </row>
    <row r="647" spans="1:10">
      <c r="A647" s="25"/>
      <c r="B647" s="15"/>
      <c r="C647" s="15"/>
      <c r="E647" s="15"/>
      <c r="F647" s="17"/>
      <c r="G647" s="26"/>
      <c r="H647" s="26"/>
      <c r="I647" s="26"/>
      <c r="J647" s="26"/>
    </row>
    <row r="648" spans="1:10">
      <c r="A648" s="25"/>
      <c r="B648" s="15"/>
      <c r="C648" s="15"/>
      <c r="E648" s="15"/>
      <c r="F648" s="17"/>
      <c r="G648" s="26"/>
      <c r="H648" s="26"/>
      <c r="I648" s="26"/>
      <c r="J648" s="26"/>
    </row>
    <row r="649" spans="1:10">
      <c r="A649" s="25"/>
      <c r="B649" s="15"/>
      <c r="C649" s="15"/>
      <c r="E649" s="15"/>
      <c r="F649" s="17"/>
      <c r="G649" s="26"/>
      <c r="H649" s="26"/>
      <c r="I649" s="26"/>
      <c r="J649" s="26"/>
    </row>
    <row r="650" spans="1:10">
      <c r="A650" s="25"/>
      <c r="B650" s="15"/>
      <c r="C650" s="15"/>
      <c r="E650" s="15"/>
      <c r="F650" s="17"/>
      <c r="G650" s="26"/>
      <c r="H650" s="26"/>
      <c r="I650" s="26"/>
      <c r="J650" s="26"/>
    </row>
    <row r="651" spans="1:10">
      <c r="A651" s="25"/>
      <c r="B651" s="15"/>
      <c r="C651" s="15"/>
      <c r="E651" s="15"/>
      <c r="F651" s="17"/>
      <c r="G651" s="26"/>
      <c r="H651" s="26"/>
      <c r="I651" s="26"/>
      <c r="J651" s="26"/>
    </row>
    <row r="652" spans="1:10">
      <c r="A652" s="25"/>
      <c r="B652" s="15"/>
      <c r="C652" s="15"/>
      <c r="E652" s="15"/>
      <c r="F652" s="17"/>
      <c r="G652" s="26"/>
      <c r="H652" s="26"/>
      <c r="I652" s="26"/>
      <c r="J652" s="26"/>
    </row>
    <row r="653" spans="1:10">
      <c r="A653" s="25"/>
      <c r="B653" s="15"/>
      <c r="C653" s="15"/>
      <c r="E653" s="15"/>
      <c r="F653" s="17"/>
      <c r="G653" s="26"/>
      <c r="H653" s="26"/>
      <c r="I653" s="26"/>
      <c r="J653" s="26"/>
    </row>
    <row r="654" spans="1:10">
      <c r="A654" s="25"/>
      <c r="B654" s="15"/>
      <c r="C654" s="15"/>
      <c r="E654" s="15"/>
      <c r="F654" s="17"/>
      <c r="G654" s="26"/>
      <c r="H654" s="26"/>
      <c r="I654" s="26"/>
      <c r="J654" s="26"/>
    </row>
    <row r="655" spans="1:10">
      <c r="A655" s="25"/>
      <c r="B655" s="15"/>
      <c r="C655" s="15"/>
      <c r="E655" s="15"/>
      <c r="F655" s="17"/>
      <c r="G655" s="26"/>
      <c r="H655" s="26"/>
      <c r="I655" s="26"/>
      <c r="J655" s="26"/>
    </row>
    <row r="656" spans="1:10">
      <c r="A656" s="25"/>
      <c r="B656" s="15"/>
      <c r="C656" s="15"/>
      <c r="E656" s="15"/>
      <c r="F656" s="17"/>
      <c r="G656" s="26"/>
      <c r="H656" s="26"/>
      <c r="I656" s="26"/>
      <c r="J656" s="26"/>
    </row>
    <row r="657" spans="1:10">
      <c r="A657" s="25"/>
      <c r="B657" s="15"/>
      <c r="C657" s="15"/>
      <c r="E657" s="15"/>
      <c r="F657" s="17"/>
      <c r="G657" s="26"/>
      <c r="H657" s="26"/>
      <c r="I657" s="26"/>
      <c r="J657" s="26"/>
    </row>
    <row r="658" spans="1:10">
      <c r="A658" s="25"/>
      <c r="B658" s="15"/>
      <c r="C658" s="15"/>
      <c r="E658" s="15"/>
      <c r="F658" s="17"/>
      <c r="G658" s="26"/>
      <c r="H658" s="26"/>
      <c r="I658" s="26"/>
      <c r="J658" s="26"/>
    </row>
    <row r="659" spans="1:10">
      <c r="A659" s="25"/>
      <c r="B659" s="15"/>
      <c r="C659" s="15"/>
      <c r="E659" s="15"/>
      <c r="F659" s="17"/>
      <c r="G659" s="26"/>
      <c r="H659" s="26"/>
      <c r="I659" s="26"/>
      <c r="J659" s="26"/>
    </row>
    <row r="660" spans="1:10">
      <c r="A660" s="25"/>
      <c r="B660" s="15"/>
      <c r="C660" s="15"/>
      <c r="E660" s="15"/>
      <c r="F660" s="17"/>
      <c r="G660" s="26"/>
      <c r="H660" s="26"/>
      <c r="I660" s="26"/>
      <c r="J660" s="26"/>
    </row>
    <row r="661" spans="1:10">
      <c r="A661" s="25"/>
      <c r="B661" s="15"/>
      <c r="C661" s="15"/>
      <c r="E661" s="15"/>
      <c r="F661" s="17"/>
      <c r="G661" s="26"/>
      <c r="H661" s="26"/>
      <c r="I661" s="26"/>
      <c r="J661" s="26"/>
    </row>
    <row r="662" spans="1:10">
      <c r="A662" s="25"/>
      <c r="B662" s="15"/>
      <c r="C662" s="15"/>
      <c r="E662" s="15"/>
      <c r="F662" s="17"/>
      <c r="G662" s="26"/>
      <c r="H662" s="26"/>
      <c r="I662" s="26"/>
      <c r="J662" s="26"/>
    </row>
    <row r="663" spans="1:10">
      <c r="A663" s="25"/>
      <c r="B663" s="15"/>
      <c r="C663" s="15"/>
      <c r="E663" s="15"/>
      <c r="F663" s="17"/>
      <c r="G663" s="26"/>
      <c r="H663" s="26"/>
      <c r="I663" s="26"/>
      <c r="J663" s="26"/>
    </row>
    <row r="664" spans="1:10">
      <c r="A664" s="25"/>
      <c r="B664" s="15"/>
      <c r="C664" s="15"/>
      <c r="E664" s="15"/>
      <c r="F664" s="17"/>
      <c r="G664" s="26"/>
      <c r="H664" s="26"/>
      <c r="I664" s="26"/>
      <c r="J664" s="26"/>
    </row>
    <row r="665" spans="1:10">
      <c r="A665" s="25"/>
      <c r="B665" s="15"/>
      <c r="C665" s="15"/>
      <c r="E665" s="15"/>
      <c r="F665" s="17"/>
      <c r="G665" s="26"/>
      <c r="H665" s="26"/>
      <c r="I665" s="26"/>
      <c r="J665" s="26"/>
    </row>
    <row r="666" spans="1:10">
      <c r="A666" s="25"/>
      <c r="B666" s="15"/>
      <c r="C666" s="15"/>
      <c r="E666" s="15"/>
      <c r="F666" s="17"/>
      <c r="G666" s="26"/>
      <c r="H666" s="26"/>
      <c r="I666" s="26"/>
      <c r="J666" s="26"/>
    </row>
    <row r="667" spans="1:10">
      <c r="A667" s="25"/>
      <c r="B667" s="15"/>
      <c r="C667" s="15"/>
      <c r="E667" s="15"/>
      <c r="F667" s="17"/>
      <c r="G667" s="26"/>
      <c r="H667" s="26"/>
      <c r="I667" s="26"/>
      <c r="J667" s="26"/>
    </row>
    <row r="668" spans="1:10">
      <c r="A668" s="25"/>
      <c r="B668" s="15"/>
      <c r="C668" s="15"/>
      <c r="E668" s="15"/>
      <c r="F668" s="17"/>
      <c r="G668" s="26"/>
      <c r="H668" s="26"/>
      <c r="I668" s="26"/>
      <c r="J668" s="26"/>
    </row>
    <row r="669" spans="1:10">
      <c r="A669" s="25"/>
      <c r="B669" s="15"/>
      <c r="C669" s="15"/>
      <c r="E669" s="15"/>
      <c r="F669" s="17"/>
      <c r="G669" s="26"/>
      <c r="H669" s="26"/>
      <c r="I669" s="26"/>
      <c r="J669" s="26"/>
    </row>
    <row r="670" spans="1:10">
      <c r="A670" s="25"/>
      <c r="B670" s="15"/>
      <c r="C670" s="15"/>
      <c r="E670" s="15"/>
      <c r="F670" s="17"/>
      <c r="G670" s="26"/>
      <c r="H670" s="26"/>
      <c r="I670" s="26"/>
      <c r="J670" s="26"/>
    </row>
    <row r="671" spans="1:10">
      <c r="A671" s="25"/>
      <c r="B671" s="15"/>
      <c r="C671" s="15"/>
      <c r="E671" s="15"/>
      <c r="F671" s="17"/>
      <c r="G671" s="26"/>
      <c r="H671" s="26"/>
      <c r="I671" s="26"/>
      <c r="J671" s="26"/>
    </row>
    <row r="672" spans="1:10">
      <c r="A672" s="25"/>
      <c r="B672" s="15"/>
      <c r="C672" s="15"/>
      <c r="E672" s="15"/>
      <c r="F672" s="17"/>
      <c r="G672" s="26"/>
      <c r="H672" s="26"/>
      <c r="I672" s="26"/>
      <c r="J672" s="26"/>
    </row>
    <row r="673" spans="1:10">
      <c r="A673" s="25"/>
      <c r="B673" s="15"/>
      <c r="C673" s="15"/>
      <c r="E673" s="15"/>
      <c r="F673" s="17"/>
      <c r="G673" s="26"/>
      <c r="H673" s="26"/>
      <c r="I673" s="26"/>
      <c r="J673" s="26"/>
    </row>
    <row r="674" spans="1:10">
      <c r="A674" s="25"/>
      <c r="B674" s="15"/>
      <c r="C674" s="15"/>
      <c r="E674" s="15"/>
      <c r="F674" s="17"/>
      <c r="G674" s="26"/>
      <c r="H674" s="26"/>
      <c r="I674" s="26"/>
      <c r="J674" s="26"/>
    </row>
    <row r="675" spans="1:10">
      <c r="A675" s="25"/>
      <c r="B675" s="15"/>
      <c r="C675" s="15"/>
      <c r="E675" s="15"/>
      <c r="F675" s="17"/>
      <c r="G675" s="26"/>
      <c r="H675" s="26"/>
      <c r="I675" s="26"/>
      <c r="J675" s="26"/>
    </row>
    <row r="676" spans="1:10">
      <c r="A676" s="25"/>
      <c r="B676" s="15"/>
      <c r="C676" s="15"/>
      <c r="E676" s="15"/>
      <c r="F676" s="17"/>
      <c r="G676" s="26"/>
      <c r="H676" s="26"/>
      <c r="I676" s="26"/>
      <c r="J676" s="26"/>
    </row>
    <row r="677" spans="1:10">
      <c r="A677" s="25"/>
      <c r="B677" s="15"/>
      <c r="C677" s="15"/>
      <c r="E677" s="15"/>
      <c r="F677" s="17"/>
      <c r="G677" s="26"/>
      <c r="H677" s="26"/>
      <c r="I677" s="26"/>
      <c r="J677" s="26"/>
    </row>
    <row r="678" spans="1:10">
      <c r="A678" s="25"/>
      <c r="B678" s="15"/>
      <c r="C678" s="15"/>
      <c r="E678" s="15"/>
      <c r="F678" s="17"/>
      <c r="G678" s="26"/>
      <c r="H678" s="26"/>
      <c r="I678" s="26"/>
      <c r="J678" s="26"/>
    </row>
    <row r="679" spans="1:10">
      <c r="A679" s="25"/>
      <c r="B679" s="15"/>
      <c r="C679" s="15"/>
      <c r="E679" s="15"/>
      <c r="F679" s="17"/>
      <c r="G679" s="26"/>
      <c r="H679" s="26"/>
      <c r="I679" s="26"/>
      <c r="J679" s="26"/>
    </row>
    <row r="680" spans="1:10">
      <c r="A680" s="25"/>
      <c r="B680" s="15"/>
      <c r="C680" s="15"/>
      <c r="E680" s="15"/>
      <c r="F680" s="17"/>
      <c r="G680" s="26"/>
      <c r="H680" s="26"/>
      <c r="I680" s="26"/>
      <c r="J680" s="26"/>
    </row>
    <row r="681" spans="1:10">
      <c r="A681" s="25"/>
      <c r="B681" s="15"/>
      <c r="C681" s="15"/>
      <c r="E681" s="15"/>
      <c r="F681" s="17"/>
      <c r="G681" s="26"/>
      <c r="H681" s="26"/>
      <c r="I681" s="26"/>
      <c r="J681" s="26"/>
    </row>
    <row r="682" spans="1:10">
      <c r="A682" s="25"/>
      <c r="B682" s="15"/>
      <c r="C682" s="15"/>
      <c r="E682" s="15"/>
      <c r="F682" s="17"/>
      <c r="G682" s="26"/>
      <c r="H682" s="26"/>
      <c r="I682" s="26"/>
      <c r="J682" s="26"/>
    </row>
    <row r="683" spans="1:10">
      <c r="A683" s="25"/>
      <c r="B683" s="15"/>
      <c r="C683" s="15"/>
      <c r="E683" s="15"/>
      <c r="F683" s="17"/>
      <c r="G683" s="26"/>
      <c r="H683" s="26"/>
      <c r="I683" s="26"/>
      <c r="J683" s="26"/>
    </row>
    <row r="684" spans="1:10">
      <c r="A684" s="25"/>
      <c r="B684" s="15"/>
      <c r="C684" s="15"/>
      <c r="E684" s="15"/>
      <c r="F684" s="17"/>
      <c r="G684" s="26"/>
      <c r="H684" s="26"/>
      <c r="I684" s="26"/>
      <c r="J684" s="26"/>
    </row>
    <row r="685" spans="1:10">
      <c r="A685" s="25"/>
      <c r="B685" s="15"/>
      <c r="C685" s="15"/>
      <c r="E685" s="15"/>
      <c r="F685" s="17"/>
      <c r="G685" s="26"/>
      <c r="H685" s="26"/>
      <c r="I685" s="26"/>
      <c r="J685" s="26"/>
    </row>
    <row r="686" spans="1:10">
      <c r="A686" s="25"/>
      <c r="B686" s="15"/>
      <c r="C686" s="15"/>
      <c r="E686" s="15"/>
      <c r="F686" s="17"/>
      <c r="G686" s="26"/>
      <c r="H686" s="26"/>
      <c r="I686" s="26"/>
      <c r="J686" s="26"/>
    </row>
    <row r="687" spans="1:10">
      <c r="A687" s="25"/>
      <c r="B687" s="15"/>
      <c r="C687" s="15"/>
      <c r="E687" s="15"/>
      <c r="F687" s="17"/>
      <c r="G687" s="26"/>
      <c r="H687" s="26"/>
      <c r="I687" s="26"/>
      <c r="J687" s="26"/>
    </row>
    <row r="688" spans="1:10">
      <c r="A688" s="25"/>
      <c r="B688" s="15"/>
      <c r="C688" s="15"/>
      <c r="E688" s="15"/>
      <c r="F688" s="17"/>
      <c r="G688" s="26"/>
      <c r="H688" s="26"/>
      <c r="I688" s="26"/>
      <c r="J688" s="26"/>
    </row>
    <row r="689" spans="1:10">
      <c r="A689" s="25"/>
      <c r="B689" s="15"/>
      <c r="C689" s="15"/>
      <c r="E689" s="15"/>
      <c r="F689" s="17"/>
      <c r="G689" s="26"/>
      <c r="H689" s="26"/>
      <c r="I689" s="26"/>
      <c r="J689" s="26"/>
    </row>
    <row r="690" spans="1:10">
      <c r="A690" s="25"/>
      <c r="B690" s="15"/>
      <c r="C690" s="15"/>
      <c r="E690" s="15"/>
      <c r="F690" s="17"/>
      <c r="G690" s="26"/>
      <c r="H690" s="26"/>
      <c r="I690" s="26"/>
      <c r="J690" s="26"/>
    </row>
    <row r="691" spans="1:10">
      <c r="A691" s="25"/>
      <c r="B691" s="15"/>
      <c r="C691" s="15"/>
      <c r="E691" s="15"/>
      <c r="F691" s="17"/>
      <c r="G691" s="26"/>
      <c r="H691" s="26"/>
      <c r="I691" s="26"/>
      <c r="J691" s="26"/>
    </row>
    <row r="692" spans="1:10">
      <c r="A692" s="25"/>
      <c r="B692" s="15"/>
      <c r="C692" s="15"/>
      <c r="E692" s="15"/>
      <c r="F692" s="17"/>
      <c r="G692" s="26"/>
      <c r="H692" s="26"/>
      <c r="I692" s="26"/>
      <c r="J692" s="26"/>
    </row>
    <row r="693" spans="1:10">
      <c r="A693" s="25"/>
      <c r="B693" s="15"/>
      <c r="C693" s="15"/>
      <c r="E693" s="15"/>
      <c r="F693" s="17"/>
      <c r="G693" s="26"/>
      <c r="H693" s="26"/>
      <c r="I693" s="26"/>
      <c r="J693" s="26"/>
    </row>
    <row r="694" spans="1:10">
      <c r="A694" s="25"/>
      <c r="B694" s="15"/>
      <c r="C694" s="15"/>
      <c r="E694" s="15"/>
      <c r="F694" s="17"/>
      <c r="G694" s="26"/>
      <c r="H694" s="26"/>
      <c r="I694" s="26"/>
      <c r="J694" s="26"/>
    </row>
    <row r="695" spans="1:10">
      <c r="A695" s="25"/>
      <c r="B695" s="15"/>
      <c r="C695" s="15"/>
      <c r="E695" s="15"/>
      <c r="F695" s="17"/>
      <c r="G695" s="26"/>
      <c r="H695" s="26"/>
      <c r="I695" s="26"/>
      <c r="J695" s="26"/>
    </row>
    <row r="696" spans="1:10">
      <c r="A696" s="25"/>
      <c r="B696" s="15"/>
      <c r="C696" s="15"/>
      <c r="E696" s="15"/>
      <c r="F696" s="17"/>
      <c r="G696" s="26"/>
      <c r="H696" s="26"/>
      <c r="I696" s="26"/>
      <c r="J696" s="26"/>
    </row>
    <row r="697" spans="1:10">
      <c r="A697" s="25"/>
      <c r="B697" s="15"/>
      <c r="C697" s="15"/>
      <c r="E697" s="15"/>
      <c r="F697" s="17"/>
      <c r="G697" s="26"/>
      <c r="H697" s="26"/>
      <c r="I697" s="26"/>
      <c r="J697" s="26"/>
    </row>
    <row r="698" spans="1:10">
      <c r="A698" s="25"/>
      <c r="B698" s="15"/>
      <c r="C698" s="15"/>
      <c r="E698" s="15"/>
      <c r="F698" s="17"/>
      <c r="G698" s="26"/>
      <c r="H698" s="26"/>
      <c r="I698" s="26"/>
      <c r="J698" s="26"/>
    </row>
    <row r="699" spans="1:10">
      <c r="A699" s="25"/>
      <c r="B699" s="15"/>
      <c r="C699" s="15"/>
      <c r="E699" s="15"/>
      <c r="F699" s="17"/>
      <c r="G699" s="26"/>
      <c r="H699" s="26"/>
      <c r="I699" s="26"/>
      <c r="J699" s="26"/>
    </row>
    <row r="700" spans="1:10">
      <c r="A700" s="25"/>
      <c r="B700" s="15"/>
      <c r="C700" s="15"/>
      <c r="E700" s="15"/>
      <c r="F700" s="17"/>
      <c r="G700" s="26"/>
      <c r="H700" s="26"/>
      <c r="I700" s="26"/>
      <c r="J700" s="26"/>
    </row>
    <row r="701" spans="1:10">
      <c r="A701" s="25"/>
      <c r="B701" s="15"/>
      <c r="C701" s="15"/>
      <c r="E701" s="15"/>
      <c r="F701" s="17"/>
      <c r="G701" s="26"/>
      <c r="H701" s="26"/>
      <c r="I701" s="26"/>
      <c r="J701" s="26"/>
    </row>
    <row r="702" spans="1:10">
      <c r="A702" s="25"/>
      <c r="B702" s="15"/>
      <c r="C702" s="15"/>
      <c r="E702" s="15"/>
      <c r="F702" s="17"/>
      <c r="G702" s="26"/>
      <c r="H702" s="26"/>
      <c r="I702" s="26"/>
      <c r="J702" s="26"/>
    </row>
    <row r="703" spans="1:10">
      <c r="A703" s="25"/>
      <c r="B703" s="15"/>
      <c r="C703" s="15"/>
      <c r="E703" s="15"/>
      <c r="F703" s="17"/>
      <c r="G703" s="26"/>
      <c r="H703" s="26"/>
      <c r="I703" s="26"/>
      <c r="J703" s="26"/>
    </row>
    <row r="704" spans="1:10">
      <c r="A704" s="25"/>
      <c r="B704" s="15"/>
      <c r="C704" s="15"/>
      <c r="E704" s="15"/>
      <c r="F704" s="17"/>
      <c r="G704" s="26"/>
      <c r="H704" s="26"/>
      <c r="I704" s="26"/>
      <c r="J704" s="26"/>
    </row>
    <row r="705" spans="1:10">
      <c r="A705" s="25"/>
      <c r="B705" s="15"/>
      <c r="C705" s="15"/>
      <c r="E705" s="15"/>
      <c r="F705" s="17"/>
      <c r="G705" s="26"/>
      <c r="H705" s="26"/>
      <c r="I705" s="26"/>
      <c r="J705" s="26"/>
    </row>
    <row r="706" spans="1:10">
      <c r="A706" s="25"/>
      <c r="B706" s="15"/>
      <c r="C706" s="15"/>
      <c r="E706" s="15"/>
      <c r="F706" s="17"/>
      <c r="G706" s="26"/>
      <c r="H706" s="26"/>
      <c r="I706" s="26"/>
      <c r="J706" s="26"/>
    </row>
    <row r="707" spans="1:10">
      <c r="A707" s="25"/>
      <c r="B707" s="15"/>
      <c r="C707" s="15"/>
      <c r="E707" s="15"/>
      <c r="F707" s="17"/>
      <c r="G707" s="26"/>
      <c r="H707" s="26"/>
      <c r="I707" s="26"/>
      <c r="J707" s="26"/>
    </row>
    <row r="708" spans="1:10">
      <c r="A708" s="25"/>
      <c r="B708" s="15"/>
      <c r="C708" s="15"/>
      <c r="E708" s="15"/>
      <c r="F708" s="17"/>
      <c r="G708" s="26"/>
      <c r="H708" s="26"/>
      <c r="I708" s="26"/>
      <c r="J708" s="26"/>
    </row>
    <row r="709" spans="1:10">
      <c r="A709" s="25"/>
      <c r="B709" s="15"/>
      <c r="C709" s="15"/>
      <c r="E709" s="15"/>
      <c r="F709" s="17"/>
      <c r="G709" s="26"/>
      <c r="H709" s="26"/>
      <c r="I709" s="26"/>
      <c r="J709" s="26"/>
    </row>
    <row r="710" spans="1:10">
      <c r="A710" s="25"/>
      <c r="B710" s="15"/>
      <c r="C710" s="15"/>
      <c r="E710" s="15"/>
      <c r="F710" s="17"/>
      <c r="G710" s="26"/>
      <c r="H710" s="26"/>
      <c r="I710" s="26"/>
      <c r="J710" s="26"/>
    </row>
    <row r="711" spans="1:10">
      <c r="A711" s="25"/>
      <c r="B711" s="15"/>
      <c r="C711" s="15"/>
      <c r="E711" s="15"/>
      <c r="F711" s="17"/>
      <c r="G711" s="26"/>
      <c r="H711" s="26"/>
      <c r="I711" s="26"/>
      <c r="J711" s="26"/>
    </row>
    <row r="712" spans="1:10">
      <c r="A712" s="25"/>
      <c r="B712" s="15"/>
      <c r="C712" s="15"/>
      <c r="E712" s="15"/>
      <c r="F712" s="17"/>
      <c r="G712" s="26"/>
      <c r="H712" s="26"/>
      <c r="I712" s="26"/>
      <c r="J712" s="26"/>
    </row>
    <row r="713" spans="1:10">
      <c r="A713" s="25"/>
      <c r="B713" s="15"/>
      <c r="C713" s="15"/>
      <c r="E713" s="15"/>
      <c r="F713" s="17"/>
      <c r="G713" s="26"/>
      <c r="H713" s="26"/>
      <c r="I713" s="26"/>
      <c r="J713" s="26"/>
    </row>
    <row r="714" spans="1:10">
      <c r="A714" s="25"/>
      <c r="B714" s="15"/>
      <c r="C714" s="15"/>
      <c r="E714" s="15"/>
      <c r="F714" s="17"/>
      <c r="G714" s="26"/>
      <c r="H714" s="26"/>
      <c r="I714" s="26"/>
      <c r="J714" s="26"/>
    </row>
    <row r="715" spans="1:10">
      <c r="A715" s="25"/>
      <c r="B715" s="15"/>
      <c r="C715" s="15"/>
      <c r="E715" s="15"/>
      <c r="F715" s="17"/>
      <c r="G715" s="26"/>
      <c r="H715" s="26"/>
      <c r="I715" s="26"/>
      <c r="J715" s="26"/>
    </row>
    <row r="716" spans="1:10">
      <c r="A716" s="25"/>
      <c r="B716" s="15"/>
      <c r="C716" s="15"/>
      <c r="E716" s="15"/>
      <c r="F716" s="17"/>
      <c r="G716" s="26"/>
      <c r="H716" s="26"/>
      <c r="I716" s="26"/>
      <c r="J716" s="26"/>
    </row>
    <row r="717" spans="1:10">
      <c r="A717" s="25"/>
      <c r="B717" s="15"/>
      <c r="C717" s="15"/>
      <c r="E717" s="15"/>
      <c r="F717" s="17"/>
      <c r="G717" s="26"/>
      <c r="H717" s="26"/>
      <c r="I717" s="26"/>
      <c r="J717" s="26"/>
    </row>
    <row r="718" spans="1:10">
      <c r="A718" s="25"/>
      <c r="B718" s="15"/>
      <c r="C718" s="15"/>
      <c r="E718" s="15"/>
      <c r="F718" s="17"/>
      <c r="G718" s="26"/>
      <c r="H718" s="26"/>
      <c r="I718" s="26"/>
      <c r="J718" s="26"/>
    </row>
    <row r="719" spans="1:10">
      <c r="A719" s="25"/>
      <c r="B719" s="15"/>
      <c r="C719" s="15"/>
      <c r="E719" s="15"/>
      <c r="F719" s="17"/>
      <c r="G719" s="26"/>
      <c r="H719" s="26"/>
      <c r="I719" s="26"/>
      <c r="J719" s="26"/>
    </row>
    <row r="720" spans="1:10">
      <c r="A720" s="25"/>
      <c r="B720" s="15"/>
      <c r="C720" s="15"/>
      <c r="E720" s="15"/>
      <c r="F720" s="17"/>
      <c r="G720" s="26"/>
      <c r="H720" s="26"/>
      <c r="I720" s="26"/>
      <c r="J720" s="26"/>
    </row>
    <row r="721" spans="1:10">
      <c r="A721" s="25"/>
      <c r="B721" s="15"/>
      <c r="C721" s="15"/>
      <c r="E721" s="15"/>
      <c r="F721" s="17"/>
      <c r="G721" s="26"/>
      <c r="H721" s="26"/>
      <c r="I721" s="26"/>
      <c r="J721" s="26"/>
    </row>
    <row r="722" spans="1:10">
      <c r="A722" s="25"/>
      <c r="B722" s="15"/>
      <c r="C722" s="15"/>
      <c r="E722" s="15"/>
      <c r="F722" s="17"/>
      <c r="G722" s="26"/>
      <c r="H722" s="26"/>
      <c r="I722" s="26"/>
      <c r="J722" s="26"/>
    </row>
    <row r="723" spans="1:10">
      <c r="A723" s="25"/>
      <c r="B723" s="15"/>
      <c r="C723" s="15"/>
      <c r="E723" s="15"/>
      <c r="F723" s="17"/>
      <c r="G723" s="26"/>
      <c r="H723" s="26"/>
      <c r="I723" s="26"/>
      <c r="J723" s="26"/>
    </row>
    <row r="724" spans="1:10">
      <c r="A724" s="25"/>
      <c r="B724" s="15"/>
      <c r="C724" s="15"/>
      <c r="E724" s="15"/>
      <c r="F724" s="17"/>
      <c r="G724" s="26"/>
      <c r="H724" s="26"/>
      <c r="I724" s="26"/>
      <c r="J724" s="26"/>
    </row>
    <row r="725" spans="1:10">
      <c r="A725" s="25"/>
      <c r="B725" s="15"/>
      <c r="C725" s="15"/>
      <c r="E725" s="15"/>
      <c r="F725" s="17"/>
      <c r="G725" s="26"/>
      <c r="H725" s="26"/>
      <c r="I725" s="26"/>
      <c r="J725" s="26"/>
    </row>
    <row r="726" spans="1:10">
      <c r="A726" s="25"/>
      <c r="B726" s="15"/>
      <c r="C726" s="15"/>
      <c r="E726" s="15"/>
      <c r="F726" s="17"/>
      <c r="G726" s="26"/>
      <c r="H726" s="26"/>
      <c r="I726" s="26"/>
      <c r="J726" s="26"/>
    </row>
    <row r="727" spans="1:10">
      <c r="A727" s="25"/>
      <c r="B727" s="15"/>
      <c r="C727" s="15"/>
      <c r="E727" s="15"/>
      <c r="F727" s="17"/>
      <c r="G727" s="26"/>
      <c r="H727" s="26"/>
      <c r="I727" s="26"/>
      <c r="J727" s="26"/>
    </row>
    <row r="728" spans="1:10">
      <c r="A728" s="25"/>
      <c r="B728" s="15"/>
      <c r="C728" s="15"/>
      <c r="E728" s="15"/>
      <c r="F728" s="17"/>
      <c r="G728" s="26"/>
      <c r="H728" s="26"/>
      <c r="I728" s="26"/>
      <c r="J728" s="26"/>
    </row>
    <row r="729" spans="1:10">
      <c r="A729" s="25"/>
      <c r="B729" s="15"/>
      <c r="C729" s="15"/>
      <c r="E729" s="15"/>
      <c r="F729" s="17"/>
      <c r="G729" s="26"/>
      <c r="H729" s="26"/>
      <c r="I729" s="26"/>
      <c r="J729" s="26"/>
    </row>
    <row r="730" spans="1:10">
      <c r="A730" s="25"/>
      <c r="B730" s="15"/>
      <c r="C730" s="15"/>
      <c r="E730" s="15"/>
      <c r="F730" s="17"/>
      <c r="G730" s="26"/>
      <c r="H730" s="26"/>
      <c r="I730" s="26"/>
      <c r="J730" s="26"/>
    </row>
    <row r="731" spans="1:10">
      <c r="A731" s="25"/>
      <c r="B731" s="15"/>
      <c r="C731" s="15"/>
      <c r="E731" s="15"/>
      <c r="F731" s="17"/>
      <c r="G731" s="26"/>
      <c r="H731" s="26"/>
      <c r="I731" s="26"/>
      <c r="J731" s="26"/>
    </row>
    <row r="732" spans="1:10">
      <c r="A732" s="25"/>
      <c r="B732" s="15"/>
      <c r="C732" s="15"/>
      <c r="E732" s="15"/>
      <c r="F732" s="17"/>
      <c r="G732" s="26"/>
      <c r="H732" s="26"/>
      <c r="I732" s="26"/>
      <c r="J732" s="26"/>
    </row>
    <row r="733" spans="1:10">
      <c r="A733" s="25"/>
      <c r="B733" s="15"/>
      <c r="C733" s="15"/>
      <c r="E733" s="15"/>
      <c r="F733" s="17"/>
      <c r="G733" s="26"/>
      <c r="H733" s="26"/>
      <c r="I733" s="26"/>
      <c r="J733" s="26"/>
    </row>
    <row r="734" spans="1:10">
      <c r="A734" s="25"/>
      <c r="B734" s="15"/>
      <c r="C734" s="15"/>
      <c r="E734" s="15"/>
      <c r="F734" s="17"/>
      <c r="G734" s="26"/>
      <c r="H734" s="26"/>
      <c r="I734" s="26"/>
      <c r="J734" s="26"/>
    </row>
    <row r="735" spans="1:10">
      <c r="A735" s="25"/>
      <c r="B735" s="15"/>
      <c r="C735" s="15"/>
      <c r="E735" s="15"/>
      <c r="F735" s="17"/>
      <c r="G735" s="26"/>
      <c r="H735" s="26"/>
      <c r="I735" s="26"/>
      <c r="J735" s="26"/>
    </row>
    <row r="736" spans="1:10">
      <c r="A736" s="25"/>
      <c r="B736" s="15"/>
      <c r="C736" s="15"/>
      <c r="E736" s="15"/>
      <c r="F736" s="17"/>
      <c r="G736" s="26"/>
      <c r="H736" s="26"/>
      <c r="I736" s="26"/>
      <c r="J736" s="26"/>
    </row>
    <row r="737" spans="1:10">
      <c r="A737" s="25"/>
      <c r="B737" s="15"/>
      <c r="C737" s="15"/>
      <c r="E737" s="15"/>
      <c r="F737" s="17"/>
      <c r="G737" s="26"/>
      <c r="H737" s="26"/>
      <c r="I737" s="26"/>
      <c r="J737" s="26"/>
    </row>
    <row r="738" spans="1:10">
      <c r="A738" s="25"/>
      <c r="B738" s="15"/>
      <c r="C738" s="15"/>
      <c r="E738" s="15"/>
      <c r="F738" s="17"/>
      <c r="G738" s="26"/>
      <c r="H738" s="26"/>
      <c r="I738" s="26"/>
      <c r="J738" s="26"/>
    </row>
    <row r="739" spans="1:10">
      <c r="A739" s="25"/>
      <c r="B739" s="15"/>
      <c r="C739" s="15"/>
      <c r="E739" s="15"/>
      <c r="F739" s="17"/>
      <c r="G739" s="26"/>
      <c r="H739" s="26"/>
      <c r="I739" s="26"/>
      <c r="J739" s="26"/>
    </row>
    <row r="740" spans="1:10">
      <c r="A740" s="25"/>
      <c r="B740" s="15"/>
      <c r="C740" s="15"/>
      <c r="E740" s="15"/>
      <c r="F740" s="17"/>
      <c r="G740" s="26"/>
      <c r="H740" s="26"/>
      <c r="I740" s="26"/>
      <c r="J740" s="26"/>
    </row>
    <row r="741" spans="1:10">
      <c r="A741" s="25"/>
      <c r="B741" s="15"/>
      <c r="C741" s="15"/>
      <c r="E741" s="15"/>
      <c r="F741" s="17"/>
      <c r="G741" s="26"/>
      <c r="H741" s="26"/>
      <c r="I741" s="26"/>
      <c r="J741" s="26"/>
    </row>
    <row r="742" spans="1:10">
      <c r="A742" s="25"/>
      <c r="B742" s="15"/>
      <c r="C742" s="15"/>
      <c r="E742" s="15"/>
      <c r="F742" s="17"/>
      <c r="G742" s="26"/>
      <c r="H742" s="26"/>
      <c r="I742" s="26"/>
      <c r="J742" s="26"/>
    </row>
    <row r="743" spans="1:10">
      <c r="A743" s="25"/>
      <c r="B743" s="15"/>
      <c r="C743" s="15"/>
      <c r="E743" s="15"/>
      <c r="F743" s="17"/>
      <c r="G743" s="26"/>
      <c r="H743" s="26"/>
      <c r="I743" s="26"/>
      <c r="J743" s="26"/>
    </row>
    <row r="744" spans="1:10">
      <c r="A744" s="25"/>
      <c r="B744" s="15"/>
      <c r="C744" s="15"/>
      <c r="E744" s="15"/>
      <c r="F744" s="17"/>
      <c r="G744" s="26"/>
      <c r="H744" s="26"/>
      <c r="I744" s="26"/>
      <c r="J744" s="26"/>
    </row>
    <row r="745" spans="1:10">
      <c r="A745" s="25"/>
      <c r="B745" s="15"/>
      <c r="C745" s="15"/>
      <c r="E745" s="15"/>
      <c r="F745" s="17"/>
      <c r="G745" s="26"/>
      <c r="H745" s="26"/>
      <c r="I745" s="26"/>
      <c r="J745" s="26"/>
    </row>
    <row r="746" spans="1:10">
      <c r="A746" s="25"/>
      <c r="B746" s="15"/>
      <c r="C746" s="15"/>
      <c r="E746" s="15"/>
      <c r="F746" s="17"/>
      <c r="G746" s="26"/>
      <c r="H746" s="26"/>
      <c r="I746" s="26"/>
      <c r="J746" s="26"/>
    </row>
    <row r="747" spans="1:10">
      <c r="A747" s="25"/>
      <c r="B747" s="15"/>
      <c r="C747" s="15"/>
      <c r="E747" s="15"/>
      <c r="F747" s="17"/>
      <c r="G747" s="26"/>
      <c r="H747" s="26"/>
      <c r="I747" s="26"/>
      <c r="J747" s="26"/>
    </row>
    <row r="748" spans="1:10">
      <c r="A748" s="25"/>
      <c r="B748" s="15"/>
      <c r="C748" s="15"/>
      <c r="E748" s="15"/>
      <c r="F748" s="17"/>
      <c r="G748" s="26"/>
      <c r="H748" s="26"/>
      <c r="I748" s="26"/>
      <c r="J748" s="26"/>
    </row>
    <row r="749" spans="1:10">
      <c r="A749" s="25"/>
      <c r="B749" s="15"/>
      <c r="C749" s="15"/>
      <c r="E749" s="15"/>
      <c r="F749" s="17"/>
      <c r="G749" s="26"/>
      <c r="H749" s="26"/>
      <c r="I749" s="26"/>
      <c r="J749" s="26"/>
    </row>
    <row r="750" spans="1:10">
      <c r="A750" s="25"/>
      <c r="B750" s="15"/>
      <c r="C750" s="15"/>
      <c r="E750" s="15"/>
      <c r="F750" s="17"/>
      <c r="G750" s="26"/>
      <c r="H750" s="26"/>
      <c r="I750" s="26"/>
      <c r="J750" s="26"/>
    </row>
    <row r="751" spans="1:10">
      <c r="A751" s="25"/>
      <c r="B751" s="15"/>
      <c r="C751" s="15"/>
      <c r="E751" s="15"/>
      <c r="F751" s="17"/>
      <c r="G751" s="26"/>
      <c r="H751" s="26"/>
      <c r="I751" s="26"/>
      <c r="J751" s="26"/>
    </row>
    <row r="752" spans="1:10">
      <c r="A752" s="25"/>
      <c r="B752" s="15"/>
      <c r="C752" s="15"/>
      <c r="E752" s="15"/>
      <c r="F752" s="17"/>
      <c r="G752" s="26"/>
      <c r="H752" s="26"/>
      <c r="I752" s="26"/>
      <c r="J752" s="26"/>
    </row>
    <row r="753" spans="1:10">
      <c r="A753" s="25"/>
      <c r="B753" s="15"/>
      <c r="C753" s="15"/>
      <c r="E753" s="15"/>
      <c r="F753" s="17"/>
      <c r="G753" s="26"/>
      <c r="H753" s="26"/>
      <c r="I753" s="26"/>
      <c r="J753" s="26"/>
    </row>
    <row r="754" spans="1:10">
      <c r="A754" s="25"/>
      <c r="B754" s="15"/>
      <c r="C754" s="15"/>
      <c r="E754" s="15"/>
      <c r="F754" s="17"/>
      <c r="G754" s="26"/>
      <c r="H754" s="26"/>
      <c r="I754" s="26"/>
      <c r="J754" s="26"/>
    </row>
    <row r="755" spans="1:10">
      <c r="A755" s="25"/>
      <c r="B755" s="15"/>
      <c r="C755" s="15"/>
      <c r="E755" s="15"/>
      <c r="F755" s="17"/>
      <c r="G755" s="26"/>
      <c r="H755" s="26"/>
      <c r="I755" s="26"/>
      <c r="J755" s="26"/>
    </row>
    <row r="756" spans="1:10">
      <c r="A756" s="25"/>
      <c r="B756" s="15"/>
      <c r="C756" s="15"/>
      <c r="E756" s="15"/>
      <c r="F756" s="17"/>
      <c r="G756" s="26"/>
      <c r="H756" s="26"/>
      <c r="I756" s="26"/>
      <c r="J756" s="26"/>
    </row>
    <row r="757" spans="1:10">
      <c r="A757" s="25"/>
      <c r="B757" s="15"/>
      <c r="C757" s="15"/>
      <c r="E757" s="15"/>
      <c r="F757" s="17"/>
      <c r="G757" s="26"/>
      <c r="H757" s="26"/>
      <c r="I757" s="26"/>
      <c r="J757" s="26"/>
    </row>
    <row r="758" spans="1:10">
      <c r="A758" s="25"/>
      <c r="B758" s="15"/>
      <c r="C758" s="15"/>
      <c r="E758" s="15"/>
      <c r="F758" s="17"/>
      <c r="G758" s="26"/>
      <c r="H758" s="26"/>
      <c r="I758" s="26"/>
      <c r="J758" s="26"/>
    </row>
    <row r="759" spans="1:10">
      <c r="A759" s="25"/>
      <c r="B759" s="15"/>
      <c r="C759" s="15"/>
      <c r="E759" s="15"/>
      <c r="F759" s="17"/>
      <c r="G759" s="26"/>
      <c r="H759" s="26"/>
      <c r="I759" s="26"/>
      <c r="J759" s="26"/>
    </row>
    <row r="760" spans="1:10">
      <c r="A760" s="25"/>
      <c r="B760" s="15"/>
      <c r="C760" s="15"/>
      <c r="E760" s="15"/>
      <c r="F760" s="17"/>
      <c r="G760" s="26"/>
      <c r="H760" s="26"/>
      <c r="I760" s="26"/>
      <c r="J760" s="26"/>
    </row>
    <row r="761" spans="1:10">
      <c r="A761" s="25"/>
      <c r="B761" s="15"/>
      <c r="C761" s="15"/>
      <c r="E761" s="15"/>
      <c r="F761" s="17"/>
      <c r="G761" s="26"/>
      <c r="H761" s="26"/>
      <c r="I761" s="26"/>
      <c r="J761" s="26"/>
    </row>
    <row r="762" spans="1:10">
      <c r="A762" s="25"/>
      <c r="B762" s="15"/>
      <c r="C762" s="15"/>
      <c r="E762" s="15"/>
      <c r="F762" s="17"/>
      <c r="G762" s="26"/>
      <c r="H762" s="26"/>
      <c r="I762" s="26"/>
      <c r="J762" s="26"/>
    </row>
    <row r="763" spans="1:10">
      <c r="A763" s="25"/>
      <c r="B763" s="15"/>
      <c r="C763" s="15"/>
      <c r="E763" s="15"/>
      <c r="F763" s="17"/>
      <c r="G763" s="26"/>
      <c r="H763" s="26"/>
      <c r="I763" s="26"/>
      <c r="J763" s="26"/>
    </row>
    <row r="764" spans="1:10">
      <c r="A764" s="25"/>
      <c r="B764" s="15"/>
      <c r="C764" s="15"/>
      <c r="E764" s="15"/>
      <c r="F764" s="17"/>
      <c r="G764" s="26"/>
      <c r="H764" s="26"/>
      <c r="I764" s="26"/>
      <c r="J764" s="26"/>
    </row>
    <row r="765" spans="1:10">
      <c r="A765" s="25"/>
      <c r="B765" s="15"/>
      <c r="C765" s="15"/>
      <c r="E765" s="15"/>
      <c r="F765" s="17"/>
      <c r="G765" s="26"/>
      <c r="H765" s="26"/>
      <c r="I765" s="26"/>
      <c r="J765" s="26"/>
    </row>
    <row r="766" spans="1:10">
      <c r="A766" s="25"/>
      <c r="B766" s="15"/>
      <c r="C766" s="15"/>
      <c r="E766" s="15"/>
      <c r="F766" s="17"/>
      <c r="G766" s="26"/>
      <c r="H766" s="26"/>
      <c r="I766" s="26"/>
      <c r="J766" s="26"/>
    </row>
    <row r="767" spans="1:10">
      <c r="A767" s="25"/>
      <c r="B767" s="15"/>
      <c r="C767" s="15"/>
      <c r="E767" s="15"/>
      <c r="F767" s="17"/>
      <c r="G767" s="26"/>
      <c r="H767" s="26"/>
      <c r="I767" s="26"/>
      <c r="J767" s="26"/>
    </row>
    <row r="768" spans="1:10">
      <c r="A768" s="25"/>
      <c r="B768" s="15"/>
      <c r="C768" s="15"/>
      <c r="E768" s="15"/>
      <c r="F768" s="17"/>
      <c r="G768" s="26"/>
      <c r="H768" s="26"/>
      <c r="I768" s="26"/>
      <c r="J768" s="26"/>
    </row>
    <row r="769" spans="1:10">
      <c r="A769" s="25"/>
      <c r="B769" s="15"/>
      <c r="C769" s="15"/>
      <c r="E769" s="15"/>
      <c r="F769" s="17"/>
      <c r="G769" s="26"/>
      <c r="H769" s="26"/>
      <c r="I769" s="26"/>
      <c r="J769" s="26"/>
    </row>
    <row r="770" spans="1:10">
      <c r="A770" s="25"/>
      <c r="B770" s="15"/>
      <c r="C770" s="15"/>
      <c r="E770" s="15"/>
      <c r="F770" s="17"/>
      <c r="G770" s="26"/>
      <c r="H770" s="26"/>
      <c r="I770" s="26"/>
      <c r="J770" s="26"/>
    </row>
    <row r="771" spans="1:10">
      <c r="A771" s="25"/>
      <c r="B771" s="15"/>
      <c r="C771" s="15"/>
      <c r="E771" s="15"/>
      <c r="F771" s="17"/>
      <c r="G771" s="26"/>
      <c r="H771" s="26"/>
      <c r="I771" s="26"/>
      <c r="J771" s="26"/>
    </row>
    <row r="772" spans="1:10">
      <c r="A772" s="25"/>
      <c r="B772" s="15"/>
      <c r="C772" s="15"/>
      <c r="E772" s="15"/>
      <c r="F772" s="17"/>
      <c r="G772" s="26"/>
      <c r="H772" s="26"/>
      <c r="I772" s="26"/>
      <c r="J772" s="26"/>
    </row>
    <row r="773" spans="1:10">
      <c r="A773" s="25"/>
      <c r="B773" s="15"/>
      <c r="C773" s="15"/>
      <c r="E773" s="15"/>
      <c r="F773" s="17"/>
      <c r="G773" s="26"/>
      <c r="H773" s="26"/>
      <c r="I773" s="26"/>
      <c r="J773" s="26"/>
    </row>
    <row r="774" spans="1:10">
      <c r="A774" s="25"/>
      <c r="B774" s="15"/>
      <c r="C774" s="15"/>
      <c r="E774" s="15"/>
      <c r="F774" s="17"/>
      <c r="G774" s="26"/>
      <c r="H774" s="26"/>
      <c r="I774" s="26"/>
      <c r="J774" s="26"/>
    </row>
    <row r="775" spans="1:10">
      <c r="A775" s="25"/>
      <c r="B775" s="15"/>
      <c r="C775" s="15"/>
      <c r="E775" s="15"/>
      <c r="F775" s="17"/>
      <c r="G775" s="26"/>
      <c r="H775" s="26"/>
      <c r="I775" s="26"/>
      <c r="J775" s="26"/>
    </row>
    <row r="776" spans="1:10">
      <c r="A776" s="25"/>
      <c r="B776" s="15"/>
      <c r="C776" s="15"/>
      <c r="E776" s="15"/>
      <c r="F776" s="17"/>
      <c r="G776" s="26"/>
      <c r="H776" s="26"/>
      <c r="I776" s="26"/>
      <c r="J776" s="26"/>
    </row>
    <row r="777" spans="1:10">
      <c r="A777" s="25"/>
      <c r="B777" s="15"/>
      <c r="C777" s="15"/>
      <c r="E777" s="15"/>
      <c r="F777" s="17"/>
      <c r="G777" s="26"/>
      <c r="H777" s="26"/>
      <c r="I777" s="26"/>
      <c r="J777" s="26"/>
    </row>
    <row r="778" spans="1:10">
      <c r="A778" s="25"/>
      <c r="B778" s="15"/>
      <c r="C778" s="15"/>
      <c r="E778" s="15"/>
      <c r="F778" s="17"/>
      <c r="G778" s="26"/>
      <c r="H778" s="26"/>
      <c r="I778" s="26"/>
      <c r="J778" s="26"/>
    </row>
    <row r="779" spans="1:10">
      <c r="A779" s="25"/>
      <c r="B779" s="15"/>
      <c r="C779" s="15"/>
      <c r="E779" s="15"/>
      <c r="F779" s="17"/>
      <c r="G779" s="26"/>
      <c r="H779" s="26"/>
      <c r="I779" s="26"/>
      <c r="J779" s="26"/>
    </row>
    <row r="780" spans="1:10">
      <c r="A780" s="25"/>
      <c r="B780" s="15"/>
      <c r="C780" s="15"/>
      <c r="E780" s="15"/>
      <c r="F780" s="17"/>
      <c r="G780" s="26"/>
      <c r="H780" s="26"/>
      <c r="I780" s="26"/>
      <c r="J780" s="26"/>
    </row>
    <row r="781" spans="1:10">
      <c r="A781" s="25"/>
      <c r="B781" s="15"/>
      <c r="C781" s="15"/>
      <c r="E781" s="15"/>
      <c r="F781" s="17"/>
      <c r="G781" s="26"/>
      <c r="H781" s="26"/>
      <c r="I781" s="26"/>
      <c r="J781" s="26"/>
    </row>
    <row r="782" spans="1:10">
      <c r="A782" s="25"/>
      <c r="B782" s="15"/>
      <c r="C782" s="15"/>
      <c r="E782" s="15"/>
      <c r="F782" s="17"/>
      <c r="G782" s="26"/>
      <c r="H782" s="26"/>
      <c r="I782" s="26"/>
      <c r="J782" s="26"/>
    </row>
    <row r="783" spans="1:10">
      <c r="A783" s="25"/>
      <c r="B783" s="15"/>
      <c r="C783" s="15"/>
      <c r="E783" s="15"/>
      <c r="F783" s="17"/>
      <c r="G783" s="26"/>
      <c r="H783" s="26"/>
      <c r="I783" s="26"/>
      <c r="J783" s="26"/>
    </row>
    <row r="784" spans="1:10">
      <c r="A784" s="25"/>
      <c r="B784" s="15"/>
      <c r="C784" s="15"/>
      <c r="E784" s="15"/>
      <c r="F784" s="17"/>
      <c r="G784" s="26"/>
      <c r="H784" s="26"/>
      <c r="I784" s="26"/>
      <c r="J784" s="26"/>
    </row>
    <row r="785" spans="1:10">
      <c r="A785" s="25"/>
      <c r="B785" s="15"/>
      <c r="C785" s="15"/>
      <c r="E785" s="15"/>
      <c r="F785" s="17"/>
      <c r="G785" s="26"/>
      <c r="H785" s="26"/>
      <c r="I785" s="26"/>
      <c r="J785" s="26"/>
    </row>
    <row r="786" spans="1:10">
      <c r="A786" s="25"/>
      <c r="B786" s="15"/>
      <c r="C786" s="15"/>
      <c r="E786" s="15"/>
      <c r="F786" s="17"/>
      <c r="G786" s="26"/>
      <c r="H786" s="26"/>
      <c r="I786" s="26"/>
      <c r="J786" s="26"/>
    </row>
    <row r="787" spans="1:10">
      <c r="A787" s="25"/>
      <c r="B787" s="15"/>
      <c r="C787" s="15"/>
      <c r="E787" s="15"/>
      <c r="F787" s="17"/>
      <c r="G787" s="26"/>
      <c r="H787" s="26"/>
      <c r="I787" s="26"/>
      <c r="J787" s="26"/>
    </row>
    <row r="788" spans="1:10">
      <c r="A788" s="25"/>
      <c r="B788" s="15"/>
      <c r="C788" s="15"/>
      <c r="E788" s="15"/>
      <c r="F788" s="17"/>
      <c r="G788" s="26"/>
      <c r="H788" s="26"/>
      <c r="I788" s="26"/>
      <c r="J788" s="26"/>
    </row>
    <row r="789" spans="1:10">
      <c r="A789" s="25"/>
      <c r="B789" s="15"/>
      <c r="C789" s="15"/>
      <c r="E789" s="15"/>
      <c r="F789" s="17"/>
      <c r="G789" s="26"/>
      <c r="H789" s="26"/>
      <c r="I789" s="26"/>
      <c r="J789" s="26"/>
    </row>
    <row r="790" spans="1:10">
      <c r="A790" s="25"/>
      <c r="B790" s="15"/>
      <c r="C790" s="15"/>
      <c r="E790" s="15"/>
      <c r="F790" s="17"/>
      <c r="G790" s="26"/>
      <c r="H790" s="26"/>
      <c r="I790" s="26"/>
      <c r="J790" s="26"/>
    </row>
    <row r="791" spans="1:10">
      <c r="A791" s="25"/>
      <c r="B791" s="15"/>
      <c r="C791" s="15"/>
      <c r="E791" s="15"/>
      <c r="F791" s="17"/>
      <c r="G791" s="26"/>
      <c r="H791" s="26"/>
      <c r="I791" s="26"/>
      <c r="J791" s="26"/>
    </row>
    <row r="792" spans="1:10">
      <c r="A792" s="25"/>
      <c r="B792" s="15"/>
      <c r="C792" s="15"/>
      <c r="E792" s="15"/>
      <c r="F792" s="17"/>
      <c r="G792" s="26"/>
      <c r="H792" s="26"/>
      <c r="I792" s="26"/>
      <c r="J792" s="26"/>
    </row>
    <row r="793" spans="1:10">
      <c r="A793" s="25"/>
      <c r="B793" s="15"/>
      <c r="C793" s="15"/>
      <c r="E793" s="15"/>
      <c r="F793" s="17"/>
      <c r="G793" s="26"/>
      <c r="H793" s="26"/>
      <c r="I793" s="26"/>
      <c r="J793" s="26"/>
    </row>
    <row r="794" spans="1:10">
      <c r="A794" s="25"/>
      <c r="B794" s="15"/>
      <c r="C794" s="15"/>
      <c r="E794" s="15"/>
      <c r="F794" s="17"/>
      <c r="G794" s="26"/>
      <c r="H794" s="26"/>
      <c r="I794" s="26"/>
      <c r="J794" s="26"/>
    </row>
    <row r="795" spans="1:10">
      <c r="A795" s="25"/>
      <c r="B795" s="15"/>
      <c r="C795" s="15"/>
      <c r="E795" s="15"/>
      <c r="F795" s="17"/>
      <c r="G795" s="26"/>
      <c r="H795" s="26"/>
      <c r="I795" s="26"/>
      <c r="J795" s="26"/>
    </row>
    <row r="796" spans="1:10">
      <c r="A796" s="25"/>
      <c r="B796" s="15"/>
      <c r="C796" s="15"/>
      <c r="E796" s="15"/>
      <c r="F796" s="17"/>
      <c r="G796" s="26"/>
      <c r="H796" s="26"/>
      <c r="I796" s="26"/>
      <c r="J796" s="26"/>
    </row>
    <row r="797" spans="1:10">
      <c r="A797" s="25"/>
      <c r="B797" s="15"/>
      <c r="C797" s="15"/>
      <c r="E797" s="15"/>
      <c r="F797" s="17"/>
      <c r="G797" s="26"/>
      <c r="H797" s="26"/>
      <c r="I797" s="26"/>
      <c r="J797" s="26"/>
    </row>
    <row r="798" spans="1:10">
      <c r="A798" s="25"/>
      <c r="B798" s="15"/>
      <c r="C798" s="15"/>
      <c r="E798" s="15"/>
      <c r="F798" s="17"/>
      <c r="G798" s="26"/>
      <c r="H798" s="26"/>
      <c r="I798" s="26"/>
      <c r="J798" s="26"/>
    </row>
    <row r="799" spans="1:10">
      <c r="A799" s="25"/>
      <c r="B799" s="15"/>
      <c r="C799" s="15"/>
      <c r="E799" s="15"/>
      <c r="F799" s="17"/>
      <c r="G799" s="26"/>
      <c r="H799" s="26"/>
      <c r="I799" s="26"/>
      <c r="J799" s="26"/>
    </row>
    <row r="800" spans="1:10">
      <c r="A800" s="25"/>
      <c r="B800" s="15"/>
      <c r="C800" s="15"/>
      <c r="E800" s="15"/>
      <c r="F800" s="17"/>
      <c r="G800" s="26"/>
      <c r="H800" s="26"/>
      <c r="I800" s="26"/>
      <c r="J800" s="26"/>
    </row>
    <row r="801" spans="1:10">
      <c r="A801" s="25"/>
      <c r="B801" s="15"/>
      <c r="C801" s="15"/>
      <c r="E801" s="15"/>
      <c r="F801" s="17"/>
      <c r="G801" s="26"/>
      <c r="H801" s="26"/>
      <c r="I801" s="26"/>
      <c r="J801" s="26"/>
    </row>
    <row r="802" spans="1:10">
      <c r="A802" s="25"/>
      <c r="B802" s="15"/>
      <c r="C802" s="15"/>
      <c r="E802" s="15"/>
      <c r="F802" s="17"/>
      <c r="G802" s="26"/>
      <c r="H802" s="26"/>
      <c r="I802" s="26"/>
      <c r="J802" s="26"/>
    </row>
    <row r="803" spans="1:10">
      <c r="A803" s="25"/>
      <c r="B803" s="15"/>
      <c r="C803" s="15"/>
      <c r="E803" s="15"/>
      <c r="F803" s="17"/>
      <c r="G803" s="26"/>
      <c r="H803" s="26"/>
      <c r="I803" s="26"/>
      <c r="J803" s="26"/>
    </row>
    <row r="804" spans="1:10">
      <c r="A804" s="25"/>
      <c r="B804" s="15"/>
      <c r="C804" s="15"/>
      <c r="E804" s="15"/>
      <c r="F804" s="17"/>
      <c r="G804" s="26"/>
      <c r="H804" s="26"/>
      <c r="I804" s="26"/>
      <c r="J804" s="26"/>
    </row>
    <row r="805" spans="1:10">
      <c r="A805" s="25"/>
      <c r="B805" s="15"/>
      <c r="C805" s="15"/>
      <c r="E805" s="15"/>
      <c r="F805" s="17"/>
      <c r="G805" s="26"/>
      <c r="H805" s="26"/>
      <c r="I805" s="26"/>
      <c r="J805" s="26"/>
    </row>
    <row r="806" spans="1:10">
      <c r="A806" s="25"/>
      <c r="B806" s="15"/>
      <c r="C806" s="15"/>
      <c r="E806" s="15"/>
      <c r="F806" s="17"/>
      <c r="G806" s="26"/>
      <c r="H806" s="26"/>
      <c r="I806" s="26"/>
      <c r="J806" s="26"/>
    </row>
    <row r="807" spans="1:10">
      <c r="A807" s="25"/>
      <c r="B807" s="15"/>
      <c r="C807" s="15"/>
      <c r="E807" s="15"/>
      <c r="F807" s="17"/>
      <c r="G807" s="26"/>
      <c r="H807" s="26"/>
      <c r="I807" s="26"/>
      <c r="J807" s="26"/>
    </row>
    <row r="808" spans="1:10">
      <c r="A808" s="25"/>
      <c r="B808" s="15"/>
      <c r="C808" s="15"/>
      <c r="E808" s="15"/>
      <c r="F808" s="17"/>
      <c r="G808" s="26"/>
      <c r="H808" s="26"/>
      <c r="I808" s="26"/>
      <c r="J808" s="26"/>
    </row>
    <row r="809" spans="1:10">
      <c r="A809" s="25"/>
      <c r="B809" s="15"/>
      <c r="C809" s="15"/>
      <c r="E809" s="15"/>
      <c r="F809" s="17"/>
      <c r="G809" s="26"/>
      <c r="H809" s="26"/>
      <c r="I809" s="26"/>
      <c r="J809" s="26"/>
    </row>
    <row r="810" spans="1:10">
      <c r="A810" s="25"/>
      <c r="B810" s="15"/>
      <c r="C810" s="15"/>
      <c r="E810" s="15"/>
      <c r="F810" s="17"/>
      <c r="G810" s="26"/>
      <c r="H810" s="26"/>
      <c r="I810" s="26"/>
      <c r="J810" s="26"/>
    </row>
    <row r="811" spans="1:10">
      <c r="A811" s="25"/>
      <c r="B811" s="15"/>
      <c r="C811" s="15"/>
      <c r="E811" s="15"/>
      <c r="F811" s="17"/>
      <c r="G811" s="26"/>
      <c r="H811" s="26"/>
      <c r="I811" s="26"/>
      <c r="J811" s="26"/>
    </row>
    <row r="812" spans="1:10">
      <c r="A812" s="25"/>
      <c r="B812" s="15"/>
      <c r="C812" s="15"/>
      <c r="E812" s="15"/>
      <c r="F812" s="17"/>
      <c r="G812" s="26"/>
      <c r="H812" s="26"/>
      <c r="I812" s="26"/>
      <c r="J812" s="26"/>
    </row>
    <row r="813" spans="1:10">
      <c r="A813" s="25"/>
      <c r="B813" s="15"/>
      <c r="C813" s="15"/>
      <c r="E813" s="15"/>
      <c r="F813" s="17"/>
      <c r="G813" s="26"/>
      <c r="H813" s="26"/>
      <c r="I813" s="26"/>
      <c r="J813" s="26"/>
    </row>
    <row r="814" spans="1:10">
      <c r="A814" s="25"/>
      <c r="B814" s="15"/>
      <c r="C814" s="15"/>
      <c r="E814" s="15"/>
      <c r="F814" s="17"/>
      <c r="G814" s="26"/>
      <c r="H814" s="26"/>
      <c r="I814" s="26"/>
      <c r="J814" s="26"/>
    </row>
    <row r="815" spans="1:10">
      <c r="A815" s="25"/>
      <c r="B815" s="15"/>
      <c r="C815" s="15"/>
      <c r="E815" s="15"/>
      <c r="F815" s="17"/>
      <c r="G815" s="26"/>
      <c r="H815" s="26"/>
      <c r="I815" s="26"/>
      <c r="J815" s="26"/>
    </row>
    <row r="816" spans="1:10">
      <c r="A816" s="25"/>
      <c r="B816" s="15"/>
      <c r="C816" s="15"/>
      <c r="E816" s="15"/>
      <c r="F816" s="17"/>
      <c r="G816" s="26"/>
      <c r="H816" s="26"/>
      <c r="I816" s="26"/>
      <c r="J816" s="26"/>
    </row>
    <row r="817" spans="1:10">
      <c r="A817" s="25"/>
      <c r="B817" s="15"/>
      <c r="C817" s="15"/>
      <c r="E817" s="15"/>
      <c r="F817" s="17"/>
      <c r="G817" s="26"/>
      <c r="H817" s="26"/>
      <c r="I817" s="26"/>
      <c r="J817" s="26"/>
    </row>
    <row r="818" spans="1:10">
      <c r="A818" s="25"/>
      <c r="B818" s="15"/>
      <c r="C818" s="15"/>
      <c r="E818" s="15"/>
      <c r="F818" s="17"/>
      <c r="G818" s="26"/>
      <c r="H818" s="26"/>
      <c r="I818" s="26"/>
      <c r="J818" s="26"/>
    </row>
    <row r="819" spans="1:10">
      <c r="A819" s="25"/>
      <c r="B819" s="15"/>
      <c r="C819" s="15"/>
      <c r="E819" s="15"/>
      <c r="F819" s="17"/>
      <c r="G819" s="26"/>
      <c r="H819" s="26"/>
      <c r="I819" s="26"/>
      <c r="J819" s="26"/>
    </row>
    <row r="820" spans="1:10">
      <c r="A820" s="25"/>
      <c r="B820" s="15"/>
      <c r="C820" s="15"/>
      <c r="E820" s="15"/>
      <c r="F820" s="17"/>
      <c r="G820" s="26"/>
      <c r="H820" s="26"/>
      <c r="I820" s="26"/>
      <c r="J820" s="26"/>
    </row>
    <row r="821" spans="1:10">
      <c r="A821" s="25"/>
      <c r="B821" s="15"/>
      <c r="C821" s="15"/>
      <c r="E821" s="15"/>
      <c r="F821" s="17"/>
      <c r="G821" s="26"/>
      <c r="H821" s="26"/>
      <c r="I821" s="26"/>
      <c r="J821" s="26"/>
    </row>
    <row r="822" spans="1:10">
      <c r="A822" s="25"/>
      <c r="B822" s="15"/>
      <c r="C822" s="15"/>
      <c r="E822" s="15"/>
      <c r="F822" s="17"/>
      <c r="G822" s="26"/>
      <c r="H822" s="26"/>
      <c r="I822" s="26"/>
      <c r="J822" s="26"/>
    </row>
    <row r="823" spans="1:10">
      <c r="A823" s="25"/>
      <c r="B823" s="15"/>
      <c r="C823" s="15"/>
      <c r="E823" s="15"/>
      <c r="F823" s="17"/>
      <c r="G823" s="26"/>
      <c r="H823" s="26"/>
      <c r="I823" s="26"/>
      <c r="J823" s="26"/>
    </row>
    <row r="824" spans="1:10">
      <c r="A824" s="25"/>
      <c r="B824" s="15"/>
      <c r="C824" s="15"/>
      <c r="E824" s="15"/>
      <c r="F824" s="17"/>
      <c r="G824" s="26"/>
      <c r="H824" s="26"/>
      <c r="I824" s="26"/>
      <c r="J824" s="26"/>
    </row>
    <row r="825" spans="1:10">
      <c r="A825" s="25"/>
      <c r="B825" s="15"/>
      <c r="C825" s="15"/>
      <c r="E825" s="15"/>
      <c r="F825" s="17"/>
      <c r="G825" s="26"/>
      <c r="H825" s="26"/>
      <c r="I825" s="26"/>
      <c r="J825" s="26"/>
    </row>
    <row r="826" spans="1:10">
      <c r="A826" s="25"/>
      <c r="B826" s="15"/>
      <c r="C826" s="15"/>
      <c r="E826" s="15"/>
      <c r="F826" s="17"/>
      <c r="G826" s="26"/>
      <c r="H826" s="26"/>
      <c r="I826" s="26"/>
      <c r="J826" s="26"/>
    </row>
    <row r="827" spans="1:10">
      <c r="A827" s="25"/>
      <c r="B827" s="15"/>
      <c r="C827" s="15"/>
      <c r="E827" s="15"/>
      <c r="F827" s="17"/>
      <c r="G827" s="26"/>
      <c r="H827" s="26"/>
      <c r="I827" s="26"/>
      <c r="J827" s="26"/>
    </row>
    <row r="828" spans="1:10">
      <c r="A828" s="25"/>
      <c r="B828" s="15"/>
      <c r="C828" s="15"/>
      <c r="E828" s="15"/>
      <c r="F828" s="17"/>
      <c r="G828" s="26"/>
      <c r="H828" s="26"/>
      <c r="I828" s="26"/>
      <c r="J828" s="26"/>
    </row>
    <row r="829" spans="1:10">
      <c r="A829" s="25"/>
      <c r="B829" s="15"/>
      <c r="C829" s="15"/>
      <c r="E829" s="15"/>
      <c r="F829" s="17"/>
      <c r="G829" s="26"/>
      <c r="H829" s="26"/>
      <c r="I829" s="26"/>
      <c r="J829" s="26"/>
    </row>
    <row r="830" spans="1:10">
      <c r="A830" s="25"/>
      <c r="B830" s="15"/>
      <c r="C830" s="15"/>
      <c r="E830" s="15"/>
      <c r="F830" s="17"/>
      <c r="G830" s="26"/>
      <c r="H830" s="26"/>
      <c r="I830" s="26"/>
      <c r="J830" s="26"/>
    </row>
    <row r="831" spans="1:10">
      <c r="A831" s="25"/>
      <c r="B831" s="15"/>
      <c r="C831" s="15"/>
      <c r="E831" s="15"/>
      <c r="F831" s="17"/>
      <c r="G831" s="26"/>
      <c r="H831" s="26"/>
      <c r="I831" s="26"/>
      <c r="J831" s="26"/>
    </row>
    <row r="832" spans="1:10">
      <c r="A832" s="25"/>
      <c r="B832" s="15"/>
      <c r="C832" s="15"/>
      <c r="E832" s="15"/>
      <c r="F832" s="17"/>
      <c r="G832" s="26"/>
      <c r="H832" s="26"/>
      <c r="I832" s="26"/>
      <c r="J832" s="26"/>
    </row>
    <row r="833" spans="1:10">
      <c r="A833" s="25"/>
      <c r="B833" s="15"/>
      <c r="C833" s="15"/>
      <c r="E833" s="15"/>
      <c r="F833" s="17"/>
      <c r="G833" s="26"/>
      <c r="H833" s="26"/>
      <c r="I833" s="26"/>
      <c r="J833" s="26"/>
    </row>
    <row r="834" spans="1:10">
      <c r="A834" s="25"/>
      <c r="B834" s="15"/>
      <c r="C834" s="15"/>
      <c r="E834" s="15"/>
      <c r="F834" s="17"/>
      <c r="G834" s="26"/>
      <c r="H834" s="26"/>
      <c r="I834" s="26"/>
      <c r="J834" s="26"/>
    </row>
    <row r="835" spans="1:10">
      <c r="A835" s="25"/>
      <c r="B835" s="15"/>
      <c r="C835" s="15"/>
      <c r="E835" s="15"/>
      <c r="F835" s="17"/>
      <c r="G835" s="26"/>
      <c r="H835" s="26"/>
      <c r="I835" s="26"/>
      <c r="J835" s="26"/>
    </row>
    <row r="836" spans="1:10">
      <c r="A836" s="25"/>
      <c r="B836" s="15"/>
      <c r="C836" s="15"/>
      <c r="E836" s="15"/>
      <c r="F836" s="17"/>
      <c r="G836" s="26"/>
      <c r="H836" s="26"/>
      <c r="I836" s="26"/>
      <c r="J836" s="26"/>
    </row>
    <row r="837" spans="1:10">
      <c r="A837" s="25"/>
      <c r="B837" s="15"/>
      <c r="C837" s="15"/>
      <c r="E837" s="15"/>
      <c r="F837" s="17"/>
      <c r="G837" s="26"/>
      <c r="H837" s="26"/>
      <c r="I837" s="26"/>
      <c r="J837" s="26"/>
    </row>
    <row r="838" spans="1:10">
      <c r="A838" s="25"/>
      <c r="B838" s="15"/>
      <c r="C838" s="15"/>
      <c r="E838" s="15"/>
      <c r="F838" s="17"/>
      <c r="G838" s="26"/>
      <c r="H838" s="26"/>
      <c r="I838" s="26"/>
      <c r="J838" s="26"/>
    </row>
    <row r="839" spans="1:10">
      <c r="A839" s="25"/>
      <c r="B839" s="15"/>
      <c r="C839" s="15"/>
      <c r="E839" s="15"/>
      <c r="F839" s="17"/>
      <c r="G839" s="26"/>
      <c r="H839" s="26"/>
      <c r="I839" s="26"/>
      <c r="J839" s="26"/>
    </row>
    <row r="840" spans="1:10">
      <c r="A840" s="25"/>
      <c r="B840" s="15"/>
      <c r="C840" s="15"/>
      <c r="E840" s="15"/>
      <c r="F840" s="17"/>
      <c r="G840" s="26"/>
      <c r="H840" s="26"/>
      <c r="I840" s="26"/>
      <c r="J840" s="26"/>
    </row>
    <row r="841" spans="1:10">
      <c r="A841" s="25"/>
      <c r="B841" s="15"/>
      <c r="C841" s="15"/>
      <c r="E841" s="15"/>
      <c r="F841" s="17"/>
      <c r="G841" s="26"/>
      <c r="H841" s="26"/>
      <c r="I841" s="26"/>
      <c r="J841" s="26"/>
    </row>
    <row r="842" spans="1:10">
      <c r="A842" s="25"/>
      <c r="B842" s="15"/>
      <c r="C842" s="15"/>
      <c r="E842" s="15"/>
      <c r="F842" s="17"/>
      <c r="G842" s="26"/>
      <c r="H842" s="26"/>
      <c r="I842" s="26"/>
      <c r="J842" s="26"/>
    </row>
    <row r="843" spans="1:10">
      <c r="A843" s="25"/>
      <c r="B843" s="15"/>
      <c r="C843" s="15"/>
      <c r="E843" s="15"/>
      <c r="F843" s="17"/>
      <c r="G843" s="26"/>
      <c r="H843" s="26"/>
      <c r="I843" s="26"/>
      <c r="J843" s="26"/>
    </row>
    <row r="844" spans="1:10">
      <c r="A844" s="25"/>
      <c r="B844" s="15"/>
      <c r="C844" s="15"/>
      <c r="E844" s="15"/>
      <c r="F844" s="17"/>
      <c r="G844" s="26"/>
      <c r="H844" s="26"/>
      <c r="I844" s="26"/>
      <c r="J844" s="26"/>
    </row>
    <row r="845" spans="1:10">
      <c r="A845" s="25"/>
      <c r="B845" s="15"/>
      <c r="C845" s="15"/>
      <c r="E845" s="15"/>
      <c r="F845" s="17"/>
      <c r="G845" s="26"/>
      <c r="H845" s="26"/>
      <c r="I845" s="26"/>
      <c r="J845" s="26"/>
    </row>
    <row r="846" spans="1:10">
      <c r="A846" s="25"/>
      <c r="B846" s="15"/>
      <c r="C846" s="15"/>
      <c r="E846" s="15"/>
      <c r="F846" s="17"/>
      <c r="G846" s="26"/>
      <c r="H846" s="26"/>
      <c r="I846" s="26"/>
      <c r="J846" s="26"/>
    </row>
    <row r="847" spans="1:10">
      <c r="A847" s="25"/>
      <c r="B847" s="15"/>
      <c r="C847" s="15"/>
      <c r="E847" s="15"/>
      <c r="F847" s="17"/>
      <c r="G847" s="26"/>
      <c r="H847" s="26"/>
      <c r="I847" s="26"/>
      <c r="J847" s="26"/>
    </row>
    <row r="848" spans="1:10">
      <c r="A848" s="25"/>
      <c r="B848" s="15"/>
      <c r="C848" s="15"/>
      <c r="E848" s="15"/>
      <c r="F848" s="17"/>
      <c r="G848" s="26"/>
      <c r="H848" s="26"/>
      <c r="I848" s="26"/>
      <c r="J848" s="26"/>
    </row>
    <row r="849" spans="1:10">
      <c r="A849" s="25"/>
      <c r="B849" s="15"/>
      <c r="C849" s="15"/>
      <c r="E849" s="15"/>
      <c r="F849" s="17"/>
      <c r="G849" s="26"/>
      <c r="H849" s="26"/>
      <c r="I849" s="26"/>
      <c r="J849" s="26"/>
    </row>
    <row r="850" spans="1:10">
      <c r="A850" s="25"/>
      <c r="B850" s="15"/>
      <c r="C850" s="15"/>
      <c r="E850" s="15"/>
      <c r="F850" s="17"/>
      <c r="G850" s="26"/>
      <c r="H850" s="26"/>
      <c r="I850" s="26"/>
      <c r="J850" s="26"/>
    </row>
    <row r="851" spans="1:10">
      <c r="A851" s="25"/>
      <c r="B851" s="15"/>
      <c r="C851" s="15"/>
      <c r="E851" s="15"/>
      <c r="F851" s="17"/>
      <c r="G851" s="26"/>
      <c r="H851" s="26"/>
      <c r="I851" s="26"/>
      <c r="J851" s="26"/>
    </row>
    <row r="852" spans="1:10">
      <c r="A852" s="25"/>
      <c r="B852" s="15"/>
      <c r="C852" s="15"/>
      <c r="E852" s="15"/>
      <c r="F852" s="17"/>
      <c r="G852" s="26"/>
      <c r="H852" s="26"/>
      <c r="I852" s="26"/>
      <c r="J852" s="26"/>
    </row>
    <row r="853" spans="1:10">
      <c r="A853" s="25"/>
      <c r="B853" s="15"/>
      <c r="C853" s="15"/>
      <c r="E853" s="15"/>
      <c r="F853" s="17"/>
      <c r="G853" s="26"/>
      <c r="H853" s="26"/>
      <c r="I853" s="26"/>
      <c r="J853" s="26"/>
    </row>
    <row r="854" spans="1:10">
      <c r="A854" s="25"/>
      <c r="B854" s="15"/>
      <c r="C854" s="15"/>
      <c r="E854" s="15"/>
      <c r="F854" s="17"/>
      <c r="G854" s="26"/>
      <c r="H854" s="26"/>
      <c r="I854" s="26"/>
      <c r="J854" s="26"/>
    </row>
    <row r="855" spans="1:10">
      <c r="A855" s="25"/>
      <c r="B855" s="15"/>
      <c r="C855" s="15"/>
      <c r="E855" s="15"/>
      <c r="F855" s="17"/>
      <c r="G855" s="26"/>
      <c r="H855" s="26"/>
      <c r="I855" s="26"/>
      <c r="J855" s="26"/>
    </row>
    <row r="856" spans="1:10">
      <c r="A856" s="25"/>
      <c r="B856" s="15"/>
      <c r="C856" s="15"/>
      <c r="E856" s="15"/>
      <c r="F856" s="17"/>
      <c r="G856" s="26"/>
      <c r="H856" s="26"/>
      <c r="I856" s="26"/>
      <c r="J856" s="26"/>
    </row>
    <row r="857" spans="1:10">
      <c r="A857" s="25"/>
      <c r="B857" s="15"/>
      <c r="C857" s="15"/>
      <c r="E857" s="15"/>
      <c r="F857" s="17"/>
      <c r="G857" s="26"/>
      <c r="H857" s="26"/>
      <c r="I857" s="26"/>
      <c r="J857" s="26"/>
    </row>
    <row r="858" spans="1:10">
      <c r="A858" s="25"/>
      <c r="B858" s="15"/>
      <c r="C858" s="15"/>
      <c r="E858" s="15"/>
      <c r="F858" s="17"/>
      <c r="G858" s="26"/>
      <c r="H858" s="26"/>
      <c r="I858" s="26"/>
      <c r="J858" s="26"/>
    </row>
    <row r="859" spans="1:10">
      <c r="A859" s="25"/>
      <c r="B859" s="15"/>
      <c r="C859" s="15"/>
      <c r="E859" s="15"/>
      <c r="F859" s="17"/>
      <c r="G859" s="26"/>
      <c r="H859" s="26"/>
      <c r="I859" s="26"/>
      <c r="J859" s="26"/>
    </row>
    <row r="860" spans="1:10">
      <c r="A860" s="25"/>
      <c r="B860" s="15"/>
      <c r="C860" s="15"/>
      <c r="E860" s="15"/>
      <c r="F860" s="17"/>
      <c r="G860" s="26"/>
      <c r="H860" s="26"/>
      <c r="I860" s="26"/>
      <c r="J860" s="26"/>
    </row>
    <row r="861" spans="1:10">
      <c r="A861" s="25"/>
      <c r="B861" s="15"/>
      <c r="C861" s="15"/>
      <c r="E861" s="15"/>
      <c r="F861" s="17"/>
      <c r="G861" s="26"/>
      <c r="H861" s="26"/>
      <c r="I861" s="26"/>
      <c r="J861" s="26"/>
    </row>
    <row r="862" spans="1:10">
      <c r="A862" s="25"/>
      <c r="B862" s="15"/>
      <c r="C862" s="15"/>
      <c r="E862" s="15"/>
      <c r="F862" s="17"/>
      <c r="G862" s="26"/>
      <c r="H862" s="26"/>
      <c r="I862" s="26"/>
      <c r="J862" s="26"/>
    </row>
    <row r="863" spans="1:10">
      <c r="A863" s="25"/>
      <c r="B863" s="15"/>
      <c r="C863" s="15"/>
      <c r="E863" s="15"/>
      <c r="F863" s="17"/>
      <c r="G863" s="26"/>
      <c r="H863" s="26"/>
      <c r="I863" s="26"/>
      <c r="J863" s="26"/>
    </row>
    <row r="864" spans="1:10">
      <c r="A864" s="25"/>
      <c r="B864" s="15"/>
      <c r="C864" s="15"/>
      <c r="E864" s="15"/>
      <c r="F864" s="17"/>
      <c r="G864" s="26"/>
      <c r="H864" s="26"/>
      <c r="I864" s="26"/>
      <c r="J864" s="26"/>
    </row>
    <row r="865" spans="1:10">
      <c r="A865" s="25"/>
      <c r="B865" s="15"/>
      <c r="C865" s="15"/>
      <c r="E865" s="15"/>
      <c r="F865" s="17"/>
      <c r="G865" s="26"/>
      <c r="H865" s="26"/>
      <c r="I865" s="26"/>
      <c r="J865" s="26"/>
    </row>
    <row r="866" spans="1:10">
      <c r="A866" s="25"/>
      <c r="B866" s="15"/>
      <c r="C866" s="15"/>
      <c r="E866" s="15"/>
      <c r="F866" s="17"/>
      <c r="G866" s="26"/>
      <c r="H866" s="26"/>
      <c r="I866" s="26"/>
      <c r="J866" s="26"/>
    </row>
    <row r="867" spans="1:10">
      <c r="A867" s="25"/>
      <c r="B867" s="15"/>
      <c r="C867" s="15"/>
      <c r="E867" s="15"/>
      <c r="F867" s="17"/>
      <c r="G867" s="26"/>
      <c r="H867" s="26"/>
      <c r="I867" s="26"/>
      <c r="J867" s="26"/>
    </row>
    <row r="868" spans="1:10">
      <c r="A868" s="25"/>
      <c r="B868" s="15"/>
      <c r="C868" s="15"/>
      <c r="E868" s="15"/>
      <c r="F868" s="17"/>
      <c r="G868" s="26"/>
      <c r="H868" s="26"/>
      <c r="I868" s="26"/>
      <c r="J868" s="26"/>
    </row>
    <row r="869" spans="1:10">
      <c r="A869" s="25"/>
      <c r="B869" s="15"/>
      <c r="C869" s="15"/>
      <c r="E869" s="15"/>
      <c r="F869" s="17"/>
      <c r="G869" s="26"/>
      <c r="H869" s="26"/>
      <c r="I869" s="26"/>
      <c r="J869" s="26"/>
    </row>
    <row r="870" spans="1:10">
      <c r="A870" s="25"/>
      <c r="B870" s="15"/>
      <c r="C870" s="15"/>
      <c r="E870" s="15"/>
      <c r="F870" s="17"/>
      <c r="G870" s="26"/>
      <c r="H870" s="26"/>
      <c r="I870" s="26"/>
      <c r="J870" s="26"/>
    </row>
    <row r="871" spans="1:10">
      <c r="A871" s="25"/>
      <c r="B871" s="15"/>
      <c r="C871" s="15"/>
      <c r="E871" s="15"/>
      <c r="F871" s="17"/>
      <c r="G871" s="26"/>
      <c r="H871" s="26"/>
      <c r="I871" s="26"/>
      <c r="J871" s="26"/>
    </row>
    <row r="872" spans="1:10">
      <c r="A872" s="25"/>
      <c r="B872" s="15"/>
      <c r="C872" s="15"/>
      <c r="E872" s="15"/>
      <c r="F872" s="17"/>
      <c r="G872" s="26"/>
      <c r="H872" s="26"/>
      <c r="I872" s="26"/>
      <c r="J872" s="26"/>
    </row>
    <row r="873" spans="1:10">
      <c r="A873" s="25"/>
      <c r="B873" s="15"/>
      <c r="C873" s="15"/>
      <c r="E873" s="15"/>
      <c r="F873" s="17"/>
      <c r="G873" s="26"/>
      <c r="H873" s="26"/>
      <c r="I873" s="26"/>
      <c r="J873" s="26"/>
    </row>
    <row r="874" spans="1:10">
      <c r="A874" s="25"/>
      <c r="B874" s="15"/>
      <c r="C874" s="15"/>
      <c r="E874" s="15"/>
      <c r="F874" s="17"/>
      <c r="G874" s="26"/>
      <c r="H874" s="26"/>
      <c r="I874" s="26"/>
      <c r="J874" s="26"/>
    </row>
    <row r="875" spans="1:10">
      <c r="A875" s="25"/>
      <c r="B875" s="15"/>
      <c r="C875" s="15"/>
      <c r="E875" s="15"/>
      <c r="F875" s="17"/>
      <c r="G875" s="26"/>
      <c r="H875" s="26"/>
      <c r="I875" s="26"/>
      <c r="J875" s="26"/>
    </row>
    <row r="876" spans="1:10">
      <c r="A876" s="25"/>
      <c r="B876" s="15"/>
      <c r="C876" s="15"/>
      <c r="E876" s="15"/>
      <c r="F876" s="17"/>
      <c r="G876" s="26"/>
      <c r="H876" s="26"/>
      <c r="I876" s="26"/>
      <c r="J876" s="26"/>
    </row>
    <row r="877" spans="1:10">
      <c r="A877" s="25"/>
      <c r="B877" s="15"/>
      <c r="C877" s="15"/>
      <c r="E877" s="15"/>
      <c r="F877" s="17"/>
      <c r="G877" s="26"/>
      <c r="H877" s="26"/>
      <c r="I877" s="26"/>
      <c r="J877" s="26"/>
    </row>
    <row r="878" spans="1:10">
      <c r="A878" s="25"/>
      <c r="B878" s="15"/>
      <c r="C878" s="15"/>
      <c r="E878" s="15"/>
      <c r="F878" s="17"/>
      <c r="G878" s="26"/>
      <c r="H878" s="26"/>
      <c r="I878" s="26"/>
      <c r="J878" s="26"/>
    </row>
    <row r="879" spans="1:10">
      <c r="A879" s="25"/>
      <c r="B879" s="15"/>
      <c r="C879" s="15"/>
      <c r="E879" s="15"/>
      <c r="F879" s="17"/>
      <c r="G879" s="26"/>
      <c r="H879" s="26"/>
      <c r="I879" s="26"/>
      <c r="J879" s="26"/>
    </row>
    <row r="880" spans="1:10">
      <c r="A880" s="25"/>
      <c r="B880" s="15"/>
      <c r="C880" s="15"/>
      <c r="E880" s="15"/>
      <c r="F880" s="17"/>
      <c r="G880" s="26"/>
      <c r="H880" s="26"/>
      <c r="I880" s="26"/>
      <c r="J880" s="26"/>
    </row>
    <row r="881" spans="1:10">
      <c r="A881" s="25"/>
      <c r="B881" s="15"/>
      <c r="C881" s="15"/>
      <c r="E881" s="15"/>
      <c r="F881" s="17"/>
      <c r="G881" s="26"/>
      <c r="H881" s="26"/>
      <c r="I881" s="26"/>
      <c r="J881" s="26"/>
    </row>
    <row r="882" spans="1:10">
      <c r="A882" s="25"/>
      <c r="B882" s="15"/>
      <c r="C882" s="15"/>
      <c r="E882" s="15"/>
      <c r="F882" s="17"/>
      <c r="G882" s="26"/>
      <c r="H882" s="26"/>
      <c r="I882" s="26"/>
      <c r="J882" s="26"/>
    </row>
    <row r="883" spans="1:10">
      <c r="A883" s="25"/>
      <c r="B883" s="15"/>
      <c r="C883" s="15"/>
      <c r="E883" s="15"/>
      <c r="F883" s="17"/>
      <c r="G883" s="26"/>
      <c r="H883" s="26"/>
      <c r="I883" s="26"/>
      <c r="J883" s="26"/>
    </row>
    <row r="884" spans="1:10">
      <c r="A884" s="25"/>
      <c r="B884" s="15"/>
      <c r="C884" s="15"/>
      <c r="E884" s="15"/>
      <c r="F884" s="17"/>
      <c r="G884" s="26"/>
      <c r="H884" s="26"/>
      <c r="I884" s="26"/>
      <c r="J884" s="26"/>
    </row>
    <row r="885" spans="1:10">
      <c r="A885" s="25"/>
      <c r="B885" s="15"/>
      <c r="C885" s="15"/>
      <c r="E885" s="15"/>
      <c r="F885" s="17"/>
      <c r="G885" s="26"/>
      <c r="H885" s="26"/>
      <c r="I885" s="26"/>
      <c r="J885" s="26"/>
    </row>
    <row r="886" spans="1:10">
      <c r="A886" s="25"/>
      <c r="B886" s="15"/>
      <c r="C886" s="15"/>
      <c r="E886" s="15"/>
      <c r="F886" s="17"/>
      <c r="G886" s="26"/>
      <c r="H886" s="26"/>
      <c r="I886" s="26"/>
      <c r="J886" s="26"/>
    </row>
    <row r="887" spans="1:10">
      <c r="A887" s="25"/>
      <c r="B887" s="15"/>
      <c r="C887" s="15"/>
      <c r="E887" s="15"/>
      <c r="F887" s="17"/>
      <c r="G887" s="26"/>
      <c r="H887" s="26"/>
      <c r="I887" s="26"/>
      <c r="J887" s="26"/>
    </row>
    <row r="888" spans="1:10">
      <c r="A888" s="25"/>
      <c r="B888" s="15"/>
      <c r="C888" s="15"/>
      <c r="E888" s="15"/>
      <c r="F888" s="17"/>
      <c r="G888" s="26"/>
      <c r="H888" s="26"/>
      <c r="I888" s="26"/>
      <c r="J888" s="26"/>
    </row>
    <row r="889" spans="1:10">
      <c r="A889" s="25"/>
      <c r="B889" s="15"/>
      <c r="C889" s="15"/>
      <c r="E889" s="15"/>
      <c r="F889" s="17"/>
      <c r="G889" s="26"/>
      <c r="H889" s="26"/>
      <c r="I889" s="26"/>
      <c r="J889" s="26"/>
    </row>
    <row r="890" spans="1:10">
      <c r="A890" s="25"/>
      <c r="B890" s="15"/>
      <c r="C890" s="15"/>
      <c r="E890" s="15"/>
      <c r="F890" s="17"/>
      <c r="G890" s="26"/>
      <c r="H890" s="26"/>
      <c r="I890" s="26"/>
      <c r="J890" s="26"/>
    </row>
    <row r="891" spans="1:10">
      <c r="A891" s="25"/>
      <c r="B891" s="15"/>
      <c r="C891" s="15"/>
      <c r="E891" s="15"/>
      <c r="F891" s="17"/>
      <c r="G891" s="26"/>
      <c r="H891" s="26"/>
      <c r="I891" s="26"/>
      <c r="J891" s="26"/>
    </row>
    <row r="892" spans="1:10">
      <c r="A892" s="25"/>
      <c r="B892" s="15"/>
      <c r="C892" s="15"/>
      <c r="E892" s="15"/>
      <c r="F892" s="17"/>
      <c r="G892" s="26"/>
      <c r="H892" s="26"/>
      <c r="I892" s="26"/>
      <c r="J892" s="26"/>
    </row>
    <row r="893" spans="1:10">
      <c r="A893" s="25"/>
      <c r="B893" s="15"/>
      <c r="C893" s="15"/>
      <c r="E893" s="15"/>
      <c r="F893" s="17"/>
      <c r="G893" s="26"/>
      <c r="H893" s="26"/>
      <c r="I893" s="26"/>
      <c r="J893" s="26"/>
    </row>
    <row r="894" spans="1:10">
      <c r="A894" s="25"/>
      <c r="B894" s="15"/>
      <c r="C894" s="15"/>
      <c r="E894" s="15"/>
      <c r="F894" s="17"/>
      <c r="G894" s="26"/>
      <c r="H894" s="26"/>
      <c r="I894" s="26"/>
      <c r="J894" s="26"/>
    </row>
    <row r="895" spans="1:10">
      <c r="A895" s="25"/>
      <c r="B895" s="15"/>
      <c r="C895" s="15"/>
      <c r="E895" s="15"/>
      <c r="F895" s="17"/>
      <c r="G895" s="26"/>
      <c r="H895" s="26"/>
      <c r="I895" s="26"/>
      <c r="J895" s="26"/>
    </row>
    <row r="896" spans="1:10">
      <c r="A896" s="25"/>
      <c r="B896" s="15"/>
      <c r="C896" s="15"/>
      <c r="E896" s="15"/>
      <c r="F896" s="17"/>
      <c r="G896" s="26"/>
      <c r="H896" s="26"/>
      <c r="I896" s="26"/>
      <c r="J896" s="26"/>
    </row>
    <row r="897" spans="1:10">
      <c r="A897" s="25"/>
      <c r="B897" s="15"/>
      <c r="C897" s="15"/>
      <c r="E897" s="15"/>
      <c r="F897" s="17"/>
      <c r="G897" s="26"/>
      <c r="H897" s="26"/>
      <c r="I897" s="26"/>
      <c r="J897" s="26"/>
    </row>
    <row r="898" spans="1:10">
      <c r="A898" s="25"/>
      <c r="B898" s="15"/>
      <c r="C898" s="15"/>
      <c r="E898" s="15"/>
      <c r="F898" s="17"/>
      <c r="G898" s="26"/>
      <c r="H898" s="26"/>
      <c r="I898" s="26"/>
      <c r="J898" s="26"/>
    </row>
    <row r="899" spans="1:10">
      <c r="A899" s="25"/>
      <c r="B899" s="15"/>
      <c r="C899" s="15"/>
      <c r="E899" s="15"/>
      <c r="F899" s="17"/>
      <c r="G899" s="26"/>
      <c r="H899" s="26"/>
      <c r="I899" s="26"/>
      <c r="J899" s="26"/>
    </row>
    <row r="900" spans="1:10">
      <c r="A900" s="25"/>
      <c r="B900" s="15"/>
      <c r="C900" s="15"/>
      <c r="E900" s="15"/>
      <c r="F900" s="17"/>
      <c r="G900" s="26"/>
      <c r="H900" s="26"/>
      <c r="I900" s="26"/>
      <c r="J900" s="26"/>
    </row>
    <row r="901" spans="1:10">
      <c r="A901" s="25"/>
      <c r="B901" s="15"/>
      <c r="C901" s="15"/>
      <c r="E901" s="15"/>
      <c r="F901" s="17"/>
      <c r="G901" s="26"/>
      <c r="H901" s="26"/>
      <c r="I901" s="26"/>
      <c r="J901" s="26"/>
    </row>
    <row r="902" spans="1:10">
      <c r="A902" s="25"/>
      <c r="B902" s="15"/>
      <c r="C902" s="15"/>
      <c r="E902" s="15"/>
      <c r="F902" s="17"/>
      <c r="G902" s="26"/>
      <c r="H902" s="26"/>
      <c r="I902" s="26"/>
      <c r="J902" s="26"/>
    </row>
    <row r="903" spans="1:10">
      <c r="A903" s="25"/>
      <c r="B903" s="15"/>
      <c r="C903" s="15"/>
      <c r="E903" s="15"/>
      <c r="F903" s="17"/>
      <c r="G903" s="26"/>
      <c r="H903" s="26"/>
      <c r="I903" s="26"/>
      <c r="J903" s="26"/>
    </row>
    <row r="904" spans="1:10">
      <c r="A904" s="25"/>
      <c r="B904" s="15"/>
      <c r="C904" s="15"/>
      <c r="E904" s="15"/>
      <c r="F904" s="17"/>
      <c r="G904" s="26"/>
      <c r="H904" s="26"/>
      <c r="I904" s="26"/>
      <c r="J904" s="26"/>
    </row>
    <row r="905" spans="1:10">
      <c r="A905" s="25"/>
      <c r="B905" s="15"/>
      <c r="C905" s="15"/>
      <c r="E905" s="15"/>
      <c r="F905" s="17"/>
      <c r="G905" s="26"/>
      <c r="H905" s="26"/>
      <c r="I905" s="26"/>
      <c r="J905" s="26"/>
    </row>
    <row r="906" spans="1:10">
      <c r="A906" s="25"/>
      <c r="B906" s="15"/>
      <c r="C906" s="15"/>
      <c r="E906" s="15"/>
      <c r="F906" s="17"/>
      <c r="G906" s="26"/>
      <c r="H906" s="26"/>
      <c r="I906" s="26"/>
      <c r="J906" s="26"/>
    </row>
    <row r="907" spans="1:10">
      <c r="A907" s="25"/>
      <c r="B907" s="15"/>
      <c r="C907" s="15"/>
      <c r="E907" s="15"/>
      <c r="F907" s="17"/>
      <c r="G907" s="26"/>
      <c r="H907" s="26"/>
      <c r="I907" s="26"/>
      <c r="J907" s="26"/>
    </row>
    <row r="908" spans="1:10">
      <c r="A908" s="25"/>
      <c r="B908" s="15"/>
      <c r="C908" s="15"/>
      <c r="E908" s="15"/>
      <c r="F908" s="17"/>
      <c r="G908" s="26"/>
      <c r="H908" s="26"/>
      <c r="I908" s="26"/>
      <c r="J908" s="26"/>
    </row>
    <row r="909" spans="1:10">
      <c r="A909" s="25"/>
      <c r="B909" s="15"/>
      <c r="C909" s="15"/>
      <c r="E909" s="15"/>
      <c r="F909" s="17"/>
      <c r="G909" s="26"/>
      <c r="H909" s="26"/>
      <c r="I909" s="26"/>
      <c r="J909" s="26"/>
    </row>
    <row r="910" spans="1:10">
      <c r="A910" s="25"/>
      <c r="B910" s="15"/>
      <c r="C910" s="15"/>
      <c r="E910" s="15"/>
      <c r="F910" s="17"/>
      <c r="G910" s="26"/>
      <c r="H910" s="26"/>
      <c r="I910" s="26"/>
      <c r="J910" s="26"/>
    </row>
    <row r="911" spans="1:10">
      <c r="A911" s="25"/>
      <c r="B911" s="15"/>
      <c r="C911" s="15"/>
      <c r="E911" s="15"/>
      <c r="F911" s="17"/>
      <c r="G911" s="26"/>
      <c r="H911" s="26"/>
      <c r="I911" s="26"/>
      <c r="J911" s="26"/>
    </row>
    <row r="912" spans="1:10">
      <c r="A912" s="25"/>
      <c r="B912" s="15"/>
      <c r="C912" s="15"/>
      <c r="E912" s="15"/>
      <c r="F912" s="17"/>
      <c r="G912" s="26"/>
      <c r="H912" s="26"/>
      <c r="I912" s="26"/>
      <c r="J912" s="26"/>
    </row>
    <row r="913" spans="1:10">
      <c r="A913" s="25"/>
      <c r="B913" s="15"/>
      <c r="C913" s="15"/>
      <c r="E913" s="15"/>
      <c r="F913" s="17"/>
      <c r="G913" s="26"/>
      <c r="H913" s="26"/>
      <c r="I913" s="26"/>
      <c r="J913" s="26"/>
    </row>
    <row r="914" spans="1:10">
      <c r="A914" s="25"/>
      <c r="B914" s="15"/>
      <c r="C914" s="15"/>
      <c r="E914" s="15"/>
      <c r="F914" s="17"/>
      <c r="G914" s="26"/>
      <c r="H914" s="26"/>
      <c r="I914" s="26"/>
      <c r="J914" s="26"/>
    </row>
    <row r="915" spans="1:10">
      <c r="A915" s="25"/>
      <c r="B915" s="15"/>
      <c r="C915" s="15"/>
      <c r="E915" s="15"/>
      <c r="F915" s="17"/>
      <c r="G915" s="26"/>
      <c r="H915" s="26"/>
      <c r="I915" s="26"/>
      <c r="J915" s="26"/>
    </row>
    <row r="916" spans="1:10">
      <c r="A916" s="25"/>
      <c r="B916" s="15"/>
      <c r="C916" s="15"/>
      <c r="E916" s="15"/>
      <c r="F916" s="17"/>
      <c r="G916" s="26"/>
      <c r="H916" s="26"/>
      <c r="I916" s="26"/>
      <c r="J916" s="26"/>
    </row>
    <row r="917" spans="1:10">
      <c r="A917" s="25"/>
      <c r="B917" s="15"/>
      <c r="C917" s="15"/>
      <c r="E917" s="15"/>
      <c r="F917" s="17"/>
      <c r="G917" s="26"/>
      <c r="H917" s="26"/>
      <c r="I917" s="26"/>
      <c r="J917" s="26"/>
    </row>
    <row r="918" spans="1:10">
      <c r="A918" s="25"/>
      <c r="B918" s="15"/>
      <c r="C918" s="15"/>
      <c r="E918" s="15"/>
      <c r="F918" s="17"/>
      <c r="G918" s="26"/>
      <c r="H918" s="26"/>
      <c r="I918" s="26"/>
      <c r="J918" s="26"/>
    </row>
    <row r="919" spans="1:10">
      <c r="A919" s="25"/>
      <c r="B919" s="15"/>
      <c r="C919" s="15"/>
      <c r="E919" s="15"/>
      <c r="F919" s="17"/>
      <c r="G919" s="26"/>
      <c r="H919" s="26"/>
      <c r="I919" s="26"/>
      <c r="J919" s="26"/>
    </row>
    <row r="920" spans="1:10">
      <c r="A920" s="25"/>
      <c r="B920" s="15"/>
      <c r="C920" s="15"/>
      <c r="E920" s="15"/>
      <c r="F920" s="17"/>
      <c r="G920" s="26"/>
      <c r="H920" s="26"/>
      <c r="I920" s="26"/>
      <c r="J920" s="26"/>
    </row>
    <row r="921" spans="1:10">
      <c r="A921" s="25"/>
      <c r="B921" s="15"/>
      <c r="C921" s="15"/>
      <c r="E921" s="15"/>
      <c r="F921" s="17"/>
      <c r="G921" s="26"/>
      <c r="H921" s="26"/>
      <c r="I921" s="26"/>
      <c r="J921" s="26"/>
    </row>
    <row r="922" spans="1:10">
      <c r="A922" s="25"/>
      <c r="B922" s="15"/>
      <c r="C922" s="15"/>
      <c r="E922" s="15"/>
      <c r="F922" s="17"/>
      <c r="G922" s="26"/>
      <c r="H922" s="26"/>
      <c r="I922" s="26"/>
      <c r="J922" s="26"/>
    </row>
    <row r="923" spans="1:10">
      <c r="A923" s="25"/>
      <c r="B923" s="15"/>
      <c r="C923" s="15"/>
      <c r="E923" s="15"/>
      <c r="F923" s="17"/>
      <c r="G923" s="26"/>
      <c r="H923" s="26"/>
      <c r="I923" s="26"/>
      <c r="J923" s="26"/>
    </row>
    <row r="924" spans="1:10">
      <c r="A924" s="25"/>
      <c r="B924" s="15"/>
      <c r="C924" s="15"/>
      <c r="E924" s="15"/>
      <c r="F924" s="17"/>
      <c r="G924" s="26"/>
      <c r="H924" s="26"/>
      <c r="I924" s="26"/>
      <c r="J924" s="26"/>
    </row>
    <row r="925" spans="1:10">
      <c r="A925" s="25"/>
      <c r="B925" s="15"/>
      <c r="C925" s="15"/>
      <c r="E925" s="15"/>
      <c r="F925" s="17"/>
      <c r="G925" s="26"/>
      <c r="H925" s="26"/>
      <c r="I925" s="26"/>
      <c r="J925" s="26"/>
    </row>
    <row r="926" spans="1:10">
      <c r="A926" s="25"/>
      <c r="B926" s="15"/>
      <c r="C926" s="15"/>
      <c r="E926" s="15"/>
      <c r="F926" s="17"/>
      <c r="G926" s="26"/>
      <c r="H926" s="26"/>
      <c r="I926" s="26"/>
      <c r="J926" s="26"/>
    </row>
    <row r="927" spans="1:10">
      <c r="A927" s="25"/>
      <c r="B927" s="15"/>
      <c r="C927" s="15"/>
      <c r="E927" s="15"/>
      <c r="F927" s="17"/>
      <c r="G927" s="26"/>
      <c r="H927" s="26"/>
      <c r="I927" s="26"/>
      <c r="J927" s="26"/>
    </row>
    <row r="928" spans="1:10">
      <c r="A928" s="25"/>
      <c r="B928" s="15"/>
      <c r="C928" s="15"/>
      <c r="E928" s="15"/>
      <c r="F928" s="17"/>
      <c r="G928" s="26"/>
      <c r="H928" s="26"/>
      <c r="I928" s="26"/>
      <c r="J928" s="26"/>
    </row>
    <row r="929" spans="1:10">
      <c r="A929" s="25"/>
      <c r="B929" s="15"/>
      <c r="C929" s="15"/>
      <c r="E929" s="15"/>
      <c r="F929" s="17"/>
      <c r="G929" s="26"/>
      <c r="H929" s="26"/>
      <c r="I929" s="26"/>
      <c r="J929" s="26"/>
    </row>
    <row r="930" spans="1:10">
      <c r="A930" s="25"/>
      <c r="B930" s="15"/>
      <c r="C930" s="15"/>
      <c r="E930" s="15"/>
      <c r="F930" s="17"/>
      <c r="G930" s="26"/>
      <c r="H930" s="26"/>
      <c r="I930" s="26"/>
      <c r="J930" s="26"/>
    </row>
    <row r="931" spans="1:10">
      <c r="A931" s="25"/>
      <c r="B931" s="15"/>
      <c r="C931" s="15"/>
      <c r="E931" s="15"/>
      <c r="F931" s="17"/>
      <c r="G931" s="26"/>
      <c r="H931" s="26"/>
      <c r="I931" s="26"/>
      <c r="J931" s="26"/>
    </row>
    <row r="932" spans="1:10">
      <c r="A932" s="25"/>
      <c r="B932" s="15"/>
      <c r="C932" s="15"/>
      <c r="E932" s="15"/>
      <c r="F932" s="17"/>
      <c r="G932" s="26"/>
      <c r="H932" s="26"/>
      <c r="I932" s="26"/>
      <c r="J932" s="26"/>
    </row>
    <row r="933" spans="1:10">
      <c r="A933" s="25"/>
      <c r="B933" s="15"/>
      <c r="C933" s="15"/>
      <c r="E933" s="15"/>
      <c r="F933" s="17"/>
      <c r="G933" s="26"/>
      <c r="H933" s="26"/>
      <c r="I933" s="26"/>
      <c r="J933" s="26"/>
    </row>
    <row r="934" spans="1:10">
      <c r="A934" s="25"/>
      <c r="B934" s="15"/>
      <c r="C934" s="15"/>
      <c r="E934" s="15"/>
      <c r="F934" s="17"/>
      <c r="G934" s="26"/>
      <c r="H934" s="26"/>
      <c r="I934" s="26"/>
      <c r="J934" s="26"/>
    </row>
    <row r="935" spans="1:10">
      <c r="A935" s="25"/>
      <c r="B935" s="15"/>
      <c r="C935" s="15"/>
      <c r="E935" s="15"/>
      <c r="F935" s="17"/>
      <c r="G935" s="26"/>
      <c r="H935" s="26"/>
      <c r="I935" s="26"/>
      <c r="J935" s="26"/>
    </row>
    <row r="936" spans="1:10">
      <c r="A936" s="25"/>
      <c r="B936" s="15"/>
      <c r="C936" s="15"/>
      <c r="E936" s="15"/>
      <c r="F936" s="17"/>
      <c r="G936" s="26"/>
      <c r="H936" s="26"/>
      <c r="I936" s="26"/>
      <c r="J936" s="26"/>
    </row>
    <row r="937" spans="1:10">
      <c r="A937" s="25"/>
      <c r="B937" s="15"/>
      <c r="C937" s="15"/>
      <c r="E937" s="15"/>
      <c r="F937" s="17"/>
      <c r="G937" s="26"/>
      <c r="H937" s="26"/>
      <c r="I937" s="26"/>
      <c r="J937" s="26"/>
    </row>
    <row r="938" spans="1:10">
      <c r="A938" s="25"/>
      <c r="B938" s="15"/>
      <c r="C938" s="15"/>
      <c r="E938" s="15"/>
      <c r="F938" s="17"/>
      <c r="G938" s="26"/>
      <c r="H938" s="26"/>
      <c r="I938" s="26"/>
      <c r="J938" s="26"/>
    </row>
    <row r="939" spans="1:10">
      <c r="A939" s="25"/>
      <c r="B939" s="15"/>
      <c r="C939" s="15"/>
      <c r="E939" s="15"/>
      <c r="F939" s="17"/>
      <c r="G939" s="26"/>
      <c r="H939" s="26"/>
      <c r="I939" s="26"/>
      <c r="J939" s="26"/>
    </row>
    <row r="940" spans="1:10">
      <c r="A940" s="25"/>
      <c r="B940" s="15"/>
      <c r="C940" s="15"/>
      <c r="E940" s="15"/>
      <c r="F940" s="17"/>
      <c r="G940" s="26"/>
      <c r="H940" s="26"/>
      <c r="I940" s="26"/>
      <c r="J940" s="26"/>
    </row>
    <row r="941" spans="1:10">
      <c r="A941" s="25"/>
      <c r="B941" s="15"/>
      <c r="C941" s="15"/>
      <c r="E941" s="15"/>
      <c r="F941" s="17"/>
      <c r="G941" s="26"/>
      <c r="H941" s="26"/>
      <c r="I941" s="26"/>
      <c r="J941" s="26"/>
    </row>
    <row r="942" spans="1:10">
      <c r="A942" s="25"/>
      <c r="B942" s="15"/>
      <c r="C942" s="15"/>
      <c r="E942" s="15"/>
      <c r="F942" s="17"/>
      <c r="G942" s="26"/>
      <c r="H942" s="26"/>
      <c r="I942" s="26"/>
      <c r="J942" s="26"/>
    </row>
    <row r="943" spans="1:10">
      <c r="A943" s="25"/>
      <c r="B943" s="15"/>
      <c r="C943" s="15"/>
      <c r="E943" s="15"/>
      <c r="F943" s="17"/>
      <c r="G943" s="26"/>
      <c r="H943" s="26"/>
      <c r="I943" s="26"/>
      <c r="J943" s="26"/>
    </row>
    <row r="944" spans="1:10">
      <c r="A944" s="25"/>
      <c r="B944" s="15"/>
      <c r="C944" s="15"/>
      <c r="E944" s="15"/>
      <c r="F944" s="17"/>
      <c r="G944" s="26"/>
      <c r="H944" s="26"/>
      <c r="I944" s="26"/>
      <c r="J944" s="26"/>
    </row>
    <row r="945" spans="1:10">
      <c r="A945" s="25"/>
      <c r="B945" s="15"/>
      <c r="C945" s="15"/>
      <c r="E945" s="15"/>
      <c r="F945" s="17"/>
      <c r="G945" s="26"/>
      <c r="H945" s="26"/>
      <c r="I945" s="26"/>
      <c r="J945" s="26"/>
    </row>
    <row r="946" spans="1:10">
      <c r="A946" s="25"/>
      <c r="B946" s="15"/>
      <c r="C946" s="15"/>
      <c r="E946" s="15"/>
      <c r="F946" s="17"/>
      <c r="G946" s="26"/>
      <c r="H946" s="26"/>
      <c r="I946" s="26"/>
      <c r="J946" s="26"/>
    </row>
    <row r="947" spans="1:10">
      <c r="A947" s="25"/>
      <c r="B947" s="15"/>
      <c r="C947" s="15"/>
      <c r="E947" s="15"/>
      <c r="F947" s="17"/>
      <c r="G947" s="26"/>
      <c r="H947" s="26"/>
      <c r="I947" s="26"/>
      <c r="J947" s="26"/>
    </row>
    <row r="948" spans="1:10">
      <c r="A948" s="25"/>
      <c r="B948" s="15"/>
      <c r="C948" s="15"/>
      <c r="E948" s="15"/>
      <c r="F948" s="17"/>
      <c r="G948" s="26"/>
      <c r="H948" s="26"/>
      <c r="I948" s="26"/>
      <c r="J948" s="26"/>
    </row>
    <row r="949" spans="1:10">
      <c r="A949" s="25"/>
      <c r="B949" s="15"/>
      <c r="C949" s="15"/>
      <c r="E949" s="15"/>
      <c r="F949" s="17"/>
      <c r="G949" s="26"/>
      <c r="H949" s="26"/>
      <c r="I949" s="26"/>
      <c r="J949" s="26"/>
    </row>
    <row r="950" spans="1:10">
      <c r="A950" s="25"/>
      <c r="B950" s="15"/>
      <c r="C950" s="15"/>
      <c r="E950" s="15"/>
      <c r="F950" s="17"/>
      <c r="G950" s="26"/>
      <c r="H950" s="26"/>
      <c r="I950" s="26"/>
      <c r="J950" s="26"/>
    </row>
    <row r="951" spans="1:10">
      <c r="A951" s="25"/>
      <c r="B951" s="15"/>
      <c r="C951" s="15"/>
      <c r="E951" s="15"/>
      <c r="F951" s="17"/>
      <c r="G951" s="26"/>
      <c r="H951" s="26"/>
      <c r="I951" s="26"/>
      <c r="J951" s="26"/>
    </row>
    <row r="952" spans="1:10">
      <c r="A952" s="25"/>
      <c r="B952" s="15"/>
      <c r="C952" s="15"/>
      <c r="E952" s="15"/>
      <c r="F952" s="17"/>
      <c r="G952" s="26"/>
      <c r="H952" s="26"/>
      <c r="I952" s="26"/>
      <c r="J952" s="26"/>
    </row>
    <row r="953" spans="1:10">
      <c r="A953" s="25"/>
      <c r="B953" s="15"/>
      <c r="C953" s="15"/>
      <c r="E953" s="15"/>
      <c r="F953" s="17"/>
      <c r="G953" s="26"/>
      <c r="H953" s="26"/>
      <c r="I953" s="26"/>
      <c r="J953" s="26"/>
    </row>
    <row r="954" spans="1:10">
      <c r="A954" s="25"/>
      <c r="B954" s="15"/>
      <c r="C954" s="15"/>
      <c r="E954" s="15"/>
      <c r="F954" s="17"/>
      <c r="G954" s="26"/>
      <c r="H954" s="26"/>
      <c r="I954" s="26"/>
      <c r="J954" s="26"/>
    </row>
    <row r="955" spans="1:10">
      <c r="A955" s="25"/>
      <c r="B955" s="15"/>
      <c r="C955" s="15"/>
      <c r="E955" s="15"/>
      <c r="F955" s="17"/>
      <c r="G955" s="26"/>
      <c r="H955" s="26"/>
      <c r="I955" s="26"/>
      <c r="J955" s="26"/>
    </row>
    <row r="956" spans="1:10">
      <c r="A956" s="25"/>
      <c r="B956" s="15"/>
      <c r="C956" s="15"/>
      <c r="E956" s="15"/>
      <c r="F956" s="17"/>
      <c r="G956" s="26"/>
      <c r="H956" s="26"/>
      <c r="I956" s="26"/>
      <c r="J956" s="26"/>
    </row>
    <row r="957" spans="1:10">
      <c r="A957" s="25"/>
      <c r="B957" s="15"/>
      <c r="C957" s="15"/>
      <c r="E957" s="15"/>
      <c r="F957" s="17"/>
      <c r="G957" s="26"/>
      <c r="H957" s="26"/>
      <c r="I957" s="26"/>
      <c r="J957" s="26"/>
    </row>
    <row r="958" spans="1:10">
      <c r="A958" s="25"/>
      <c r="B958" s="15"/>
      <c r="C958" s="15"/>
      <c r="E958" s="15"/>
      <c r="F958" s="17"/>
      <c r="G958" s="26"/>
      <c r="H958" s="26"/>
      <c r="I958" s="26"/>
      <c r="J958" s="26"/>
    </row>
    <row r="959" spans="1:10">
      <c r="A959" s="25"/>
      <c r="B959" s="15"/>
      <c r="C959" s="15"/>
      <c r="E959" s="15"/>
      <c r="F959" s="17"/>
      <c r="G959" s="26"/>
      <c r="H959" s="26"/>
      <c r="I959" s="26"/>
      <c r="J959" s="26"/>
    </row>
    <row r="960" spans="1:10">
      <c r="A960" s="25"/>
      <c r="B960" s="15"/>
      <c r="C960" s="15"/>
      <c r="E960" s="15"/>
      <c r="F960" s="17"/>
      <c r="G960" s="26"/>
      <c r="H960" s="26"/>
      <c r="I960" s="26"/>
      <c r="J960" s="26"/>
    </row>
    <row r="961" spans="1:10">
      <c r="A961" s="25"/>
      <c r="B961" s="15"/>
      <c r="C961" s="15"/>
      <c r="E961" s="15"/>
      <c r="F961" s="17"/>
      <c r="G961" s="26"/>
      <c r="H961" s="26"/>
      <c r="I961" s="26"/>
      <c r="J961" s="26"/>
    </row>
    <row r="962" spans="1:10">
      <c r="A962" s="25"/>
      <c r="B962" s="15"/>
      <c r="C962" s="15"/>
      <c r="E962" s="15"/>
      <c r="F962" s="17"/>
      <c r="G962" s="26"/>
      <c r="H962" s="26"/>
      <c r="I962" s="26"/>
      <c r="J962" s="26"/>
    </row>
    <row r="963" spans="1:10">
      <c r="A963" s="25"/>
      <c r="B963" s="15"/>
      <c r="C963" s="15"/>
      <c r="E963" s="15"/>
      <c r="F963" s="17"/>
      <c r="G963" s="26"/>
      <c r="H963" s="26"/>
      <c r="I963" s="26"/>
      <c r="J963" s="26"/>
    </row>
    <row r="964" spans="1:10">
      <c r="A964" s="25"/>
      <c r="B964" s="15"/>
      <c r="C964" s="15"/>
      <c r="E964" s="15"/>
      <c r="F964" s="17"/>
      <c r="G964" s="26"/>
      <c r="H964" s="26"/>
      <c r="I964" s="26"/>
      <c r="J964" s="26"/>
    </row>
    <row r="965" spans="1:10">
      <c r="A965" s="25"/>
      <c r="B965" s="15"/>
      <c r="C965" s="15"/>
      <c r="E965" s="15"/>
      <c r="F965" s="17"/>
      <c r="G965" s="26"/>
      <c r="H965" s="26"/>
      <c r="I965" s="26"/>
      <c r="J965" s="26"/>
    </row>
    <row r="966" spans="1:10">
      <c r="A966" s="25"/>
      <c r="B966" s="15"/>
      <c r="C966" s="15"/>
      <c r="E966" s="15"/>
      <c r="F966" s="17"/>
      <c r="G966" s="26"/>
      <c r="H966" s="26"/>
      <c r="I966" s="26"/>
      <c r="J966" s="26"/>
    </row>
    <row r="967" spans="1:10">
      <c r="A967" s="25"/>
      <c r="B967" s="15"/>
      <c r="C967" s="15"/>
      <c r="E967" s="15"/>
      <c r="F967" s="17"/>
      <c r="G967" s="26"/>
      <c r="H967" s="26"/>
      <c r="I967" s="26"/>
      <c r="J967" s="26"/>
    </row>
    <row r="968" spans="1:10">
      <c r="A968" s="25"/>
      <c r="B968" s="15"/>
      <c r="C968" s="15"/>
      <c r="E968" s="15"/>
      <c r="F968" s="17"/>
      <c r="G968" s="26"/>
      <c r="H968" s="26"/>
      <c r="I968" s="26"/>
      <c r="J968" s="26"/>
    </row>
    <row r="969" spans="1:10">
      <c r="A969" s="25"/>
      <c r="B969" s="15"/>
      <c r="C969" s="15"/>
      <c r="E969" s="15"/>
      <c r="F969" s="17"/>
      <c r="G969" s="26"/>
      <c r="H969" s="26"/>
      <c r="I969" s="26"/>
      <c r="J969" s="26"/>
    </row>
    <row r="970" spans="1:10">
      <c r="A970" s="25"/>
      <c r="B970" s="15"/>
      <c r="C970" s="15"/>
      <c r="E970" s="15"/>
      <c r="F970" s="17"/>
      <c r="G970" s="26"/>
      <c r="H970" s="26"/>
      <c r="I970" s="26"/>
      <c r="J970" s="26"/>
    </row>
    <row r="971" spans="1:10">
      <c r="A971" s="25"/>
      <c r="B971" s="15"/>
      <c r="C971" s="15"/>
      <c r="E971" s="15"/>
      <c r="F971" s="17"/>
      <c r="G971" s="26"/>
      <c r="H971" s="26"/>
      <c r="I971" s="26"/>
      <c r="J971" s="26"/>
    </row>
    <row r="972" spans="1:10">
      <c r="A972" s="25"/>
      <c r="B972" s="15"/>
      <c r="C972" s="15"/>
      <c r="E972" s="15"/>
      <c r="F972" s="17"/>
      <c r="G972" s="26"/>
      <c r="H972" s="26"/>
      <c r="I972" s="26"/>
      <c r="J972" s="26"/>
    </row>
    <row r="973" spans="1:10">
      <c r="A973" s="25"/>
      <c r="B973" s="15"/>
      <c r="C973" s="15"/>
      <c r="E973" s="15"/>
      <c r="F973" s="17"/>
      <c r="G973" s="26"/>
      <c r="H973" s="26"/>
      <c r="I973" s="26"/>
      <c r="J973" s="26"/>
    </row>
    <row r="974" spans="1:10">
      <c r="A974" s="25"/>
      <c r="B974" s="15"/>
      <c r="C974" s="15"/>
      <c r="E974" s="15"/>
      <c r="F974" s="17"/>
      <c r="G974" s="26"/>
      <c r="H974" s="26"/>
      <c r="I974" s="26"/>
      <c r="J974" s="26"/>
    </row>
    <row r="975" spans="1:10">
      <c r="A975" s="25"/>
      <c r="B975" s="15"/>
      <c r="C975" s="15"/>
      <c r="E975" s="15"/>
      <c r="F975" s="17"/>
      <c r="G975" s="26"/>
      <c r="H975" s="26"/>
      <c r="I975" s="26"/>
      <c r="J975" s="26"/>
    </row>
    <row r="976" spans="1:10">
      <c r="A976" s="25"/>
      <c r="B976" s="15"/>
      <c r="C976" s="15"/>
      <c r="E976" s="15"/>
      <c r="F976" s="17"/>
      <c r="G976" s="26"/>
      <c r="H976" s="26"/>
      <c r="I976" s="26"/>
      <c r="J976" s="26"/>
    </row>
    <row r="977" spans="1:10">
      <c r="A977" s="25"/>
      <c r="B977" s="15"/>
      <c r="C977" s="15"/>
      <c r="E977" s="15"/>
      <c r="F977" s="17"/>
      <c r="G977" s="26"/>
      <c r="H977" s="26"/>
      <c r="I977" s="26"/>
      <c r="J977" s="26"/>
    </row>
    <row r="978" spans="1:10">
      <c r="A978" s="25"/>
      <c r="B978" s="15"/>
      <c r="C978" s="15"/>
      <c r="E978" s="15"/>
      <c r="F978" s="17"/>
      <c r="G978" s="26"/>
      <c r="H978" s="26"/>
      <c r="I978" s="26"/>
      <c r="J978" s="26"/>
    </row>
    <row r="979" spans="1:10">
      <c r="A979" s="25"/>
      <c r="B979" s="15"/>
      <c r="C979" s="15"/>
      <c r="E979" s="15"/>
      <c r="F979" s="17"/>
      <c r="G979" s="26"/>
      <c r="H979" s="26"/>
      <c r="I979" s="26"/>
      <c r="J979" s="26"/>
    </row>
    <row r="980" spans="1:10">
      <c r="A980" s="25"/>
      <c r="B980" s="15"/>
      <c r="C980" s="15"/>
      <c r="E980" s="15"/>
      <c r="F980" s="17"/>
      <c r="G980" s="26"/>
      <c r="H980" s="26"/>
      <c r="I980" s="26"/>
      <c r="J980" s="26"/>
    </row>
    <row r="981" spans="1:10">
      <c r="A981" s="25"/>
      <c r="B981" s="15"/>
      <c r="C981" s="15"/>
      <c r="E981" s="15"/>
      <c r="F981" s="17"/>
      <c r="G981" s="26"/>
      <c r="H981" s="26"/>
      <c r="I981" s="26"/>
      <c r="J981" s="26"/>
    </row>
    <row r="982" spans="1:10">
      <c r="A982" s="25"/>
      <c r="B982" s="15"/>
      <c r="C982" s="15"/>
      <c r="E982" s="15"/>
      <c r="F982" s="17"/>
      <c r="G982" s="26"/>
      <c r="H982" s="26"/>
      <c r="I982" s="26"/>
      <c r="J982" s="26"/>
    </row>
    <row r="983" spans="1:10">
      <c r="A983" s="25"/>
      <c r="B983" s="15"/>
      <c r="C983" s="15"/>
      <c r="E983" s="15"/>
      <c r="F983" s="17"/>
      <c r="G983" s="26"/>
      <c r="H983" s="26"/>
      <c r="I983" s="26"/>
      <c r="J983" s="26"/>
    </row>
    <row r="984" spans="1:10">
      <c r="A984" s="25"/>
      <c r="B984" s="15"/>
      <c r="C984" s="15"/>
      <c r="E984" s="15"/>
      <c r="F984" s="17"/>
      <c r="G984" s="26"/>
      <c r="H984" s="26"/>
      <c r="I984" s="26"/>
      <c r="J984" s="26"/>
    </row>
    <row r="985" spans="1:10">
      <c r="A985" s="25"/>
      <c r="B985" s="15"/>
      <c r="C985" s="15"/>
      <c r="E985" s="15"/>
      <c r="F985" s="17"/>
      <c r="G985" s="26"/>
      <c r="H985" s="26"/>
      <c r="I985" s="26"/>
      <c r="J985" s="26"/>
    </row>
    <row r="986" spans="1:10">
      <c r="A986" s="25"/>
      <c r="B986" s="15"/>
      <c r="C986" s="15"/>
      <c r="E986" s="15"/>
      <c r="F986" s="17"/>
      <c r="G986" s="26"/>
      <c r="H986" s="26"/>
      <c r="I986" s="26"/>
      <c r="J986" s="26"/>
    </row>
    <row r="987" spans="1:10">
      <c r="A987" s="25"/>
      <c r="B987" s="15"/>
      <c r="C987" s="15"/>
      <c r="E987" s="15"/>
      <c r="F987" s="17"/>
      <c r="G987" s="26"/>
      <c r="H987" s="26"/>
      <c r="I987" s="26"/>
      <c r="J987" s="26"/>
    </row>
    <row r="988" spans="1:10">
      <c r="A988" s="25"/>
      <c r="B988" s="15"/>
      <c r="C988" s="15"/>
      <c r="E988" s="15"/>
      <c r="F988" s="17"/>
      <c r="G988" s="26"/>
      <c r="H988" s="26"/>
      <c r="I988" s="26"/>
      <c r="J988" s="26"/>
    </row>
    <row r="989" spans="1:10">
      <c r="A989" s="25"/>
      <c r="B989" s="15"/>
      <c r="C989" s="15"/>
      <c r="E989" s="15"/>
      <c r="F989" s="17"/>
      <c r="G989" s="26"/>
      <c r="H989" s="26"/>
      <c r="I989" s="26"/>
      <c r="J989" s="26"/>
    </row>
    <row r="990" spans="1:10">
      <c r="A990" s="25"/>
      <c r="B990" s="15"/>
      <c r="C990" s="15"/>
      <c r="E990" s="15"/>
      <c r="F990" s="17"/>
      <c r="G990" s="26"/>
      <c r="H990" s="26"/>
      <c r="I990" s="26"/>
      <c r="J990" s="26"/>
    </row>
    <row r="991" spans="1:10">
      <c r="A991" s="25"/>
      <c r="B991" s="15"/>
      <c r="C991" s="15"/>
      <c r="E991" s="15"/>
      <c r="F991" s="17"/>
      <c r="G991" s="26"/>
      <c r="H991" s="26"/>
      <c r="I991" s="26"/>
      <c r="J991" s="26"/>
    </row>
    <row r="992" spans="1:10">
      <c r="A992" s="25"/>
      <c r="B992" s="15"/>
      <c r="C992" s="15"/>
      <c r="E992" s="15"/>
      <c r="F992" s="17"/>
      <c r="G992" s="26"/>
      <c r="H992" s="26"/>
      <c r="I992" s="26"/>
      <c r="J992" s="26"/>
    </row>
    <row r="993" spans="1:10">
      <c r="A993" s="25"/>
      <c r="B993" s="15"/>
      <c r="C993" s="15"/>
      <c r="E993" s="15"/>
      <c r="F993" s="17"/>
      <c r="G993" s="26"/>
      <c r="H993" s="26"/>
      <c r="I993" s="26"/>
      <c r="J993" s="26"/>
    </row>
    <row r="994" spans="1:10">
      <c r="A994" s="25"/>
      <c r="B994" s="15"/>
      <c r="C994" s="15"/>
      <c r="E994" s="15"/>
      <c r="F994" s="17"/>
      <c r="G994" s="26"/>
      <c r="H994" s="26"/>
      <c r="I994" s="26"/>
      <c r="J994" s="26"/>
    </row>
    <row r="995" spans="1:10">
      <c r="A995" s="25"/>
      <c r="B995" s="15"/>
      <c r="C995" s="15"/>
      <c r="E995" s="15"/>
      <c r="F995" s="17"/>
      <c r="G995" s="26"/>
      <c r="H995" s="26"/>
      <c r="I995" s="26"/>
      <c r="J995" s="26"/>
    </row>
    <row r="996" spans="1:10">
      <c r="A996" s="25"/>
      <c r="B996" s="15"/>
      <c r="C996" s="15"/>
      <c r="E996" s="15"/>
      <c r="F996" s="17"/>
      <c r="G996" s="26"/>
      <c r="H996" s="26"/>
      <c r="I996" s="26"/>
      <c r="J996" s="26"/>
    </row>
    <row r="997" spans="1:10">
      <c r="A997" s="25"/>
      <c r="B997" s="15"/>
      <c r="C997" s="15"/>
      <c r="E997" s="15"/>
      <c r="F997" s="17"/>
      <c r="G997" s="26"/>
      <c r="H997" s="26"/>
      <c r="I997" s="26"/>
      <c r="J997" s="26"/>
    </row>
    <row r="998" spans="1:10">
      <c r="A998" s="25"/>
      <c r="B998" s="15"/>
      <c r="C998" s="15"/>
      <c r="E998" s="15"/>
      <c r="F998" s="17"/>
      <c r="G998" s="26"/>
      <c r="H998" s="26"/>
      <c r="I998" s="26"/>
      <c r="J998" s="26"/>
    </row>
    <row r="999" spans="1:10">
      <c r="A999" s="25"/>
      <c r="B999" s="15"/>
      <c r="C999" s="15"/>
      <c r="E999" s="15"/>
      <c r="F999" s="17"/>
      <c r="G999" s="26"/>
      <c r="H999" s="26"/>
      <c r="I999" s="26"/>
      <c r="J999" s="26"/>
    </row>
    <row r="1000" spans="1:10">
      <c r="A1000" s="25"/>
      <c r="B1000" s="15"/>
      <c r="C1000" s="15"/>
      <c r="E1000" s="15"/>
      <c r="F1000" s="17"/>
      <c r="G1000" s="26"/>
      <c r="H1000" s="26"/>
      <c r="I1000" s="26"/>
      <c r="J1000" s="26"/>
    </row>
    <row r="1001" spans="1:10">
      <c r="A1001" s="25"/>
      <c r="B1001" s="15"/>
      <c r="C1001" s="15"/>
      <c r="E1001" s="15"/>
      <c r="F1001" s="17"/>
      <c r="G1001" s="26"/>
      <c r="H1001" s="26"/>
      <c r="I1001" s="26"/>
      <c r="J1001" s="26"/>
    </row>
    <row r="1002" spans="1:10">
      <c r="A1002" s="25"/>
      <c r="B1002" s="15"/>
      <c r="C1002" s="15"/>
      <c r="E1002" s="15"/>
      <c r="F1002" s="17"/>
      <c r="G1002" s="26"/>
      <c r="H1002" s="26"/>
      <c r="I1002" s="26"/>
      <c r="J1002" s="26"/>
    </row>
    <row r="1003" spans="1:10">
      <c r="A1003" s="25"/>
      <c r="B1003" s="15"/>
      <c r="C1003" s="15"/>
      <c r="E1003" s="15"/>
      <c r="F1003" s="17"/>
      <c r="G1003" s="26"/>
      <c r="H1003" s="26"/>
      <c r="I1003" s="26"/>
      <c r="J1003" s="26"/>
    </row>
  </sheetData>
  <mergeCells count="2">
    <mergeCell ref="G2:K2"/>
    <mergeCell ref="A1:K1"/>
  </mergeCells>
  <phoneticPr fontId="5" type="noConversion"/>
  <hyperlinks>
    <hyperlink ref="G5" r:id="rId1" xr:uid="{00000000-0004-0000-0100-000000000000}"/>
    <hyperlink ref="G9" r:id="rId2" xr:uid="{00000000-0004-0000-0100-000001000000}"/>
    <hyperlink ref="H9" r:id="rId3" xr:uid="{00000000-0004-0000-0100-000002000000}"/>
    <hyperlink ref="I9" r:id="rId4" xr:uid="{00000000-0004-0000-0100-000003000000}"/>
    <hyperlink ref="J9" r:id="rId5" xr:uid="{00000000-0004-0000-0100-000004000000}"/>
    <hyperlink ref="K9" r:id="rId6" xr:uid="{00000000-0004-0000-0100-000005000000}"/>
    <hyperlink ref="G10" r:id="rId7" xr:uid="{00000000-0004-0000-0100-000006000000}"/>
    <hyperlink ref="H10" r:id="rId8" xr:uid="{00000000-0004-0000-0100-000007000000}"/>
    <hyperlink ref="G11" r:id="rId9" xr:uid="{30F45B66-87E7-466C-AFE3-8E91997EE31D}"/>
    <hyperlink ref="G12" r:id="rId10" display="240510 光泉" xr:uid="{9F39CF20-B6C3-4009-A9BF-DB40227E21BA}"/>
    <hyperlink ref="H15" r:id="rId11" xr:uid="{82A2D1DA-C222-4A72-A2C1-6FBB56B444B1}"/>
    <hyperlink ref="G15" r:id="rId12" xr:uid="{8A5B663D-6145-4843-A6C5-A7876248592F}"/>
    <hyperlink ref="G16" r:id="rId13" xr:uid="{F41C903F-6586-47B6-B718-B62927468307}"/>
    <hyperlink ref="G17" r:id="rId14" xr:uid="{7D3E45D9-22FB-41FF-8B9D-C60EA0D5DE37}"/>
    <hyperlink ref="H17" r:id="rId15" xr:uid="{5475F59D-B783-4199-A6D4-EE31E65E04D9}"/>
    <hyperlink ref="I17" r:id="rId16" xr:uid="{F53F07D1-1AF0-4BBD-ACA7-2C520FBDA6EE}"/>
    <hyperlink ref="G24" r:id="rId17" xr:uid="{2E67C667-ACBB-4120-B2A2-E7FDC5068794}"/>
    <hyperlink ref="I24" r:id="rId18" xr:uid="{0A88F429-C7F1-47A8-ABED-62793659B0ED}"/>
    <hyperlink ref="H24" r:id="rId19" xr:uid="{1E3B57EA-A56B-408E-9099-B0A1F1B8E499}"/>
    <hyperlink ref="G29" r:id="rId20" xr:uid="{F1346599-2C89-40FF-A641-3177FDBCA67C}"/>
    <hyperlink ref="G30" r:id="rId21" xr:uid="{20B38D09-162E-442B-9821-CB28A45B29B1}"/>
    <hyperlink ref="G19" r:id="rId22" xr:uid="{6469CB64-44A0-497B-8A17-118E26F5FCCA}"/>
    <hyperlink ref="G33" r:id="rId23" xr:uid="{05C94BBB-F76A-446E-8845-DDF37AF5E8E8}"/>
    <hyperlink ref="H33" r:id="rId24" xr:uid="{1632B6B7-384C-4EB3-A350-B121F58365B1}"/>
    <hyperlink ref="G34" r:id="rId25" xr:uid="{9C80294E-C876-4F78-A10D-8BA0B613FF90}"/>
    <hyperlink ref="I34" r:id="rId26" xr:uid="{FEB48EBA-0631-4A24-9FFA-10F2B868D163}"/>
    <hyperlink ref="H34" r:id="rId27" xr:uid="{0AB52E4A-AD9B-49B7-B561-D53F8C2D948F}"/>
    <hyperlink ref="G22" r:id="rId28" xr:uid="{5946C64E-336B-4811-A1B2-A975DDB70BBB}"/>
  </hyperlinks>
  <pageMargins left="0" right="0" top="0" bottom="0" header="0" footer="0"/>
  <pageSetup paperSize="9" scale="74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具名範圍</vt:lpstr>
      </vt:variant>
      <vt:variant>
        <vt:i4>9</vt:i4>
      </vt:variant>
    </vt:vector>
  </HeadingPairs>
  <TitlesOfParts>
    <vt:vector size="27" baseType="lpstr">
      <vt:lpstr>2501現金日記帳 </vt:lpstr>
      <vt:lpstr>2412現金日記帳  </vt:lpstr>
      <vt:lpstr>2501費用明細憑證</vt:lpstr>
      <vt:lpstr>2412費用明細憑證 </vt:lpstr>
      <vt:lpstr>2411費用明細憑證</vt:lpstr>
      <vt:lpstr>2411現金日記帳 </vt:lpstr>
      <vt:lpstr>2410現金日記帳</vt:lpstr>
      <vt:lpstr>2410費用明細憑證</vt:lpstr>
      <vt:lpstr>2409現金日記帳</vt:lpstr>
      <vt:lpstr>2409費用明細憑證</vt:lpstr>
      <vt:lpstr>2408現金日記帳</vt:lpstr>
      <vt:lpstr>2408費用明細憑證 </vt:lpstr>
      <vt:lpstr>2407現金日記帳</vt:lpstr>
      <vt:lpstr>2407費用明細憑證</vt:lpstr>
      <vt:lpstr>2406現金日記帳</vt:lpstr>
      <vt:lpstr>2406費用明細憑證</vt:lpstr>
      <vt:lpstr>2405現金日記帳</vt:lpstr>
      <vt:lpstr>2405費用明細憑證</vt:lpstr>
      <vt:lpstr>'2405現金日記帳'!Print_Area</vt:lpstr>
      <vt:lpstr>'2406現金日記帳'!Print_Area</vt:lpstr>
      <vt:lpstr>'2407現金日記帳'!Print_Area</vt:lpstr>
      <vt:lpstr>'2408現金日記帳'!Print_Area</vt:lpstr>
      <vt:lpstr>'2409現金日記帳'!Print_Area</vt:lpstr>
      <vt:lpstr>'2410現金日記帳'!Print_Area</vt:lpstr>
      <vt:lpstr>'2411現金日記帳 '!Print_Area</vt:lpstr>
      <vt:lpstr>'2412現金日記帳  '!Print_Area</vt:lpstr>
      <vt:lpstr>'2501現金日記帳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江政隆</dc:creator>
  <cp:keywords/>
  <dc:description/>
  <cp:lastModifiedBy>政隆 江</cp:lastModifiedBy>
  <cp:revision/>
  <dcterms:created xsi:type="dcterms:W3CDTF">2024-05-08T06:49:36Z</dcterms:created>
  <dcterms:modified xsi:type="dcterms:W3CDTF">2025-01-27T01:59:55Z</dcterms:modified>
  <cp:category/>
  <cp:contentStatus/>
</cp:coreProperties>
</file>