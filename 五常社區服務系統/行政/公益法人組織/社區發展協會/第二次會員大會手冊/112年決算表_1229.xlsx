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9\五常社區總體營造(閉鎖型)股份有限公司 Dropbox\社區發展協會\"/>
    </mc:Choice>
  </mc:AlternateContent>
  <xr:revisionPtr revIDLastSave="0" documentId="13_ncr:1_{73EF6B04-4105-4F81-8444-C6E551569C91}" xr6:coauthVersionLast="36" xr6:coauthVersionMax="36" xr10:uidLastSave="{00000000-0000-0000-0000-000000000000}"/>
  <bookViews>
    <workbookView xWindow="0" yWindow="0" windowWidth="14380" windowHeight="3930" activeTab="1" xr2:uid="{8ED32819-F8E6-4EB5-BCC9-6C1512D821FC}"/>
  </bookViews>
  <sheets>
    <sheet name="112決算表" sheetId="1" r:id="rId1"/>
    <sheet name="112預算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I20" i="1" l="1"/>
  <c r="I17" i="1"/>
  <c r="I18" i="1"/>
  <c r="I19" i="1"/>
  <c r="I21" i="1"/>
  <c r="I22" i="1"/>
  <c r="I37" i="1"/>
  <c r="I25" i="1"/>
  <c r="I26" i="1"/>
  <c r="I27" i="1"/>
  <c r="I28" i="1"/>
  <c r="I29" i="1"/>
  <c r="I30" i="1"/>
  <c r="I31" i="1"/>
  <c r="I32" i="1"/>
  <c r="I33" i="1"/>
  <c r="I34" i="1"/>
  <c r="I35" i="1"/>
  <c r="I36" i="1"/>
  <c r="I38" i="1"/>
  <c r="I39" i="1"/>
  <c r="I40" i="1"/>
  <c r="I41" i="1"/>
  <c r="I42" i="1"/>
  <c r="I43" i="1"/>
  <c r="I24" i="1"/>
  <c r="E34" i="2"/>
  <c r="E23" i="2"/>
  <c r="G14" i="2"/>
  <c r="E16" i="2"/>
  <c r="E7" i="1"/>
  <c r="E44" i="1"/>
  <c r="F34" i="2" l="1"/>
  <c r="G24" i="2"/>
  <c r="G25" i="2"/>
  <c r="G26" i="2"/>
  <c r="G27" i="2"/>
  <c r="G28" i="2"/>
  <c r="G29" i="2"/>
  <c r="G30" i="2"/>
  <c r="G31" i="2"/>
  <c r="G32" i="2"/>
  <c r="G33" i="2"/>
  <c r="G35" i="2"/>
  <c r="G36" i="2"/>
  <c r="G37" i="2"/>
  <c r="G38" i="2"/>
  <c r="G39" i="2"/>
  <c r="G40" i="2"/>
  <c r="G42" i="2"/>
  <c r="G44" i="2"/>
  <c r="G8" i="2"/>
  <c r="G9" i="2"/>
  <c r="G10" i="2"/>
  <c r="G12" i="2"/>
  <c r="G13" i="2"/>
  <c r="G16" i="2"/>
  <c r="G17" i="2"/>
  <c r="G18" i="2"/>
  <c r="G19" i="2"/>
  <c r="G20" i="2"/>
  <c r="G21" i="2"/>
  <c r="G22" i="2"/>
  <c r="G34" i="2" l="1"/>
  <c r="E7" i="2"/>
  <c r="F43" i="2"/>
  <c r="E43" i="2"/>
  <c r="G43" i="2" s="1"/>
  <c r="F41" i="2"/>
  <c r="E41" i="2"/>
  <c r="G41" i="2" s="1"/>
  <c r="F39" i="2"/>
  <c r="E39" i="2"/>
  <c r="F23" i="2"/>
  <c r="G23" i="2"/>
  <c r="F16" i="2"/>
  <c r="F7" i="2"/>
  <c r="F16" i="1"/>
  <c r="F23" i="1"/>
  <c r="E23" i="1"/>
  <c r="F7" i="1"/>
  <c r="F38" i="1"/>
  <c r="F34" i="1"/>
  <c r="G34" i="1" s="1"/>
  <c r="E34" i="1"/>
  <c r="G27" i="1"/>
  <c r="G28" i="1"/>
  <c r="G29" i="1"/>
  <c r="G30" i="1"/>
  <c r="G31" i="1"/>
  <c r="G32" i="1"/>
  <c r="G33" i="1"/>
  <c r="G35" i="1"/>
  <c r="G36" i="1"/>
  <c r="G37" i="1"/>
  <c r="G39" i="1"/>
  <c r="G41" i="1"/>
  <c r="G43" i="1"/>
  <c r="F42" i="1"/>
  <c r="G42" i="1" s="1"/>
  <c r="E42" i="1"/>
  <c r="F40" i="1"/>
  <c r="G40" i="1" s="1"/>
  <c r="E40" i="1"/>
  <c r="E38" i="1"/>
  <c r="G10" i="1"/>
  <c r="G12" i="1"/>
  <c r="G13" i="1"/>
  <c r="G9" i="1"/>
  <c r="G14" i="1"/>
  <c r="G7" i="2" l="1"/>
  <c r="E15" i="2"/>
  <c r="E45" i="2" s="1"/>
  <c r="F15" i="2"/>
  <c r="G26" i="1"/>
  <c r="G38" i="1"/>
  <c r="F15" i="1"/>
  <c r="G11" i="1"/>
  <c r="G7" i="1" s="1"/>
  <c r="G15" i="2" l="1"/>
  <c r="G25" i="1"/>
  <c r="G24" i="1" l="1"/>
  <c r="G23" i="1" l="1"/>
  <c r="G22" i="1" l="1"/>
  <c r="G21" i="1" l="1"/>
  <c r="G20" i="1" l="1"/>
  <c r="G19" i="1" l="1"/>
  <c r="G18" i="1" l="1"/>
  <c r="E16" i="1" l="1"/>
  <c r="G17" i="1"/>
  <c r="G16" i="1" l="1"/>
  <c r="E15" i="1"/>
  <c r="G15" i="1" s="1"/>
</calcChain>
</file>

<file path=xl/sharedStrings.xml><?xml version="1.0" encoding="utf-8"?>
<sst xmlns="http://schemas.openxmlformats.org/spreadsheetml/2006/main" count="295" uniqueCount="116">
  <si>
    <t>科     目 </t>
  </si>
  <si>
    <t>　 </t>
  </si>
  <si>
    <t>理事長、理監事、本會顧問捐款 </t>
  </si>
  <si>
    <t>政府教育補助及辦理各項活動收入 </t>
  </si>
  <si>
    <t>預算編列含加班費 </t>
  </si>
  <si>
    <t>111年度影印機租金耗材 </t>
  </si>
  <si>
    <t>111年度會所之水、電費 </t>
  </si>
  <si>
    <t>幹部會議便當費用 </t>
  </si>
  <si>
    <t>110年度會員慰問金 </t>
  </si>
  <si>
    <r>
      <t>　</t>
    </r>
    <r>
      <rPr>
        <sz val="12"/>
        <rFont val="標楷體"/>
        <family val="4"/>
        <charset val="136"/>
      </rPr>
      <t> </t>
    </r>
  </si>
  <si>
    <t>一般費用支出合計 </t>
    <phoneticPr fontId="3" type="noConversion"/>
  </si>
  <si>
    <t>總幹事自行加保 </t>
    <phoneticPr fontId="3" type="noConversion"/>
  </si>
  <si>
    <t>111年度一般帳戶結餘總計 </t>
    <phoneticPr fontId="3" type="noConversion"/>
  </si>
  <si>
    <t>112年度一般帳戶結餘總計 </t>
    <phoneticPr fontId="3" type="noConversion"/>
  </si>
  <si>
    <t xml:space="preserve">勞保個人保費負擔+退休金個人提撥 </t>
    <phoneticPr fontId="3" type="noConversion"/>
  </si>
  <si>
    <t xml:space="preserve">為節省開支不編列加班費 </t>
    <phoneticPr fontId="3" type="noConversion"/>
  </si>
  <si>
    <t>依據會務人員遴選管理考核辦法</t>
    <phoneticPr fontId="3" type="noConversion"/>
  </si>
  <si>
    <t xml:space="preserve">36000x0.06x12 </t>
    <phoneticPr fontId="3" type="noConversion"/>
  </si>
  <si>
    <t>　 </t>
    <phoneticPr fontId="3" type="noConversion"/>
  </si>
  <si>
    <t xml:space="preserve">團保兩名 </t>
    <phoneticPr fontId="3" type="noConversion"/>
  </si>
  <si>
    <t>幹部會議便當費用 </t>
    <phoneticPr fontId="3" type="noConversion"/>
  </si>
  <si>
    <t>由五常社區總體營造公司承攬</t>
    <phoneticPr fontId="3" type="noConversion"/>
  </si>
  <si>
    <t>(職保+就保)+健保$3089+$1768x12月</t>
    <phoneticPr fontId="3" type="noConversion"/>
  </si>
  <si>
    <t xml:space="preserve">130人x年費$1200 </t>
    <phoneticPr fontId="3" type="noConversion"/>
  </si>
  <si>
    <t>一般費用 收入合計　 </t>
    <phoneticPr fontId="3" type="noConversion"/>
  </si>
  <si>
    <t>預算數</t>
    <phoneticPr fontId="3" type="noConversion"/>
  </si>
  <si>
    <t>決算數</t>
    <phoneticPr fontId="3" type="noConversion"/>
  </si>
  <si>
    <t>餘(絀) </t>
    <phoneticPr fontId="3" type="noConversion"/>
  </si>
  <si>
    <t>項   目</t>
    <phoneticPr fontId="3" type="noConversion"/>
  </si>
  <si>
    <t>單位：新臺幣/元</t>
    <phoneticPr fontId="3" type="noConversion"/>
  </si>
  <si>
    <t>財務決算表</t>
    <phoneticPr fontId="3" type="noConversion"/>
  </si>
  <si>
    <t>一般費用收入 合計　 </t>
    <phoneticPr fontId="3" type="noConversion"/>
  </si>
  <si>
    <t>一般費用支出 合計 </t>
    <phoneticPr fontId="3" type="noConversion"/>
  </si>
  <si>
    <t>一般帳戶預算表</t>
    <phoneticPr fontId="3" type="noConversion"/>
  </si>
  <si>
    <t xml:space="preserve">  人事費 </t>
    <phoneticPr fontId="3" type="noConversion"/>
  </si>
  <si>
    <t xml:space="preserve">    職員薪資 </t>
    <phoneticPr fontId="3" type="noConversion"/>
  </si>
  <si>
    <t xml:space="preserve">    法務顧問費 </t>
    <phoneticPr fontId="3" type="noConversion"/>
  </si>
  <si>
    <t xml:space="preserve">    年節慰勞金 </t>
    <phoneticPr fontId="3" type="noConversion"/>
  </si>
  <si>
    <t xml:space="preserve">    會務人員勞健保費 </t>
    <phoneticPr fontId="3" type="noConversion"/>
  </si>
  <si>
    <t xml:space="preserve">    會務人員退休提撥金 </t>
    <phoneticPr fontId="3" type="noConversion"/>
  </si>
  <si>
    <t xml:space="preserve">    保險費 </t>
    <phoneticPr fontId="3" type="noConversion"/>
  </si>
  <si>
    <t xml:space="preserve">    文具費 </t>
    <phoneticPr fontId="3" type="noConversion"/>
  </si>
  <si>
    <t xml:space="preserve">    印刷文具費 </t>
    <phoneticPr fontId="3" type="noConversion"/>
  </si>
  <si>
    <t xml:space="preserve">    郵電費 </t>
    <phoneticPr fontId="3" type="noConversion"/>
  </si>
  <si>
    <t xml:space="preserve">    書報費 </t>
    <phoneticPr fontId="3" type="noConversion"/>
  </si>
  <si>
    <t xml:space="preserve">    公共關係費 </t>
    <phoneticPr fontId="3" type="noConversion"/>
  </si>
  <si>
    <t xml:space="preserve">    購置費 </t>
    <phoneticPr fontId="3" type="noConversion"/>
  </si>
  <si>
    <t xml:space="preserve">    修繕費 </t>
    <phoneticPr fontId="3" type="noConversion"/>
  </si>
  <si>
    <t xml:space="preserve">    雜費 </t>
    <phoneticPr fontId="3" type="noConversion"/>
  </si>
  <si>
    <t xml:space="preserve">    水電費 </t>
    <phoneticPr fontId="3" type="noConversion"/>
  </si>
  <si>
    <t xml:space="preserve">  業務費</t>
    <phoneticPr fontId="3" type="noConversion"/>
  </si>
  <si>
    <t xml:space="preserve">    幹部業務費 </t>
    <phoneticPr fontId="3" type="noConversion"/>
  </si>
  <si>
    <t xml:space="preserve">    幹部選舉選務費 </t>
    <phoneticPr fontId="3" type="noConversion"/>
  </si>
  <si>
    <t xml:space="preserve">    活動業務費 </t>
    <phoneticPr fontId="3" type="noConversion"/>
  </si>
  <si>
    <t xml:space="preserve">    據點專戶</t>
    <phoneticPr fontId="3" type="noConversion"/>
  </si>
  <si>
    <t xml:space="preserve">  職員教育費  </t>
    <phoneticPr fontId="3" type="noConversion"/>
  </si>
  <si>
    <t xml:space="preserve">    產業發展費</t>
    <phoneticPr fontId="3" type="noConversion"/>
  </si>
  <si>
    <t xml:space="preserve">  福利費 </t>
    <phoneticPr fontId="3" type="noConversion"/>
  </si>
  <si>
    <t xml:space="preserve">    會員慰問費 </t>
    <phoneticPr fontId="3" type="noConversion"/>
  </si>
  <si>
    <t xml:space="preserve">  其他費用 </t>
    <phoneticPr fontId="3" type="noConversion"/>
  </si>
  <si>
    <t xml:space="preserve">    會務承攬費</t>
    <phoneticPr fontId="3" type="noConversion"/>
  </si>
  <si>
    <t>上期決算</t>
    <phoneticPr fontId="3" type="noConversion"/>
  </si>
  <si>
    <t>收入缺額依五常社區總體營造股份有限公司盈餘撥補</t>
    <phoneticPr fontId="3" type="noConversion"/>
  </si>
  <si>
    <t>113年度影印機租金耗材 </t>
    <phoneticPr fontId="3" type="noConversion"/>
  </si>
  <si>
    <t>本項由會務承攬公司負擔</t>
    <phoneticPr fontId="3" type="noConversion"/>
  </si>
  <si>
    <t>本項由會務承攬公司負擔</t>
    <phoneticPr fontId="3" type="noConversion"/>
  </si>
  <si>
    <t>中元普渡、產業參訪</t>
    <phoneticPr fontId="3" type="noConversion"/>
  </si>
  <si>
    <t>本年度未有改選</t>
    <phoneticPr fontId="3" type="noConversion"/>
  </si>
  <si>
    <t>專款專用</t>
    <phoneticPr fontId="3" type="noConversion"/>
  </si>
  <si>
    <t>本項由會務承攬公司負擔 </t>
    <phoneticPr fontId="3" type="noConversion"/>
  </si>
  <si>
    <t xml:space="preserve">  入會費 </t>
    <phoneticPr fontId="3" type="noConversion"/>
  </si>
  <si>
    <t xml:space="preserve">  經常會費 </t>
    <phoneticPr fontId="3" type="noConversion"/>
  </si>
  <si>
    <t xml:space="preserve">  利息收入</t>
    <phoneticPr fontId="3" type="noConversion"/>
  </si>
  <si>
    <t xml:space="preserve">  產業營業收入 </t>
    <phoneticPr fontId="3" type="noConversion"/>
  </si>
  <si>
    <t xml:space="preserve">  其他收入 </t>
    <phoneticPr fontId="3" type="noConversion"/>
  </si>
  <si>
    <t xml:space="preserve">  上年度結餘 </t>
    <phoneticPr fontId="3" type="noConversion"/>
  </si>
  <si>
    <t xml:space="preserve">  代收款-勞健保及退休金</t>
    <phoneticPr fontId="3" type="noConversion"/>
  </si>
  <si>
    <t xml:space="preserve">    郵電費 </t>
  </si>
  <si>
    <t xml:space="preserve">    影印機耗材 </t>
  </si>
  <si>
    <t xml:space="preserve">    文具費 </t>
  </si>
  <si>
    <t xml:space="preserve">    印刷文具費 </t>
  </si>
  <si>
    <t xml:space="preserve">    書報費 </t>
  </si>
  <si>
    <t xml:space="preserve">    公共關係費 </t>
  </si>
  <si>
    <t xml:space="preserve">    購置費 </t>
  </si>
  <si>
    <t xml:space="preserve">    修繕費 </t>
  </si>
  <si>
    <t xml:space="preserve">    雜費 </t>
  </si>
  <si>
    <t xml:space="preserve">    水電費 </t>
  </si>
  <si>
    <t xml:space="preserve">    幹部業務費 </t>
  </si>
  <si>
    <t xml:space="preserve">    幹部選舉選務費 </t>
  </si>
  <si>
    <t xml:space="preserve">    活動業務費 </t>
  </si>
  <si>
    <t xml:space="preserve">  職員教育費 </t>
    <phoneticPr fontId="3" type="noConversion"/>
  </si>
  <si>
    <t xml:space="preserve">  福利費 </t>
    <phoneticPr fontId="3" type="noConversion"/>
  </si>
  <si>
    <t xml:space="preserve">  其他費用 </t>
    <phoneticPr fontId="3" type="noConversion"/>
  </si>
  <si>
    <t xml:space="preserve">    組織發展教育研習費 </t>
    <phoneticPr fontId="3" type="noConversion"/>
  </si>
  <si>
    <t xml:space="preserve">  人事費 </t>
    <phoneticPr fontId="3" type="noConversion"/>
  </si>
  <si>
    <t xml:space="preserve">  辦公費 </t>
    <phoneticPr fontId="3" type="noConversion"/>
  </si>
  <si>
    <t xml:space="preserve">  業務費 </t>
    <phoneticPr fontId="3" type="noConversion"/>
  </si>
  <si>
    <t xml:space="preserve">    其他費用 </t>
    <phoneticPr fontId="3" type="noConversion"/>
  </si>
  <si>
    <t xml:space="preserve">    職員薪資 </t>
  </si>
  <si>
    <t xml:space="preserve">    法務顧問費 </t>
  </si>
  <si>
    <t xml:space="preserve">    年節慰勞金 </t>
  </si>
  <si>
    <t xml:space="preserve">    會務人員勞健保費 </t>
  </si>
  <si>
    <t xml:space="preserve">    會務人員退休提撥金 </t>
  </si>
  <si>
    <t xml:space="preserve">    保險費 </t>
  </si>
  <si>
    <t>中華民國113年1月1日至113年至12月31日</t>
    <phoneticPr fontId="3" type="noConversion"/>
  </si>
  <si>
    <t>中華民國111年1月1日至111年至12月31日</t>
    <phoneticPr fontId="3" type="noConversion"/>
  </si>
  <si>
    <t xml:space="preserve">    影印機耗材 </t>
    <phoneticPr fontId="3" type="noConversion"/>
  </si>
  <si>
    <t>科     目 </t>
    <phoneticPr fontId="3" type="noConversion"/>
  </si>
  <si>
    <t>說    明 </t>
    <phoneticPr fontId="3" type="noConversion"/>
  </si>
  <si>
    <t>說    明</t>
    <phoneticPr fontId="3" type="noConversion"/>
  </si>
  <si>
    <t>新北市三重區五常社區發展協會</t>
    <phoneticPr fontId="3" type="noConversion"/>
  </si>
  <si>
    <t>100人月費$100X7 </t>
    <phoneticPr fontId="3" type="noConversion"/>
  </si>
  <si>
    <t xml:space="preserve">  利息收入 </t>
    <phoneticPr fontId="3" type="noConversion"/>
  </si>
  <si>
    <t>目</t>
    <phoneticPr fontId="3" type="noConversion"/>
  </si>
  <si>
    <t>項</t>
    <phoneticPr fontId="3" type="noConversion"/>
  </si>
  <si>
    <t>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</si>
</sst>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);[Red]\(0\)"/>
    <numFmt numFmtId="177" formatCode="#,##0_);[Red]\(#,##0\)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u/>
      <sz val="12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b/>
      <sz val="14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Alignment="1">
      <alignment horizontal="right" vertical="top"/>
    </xf>
    <xf numFmtId="0" fontId="2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top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38" fontId="2" fillId="2" borderId="9" xfId="1" applyNumberFormat="1" applyFont="1" applyFill="1" applyBorder="1" applyAlignment="1">
      <alignment horizontal="right" vertical="center"/>
    </xf>
    <xf numFmtId="38" fontId="2" fillId="2" borderId="5" xfId="1" applyNumberFormat="1" applyFont="1" applyFill="1" applyBorder="1" applyAlignment="1">
      <alignment horizontal="right" vertical="center"/>
    </xf>
    <xf numFmtId="38" fontId="2" fillId="2" borderId="1" xfId="1" applyNumberFormat="1" applyFont="1" applyFill="1" applyBorder="1" applyAlignment="1">
      <alignment horizontal="right" vertical="center"/>
    </xf>
    <xf numFmtId="38" fontId="2" fillId="2" borderId="4" xfId="1" applyNumberFormat="1" applyFont="1" applyFill="1" applyBorder="1" applyAlignment="1">
      <alignment horizontal="right" vertical="center"/>
    </xf>
    <xf numFmtId="38" fontId="2" fillId="2" borderId="7" xfId="1" applyNumberFormat="1" applyFont="1" applyFill="1" applyBorder="1" applyAlignment="1">
      <alignment horizontal="right" vertical="center"/>
    </xf>
    <xf numFmtId="38" fontId="2" fillId="2" borderId="2" xfId="1" applyNumberFormat="1" applyFont="1" applyFill="1" applyBorder="1" applyAlignment="1">
      <alignment horizontal="right" vertical="center"/>
    </xf>
    <xf numFmtId="38" fontId="2" fillId="2" borderId="10" xfId="1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horizontal="left" vertical="center"/>
    </xf>
    <xf numFmtId="38" fontId="2" fillId="4" borderId="3" xfId="0" applyNumberFormat="1" applyFont="1" applyFill="1" applyBorder="1" applyAlignment="1">
      <alignment horizontal="right" vertical="center"/>
    </xf>
    <xf numFmtId="38" fontId="2" fillId="4" borderId="8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center"/>
    </xf>
    <xf numFmtId="38" fontId="2" fillId="4" borderId="1" xfId="0" applyNumberFormat="1" applyFont="1" applyFill="1" applyBorder="1" applyAlignment="1">
      <alignment horizontal="right" vertical="center"/>
    </xf>
    <xf numFmtId="38" fontId="4" fillId="0" borderId="22" xfId="0" applyNumberFormat="1" applyFont="1" applyBorder="1" applyAlignment="1">
      <alignment horizontal="center" vertical="center"/>
    </xf>
    <xf numFmtId="38" fontId="4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2" fillId="2" borderId="9" xfId="1" applyNumberFormat="1" applyFont="1" applyFill="1" applyBorder="1" applyAlignment="1">
      <alignment horizontal="right" vertical="center"/>
    </xf>
    <xf numFmtId="177" fontId="2" fillId="2" borderId="5" xfId="1" applyNumberFormat="1" applyFont="1" applyFill="1" applyBorder="1" applyAlignment="1">
      <alignment horizontal="right" vertical="center"/>
    </xf>
    <xf numFmtId="177" fontId="2" fillId="2" borderId="1" xfId="1" applyNumberFormat="1" applyFont="1" applyFill="1" applyBorder="1" applyAlignment="1">
      <alignment horizontal="right" vertical="center"/>
    </xf>
    <xf numFmtId="177" fontId="2" fillId="2" borderId="7" xfId="1" applyNumberFormat="1" applyFont="1" applyFill="1" applyBorder="1" applyAlignment="1">
      <alignment horizontal="right" vertical="center"/>
    </xf>
    <xf numFmtId="177" fontId="2" fillId="2" borderId="2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top"/>
    </xf>
    <xf numFmtId="0" fontId="2" fillId="4" borderId="3" xfId="0" applyFont="1" applyFill="1" applyBorder="1" applyAlignment="1">
      <alignment horizontal="left" vertical="center"/>
    </xf>
    <xf numFmtId="177" fontId="2" fillId="4" borderId="3" xfId="0" applyNumberFormat="1" applyFont="1" applyFill="1" applyBorder="1" applyAlignment="1">
      <alignment horizontal="right" vertical="center"/>
    </xf>
    <xf numFmtId="10" fontId="2" fillId="4" borderId="3" xfId="1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10" fontId="2" fillId="0" borderId="3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center"/>
    </xf>
    <xf numFmtId="177" fontId="2" fillId="5" borderId="5" xfId="1" applyNumberFormat="1" applyFont="1" applyFill="1" applyBorder="1" applyAlignment="1">
      <alignment horizontal="right" vertical="center"/>
    </xf>
    <xf numFmtId="177" fontId="2" fillId="5" borderId="1" xfId="1" applyNumberFormat="1" applyFont="1" applyFill="1" applyBorder="1" applyAlignment="1">
      <alignment horizontal="right" vertical="center"/>
    </xf>
    <xf numFmtId="10" fontId="2" fillId="5" borderId="3" xfId="1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center"/>
    </xf>
    <xf numFmtId="177" fontId="2" fillId="5" borderId="9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horizontal="center" vertical="center"/>
    </xf>
    <xf numFmtId="38" fontId="2" fillId="5" borderId="1" xfId="1" applyNumberFormat="1" applyFont="1" applyFill="1" applyBorder="1" applyAlignment="1">
      <alignment horizontal="right" vertical="center"/>
    </xf>
    <xf numFmtId="0" fontId="2" fillId="5" borderId="8" xfId="0" applyFont="1" applyFill="1" applyBorder="1" applyAlignment="1">
      <alignment horizontal="right" vertical="center"/>
    </xf>
    <xf numFmtId="38" fontId="2" fillId="5" borderId="5" xfId="1" applyNumberFormat="1" applyFont="1" applyFill="1" applyBorder="1" applyAlignment="1">
      <alignment horizontal="right" vertical="center"/>
    </xf>
    <xf numFmtId="38" fontId="2" fillId="5" borderId="9" xfId="1" applyNumberFormat="1" applyFont="1" applyFill="1" applyBorder="1" applyAlignment="1">
      <alignment horizontal="right" vertical="center"/>
    </xf>
    <xf numFmtId="38" fontId="2" fillId="5" borderId="4" xfId="1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 wrapText="1"/>
    </xf>
    <xf numFmtId="38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38" fontId="9" fillId="0" borderId="23" xfId="0" applyNumberFormat="1" applyFont="1" applyFill="1" applyBorder="1" applyAlignment="1">
      <alignment horizontal="righ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176" fontId="7" fillId="4" borderId="4" xfId="0" applyNumberFormat="1" applyFont="1" applyFill="1" applyBorder="1" applyAlignment="1">
      <alignment horizontal="right" vertical="center"/>
    </xf>
    <xf numFmtId="176" fontId="7" fillId="4" borderId="26" xfId="0" applyNumberFormat="1" applyFont="1" applyFill="1" applyBorder="1" applyAlignment="1">
      <alignment horizontal="right" vertical="center"/>
    </xf>
    <xf numFmtId="176" fontId="7" fillId="4" borderId="5" xfId="0" applyNumberFormat="1" applyFont="1" applyFill="1" applyBorder="1" applyAlignment="1">
      <alignment horizontal="right" vertical="center"/>
    </xf>
    <xf numFmtId="38" fontId="2" fillId="3" borderId="16" xfId="0" applyNumberFormat="1" applyFont="1" applyFill="1" applyBorder="1" applyAlignment="1">
      <alignment horizontal="center" vertical="center"/>
    </xf>
    <xf numFmtId="38" fontId="2" fillId="3" borderId="17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38" fontId="2" fillId="3" borderId="24" xfId="0" applyNumberFormat="1" applyFont="1" applyFill="1" applyBorder="1" applyAlignment="1">
      <alignment horizontal="center" vertical="center"/>
    </xf>
    <xf numFmtId="38" fontId="2" fillId="3" borderId="25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38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38" fontId="8" fillId="0" borderId="31" xfId="0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176" fontId="7" fillId="4" borderId="4" xfId="1" applyNumberFormat="1" applyFont="1" applyFill="1" applyBorder="1" applyAlignment="1">
      <alignment horizontal="right" vertical="center"/>
    </xf>
    <xf numFmtId="176" fontId="7" fillId="4" borderId="26" xfId="1" applyNumberFormat="1" applyFont="1" applyFill="1" applyBorder="1" applyAlignment="1">
      <alignment horizontal="right" vertical="center"/>
    </xf>
    <xf numFmtId="176" fontId="7" fillId="4" borderId="5" xfId="1" applyNumberFormat="1" applyFont="1" applyFill="1" applyBorder="1" applyAlignment="1">
      <alignment horizontal="right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177" fontId="2" fillId="3" borderId="16" xfId="0" applyNumberFormat="1" applyFont="1" applyFill="1" applyBorder="1" applyAlignment="1">
      <alignment horizontal="center" vertical="center"/>
    </xf>
    <xf numFmtId="177" fontId="2" fillId="3" borderId="17" xfId="0" applyNumberFormat="1" applyFont="1" applyFill="1" applyBorder="1" applyAlignment="1">
      <alignment horizontal="center" vertical="center"/>
    </xf>
    <xf numFmtId="177" fontId="2" fillId="3" borderId="16" xfId="0" applyNumberFormat="1" applyFont="1" applyFill="1" applyBorder="1" applyAlignment="1">
      <alignment horizontal="center" vertical="center" wrapText="1"/>
    </xf>
    <xf numFmtId="177" fontId="2" fillId="3" borderId="17" xfId="0" applyNumberFormat="1" applyFont="1" applyFill="1" applyBorder="1" applyAlignment="1">
      <alignment horizontal="center" vertical="center" wrapText="1"/>
    </xf>
    <xf numFmtId="38" fontId="9" fillId="0" borderId="23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5040-54A1-4131-95C1-1BA6BA75D31C}">
  <dimension ref="A1:K44"/>
  <sheetViews>
    <sheetView zoomScale="70" zoomScaleNormal="70" workbookViewId="0">
      <selection sqref="A1:H44"/>
    </sheetView>
  </sheetViews>
  <sheetFormatPr defaultRowHeight="17" x14ac:dyDescent="0.4"/>
  <cols>
    <col min="1" max="3" width="3.90625" style="3" customWidth="1"/>
    <col min="4" max="4" width="27.453125" style="1" customWidth="1"/>
    <col min="5" max="7" width="14.26953125" style="76" customWidth="1"/>
    <col min="8" max="8" width="37.81640625" style="118" customWidth="1"/>
    <col min="9" max="9" width="13.453125" style="1" bestFit="1" customWidth="1"/>
    <col min="10" max="16384" width="8.7265625" style="1"/>
  </cols>
  <sheetData>
    <row r="1" spans="1:11" ht="27.5" x14ac:dyDescent="0.4">
      <c r="A1" s="91" t="s">
        <v>110</v>
      </c>
      <c r="B1" s="92"/>
      <c r="C1" s="92"/>
      <c r="D1" s="92"/>
      <c r="E1" s="92"/>
      <c r="F1" s="92"/>
      <c r="G1" s="92"/>
      <c r="H1" s="92"/>
    </row>
    <row r="2" spans="1:11" ht="25" x14ac:dyDescent="0.4">
      <c r="A2" s="98" t="s">
        <v>30</v>
      </c>
      <c r="B2" s="98"/>
      <c r="C2" s="98"/>
      <c r="D2" s="98"/>
      <c r="E2" s="98"/>
      <c r="F2" s="98"/>
      <c r="G2" s="98"/>
      <c r="H2" s="98"/>
    </row>
    <row r="3" spans="1:11" ht="25.5" thickBot="1" x14ac:dyDescent="0.45">
      <c r="A3" s="97" t="s">
        <v>105</v>
      </c>
      <c r="B3" s="97"/>
      <c r="C3" s="97"/>
      <c r="D3" s="97"/>
      <c r="E3" s="97"/>
      <c r="F3" s="97"/>
      <c r="G3" s="97"/>
      <c r="H3" s="97"/>
    </row>
    <row r="4" spans="1:11" ht="25.5" thickBot="1" x14ac:dyDescent="0.45">
      <c r="A4" s="35"/>
      <c r="B4" s="36"/>
      <c r="C4" s="36"/>
      <c r="D4" s="36"/>
      <c r="E4" s="36"/>
      <c r="F4" s="36"/>
      <c r="G4" s="36"/>
      <c r="H4" s="113" t="s">
        <v>29</v>
      </c>
    </row>
    <row r="5" spans="1:11" ht="17" customHeight="1" x14ac:dyDescent="0.4">
      <c r="A5" s="95" t="s">
        <v>0</v>
      </c>
      <c r="B5" s="96"/>
      <c r="C5" s="96"/>
      <c r="D5" s="96"/>
      <c r="E5" s="93" t="s">
        <v>25</v>
      </c>
      <c r="F5" s="89" t="s">
        <v>26</v>
      </c>
      <c r="G5" s="89" t="s">
        <v>27</v>
      </c>
      <c r="H5" s="114" t="s">
        <v>109</v>
      </c>
    </row>
    <row r="6" spans="1:11" ht="17.5" thickBot="1" x14ac:dyDescent="0.45">
      <c r="A6" s="73" t="s">
        <v>115</v>
      </c>
      <c r="B6" s="74" t="s">
        <v>114</v>
      </c>
      <c r="C6" s="74" t="s">
        <v>113</v>
      </c>
      <c r="D6" s="75" t="s">
        <v>28</v>
      </c>
      <c r="E6" s="94"/>
      <c r="F6" s="90"/>
      <c r="G6" s="90"/>
      <c r="H6" s="115"/>
    </row>
    <row r="7" spans="1:11" x14ac:dyDescent="0.4">
      <c r="A7" s="72">
        <v>1</v>
      </c>
      <c r="B7" s="26" t="s">
        <v>1</v>
      </c>
      <c r="C7" s="27" t="s">
        <v>1</v>
      </c>
      <c r="D7" s="28" t="s">
        <v>24</v>
      </c>
      <c r="E7" s="29">
        <f>SUM(E8:E14)</f>
        <v>765484</v>
      </c>
      <c r="F7" s="30">
        <f>SUM(F8:F13)</f>
        <v>1069131</v>
      </c>
      <c r="G7" s="29">
        <f>SUM(G8:G14)</f>
        <v>303647</v>
      </c>
      <c r="H7" s="116" t="s">
        <v>1</v>
      </c>
    </row>
    <row r="8" spans="1:11" x14ac:dyDescent="0.4">
      <c r="A8" s="5" t="s">
        <v>1</v>
      </c>
      <c r="B8" s="6">
        <v>1</v>
      </c>
      <c r="C8" s="5"/>
      <c r="D8" s="7" t="s">
        <v>70</v>
      </c>
      <c r="E8" s="19">
        <v>0</v>
      </c>
      <c r="F8" s="19">
        <v>0</v>
      </c>
      <c r="G8" s="19">
        <v>0</v>
      </c>
      <c r="H8" s="117"/>
    </row>
    <row r="9" spans="1:11" x14ac:dyDescent="0.4">
      <c r="A9" s="5" t="s">
        <v>1</v>
      </c>
      <c r="B9" s="6">
        <v>2</v>
      </c>
      <c r="C9" s="5"/>
      <c r="D9" s="8" t="s">
        <v>71</v>
      </c>
      <c r="E9" s="20">
        <v>72000</v>
      </c>
      <c r="F9" s="20">
        <v>70000</v>
      </c>
      <c r="G9" s="20">
        <f>F9-E9</f>
        <v>-2000</v>
      </c>
      <c r="H9" s="9" t="s">
        <v>111</v>
      </c>
    </row>
    <row r="10" spans="1:11" x14ac:dyDescent="0.4">
      <c r="A10" s="5" t="s">
        <v>1</v>
      </c>
      <c r="B10" s="6">
        <v>3</v>
      </c>
      <c r="C10" s="5"/>
      <c r="D10" s="8" t="s">
        <v>112</v>
      </c>
      <c r="E10" s="20">
        <v>300</v>
      </c>
      <c r="F10" s="20">
        <v>3</v>
      </c>
      <c r="G10" s="20">
        <f t="shared" ref="G10:G13" si="0">F10-E10</f>
        <v>-297</v>
      </c>
      <c r="H10" s="9"/>
    </row>
    <row r="11" spans="1:11" ht="16" customHeight="1" x14ac:dyDescent="0.4">
      <c r="A11" s="5" t="s">
        <v>1</v>
      </c>
      <c r="B11" s="6">
        <v>4</v>
      </c>
      <c r="C11" s="10"/>
      <c r="D11" s="8" t="s">
        <v>73</v>
      </c>
      <c r="E11" s="20">
        <v>569184</v>
      </c>
      <c r="F11" s="20">
        <v>606993</v>
      </c>
      <c r="G11" s="20">
        <f t="shared" si="0"/>
        <v>37809</v>
      </c>
      <c r="H11" s="9" t="s">
        <v>2</v>
      </c>
      <c r="K11" s="2"/>
    </row>
    <row r="12" spans="1:11" x14ac:dyDescent="0.4">
      <c r="A12" s="5" t="s">
        <v>1</v>
      </c>
      <c r="B12" s="6">
        <v>5</v>
      </c>
      <c r="C12" s="5"/>
      <c r="D12" s="8" t="s">
        <v>74</v>
      </c>
      <c r="E12" s="20">
        <v>100000</v>
      </c>
      <c r="F12" s="20">
        <v>392100</v>
      </c>
      <c r="G12" s="20">
        <f t="shared" si="0"/>
        <v>292100</v>
      </c>
      <c r="H12" s="9" t="s">
        <v>3</v>
      </c>
      <c r="K12" s="2"/>
    </row>
    <row r="13" spans="1:11" x14ac:dyDescent="0.4">
      <c r="A13" s="5" t="s">
        <v>1</v>
      </c>
      <c r="B13" s="6">
        <v>6</v>
      </c>
      <c r="C13" s="5"/>
      <c r="D13" s="8" t="s">
        <v>75</v>
      </c>
      <c r="E13" s="21">
        <v>0</v>
      </c>
      <c r="F13" s="21">
        <v>35</v>
      </c>
      <c r="G13" s="21">
        <f t="shared" si="0"/>
        <v>35</v>
      </c>
      <c r="H13" s="9"/>
      <c r="K13" s="2"/>
    </row>
    <row r="14" spans="1:11" x14ac:dyDescent="0.4">
      <c r="A14" s="5" t="s">
        <v>1</v>
      </c>
      <c r="B14" s="6">
        <v>7</v>
      </c>
      <c r="C14" s="12"/>
      <c r="D14" s="9" t="s">
        <v>76</v>
      </c>
      <c r="E14" s="21">
        <v>24000</v>
      </c>
      <c r="F14" s="21">
        <v>0</v>
      </c>
      <c r="G14" s="21">
        <f t="shared" ref="G14" si="1">F14-E14</f>
        <v>-24000</v>
      </c>
      <c r="H14" s="9" t="s">
        <v>11</v>
      </c>
      <c r="K14" s="2"/>
    </row>
    <row r="15" spans="1:11" x14ac:dyDescent="0.4">
      <c r="A15" s="31">
        <v>2</v>
      </c>
      <c r="B15" s="32" t="s">
        <v>1</v>
      </c>
      <c r="C15" s="32" t="s">
        <v>1</v>
      </c>
      <c r="D15" s="33" t="s">
        <v>10</v>
      </c>
      <c r="E15" s="34">
        <f>SUM(E16+E23+E34+E38+E40+E42)</f>
        <v>918634</v>
      </c>
      <c r="F15" s="34">
        <f>SUM(F16+F23+F34+F38+F40+F42)</f>
        <v>1069131</v>
      </c>
      <c r="G15" s="34">
        <f>F15-E15</f>
        <v>150497</v>
      </c>
      <c r="H15" s="9" t="s">
        <v>1</v>
      </c>
      <c r="K15" s="2"/>
    </row>
    <row r="16" spans="1:11" x14ac:dyDescent="0.4">
      <c r="A16" s="60" t="s">
        <v>9</v>
      </c>
      <c r="B16" s="71">
        <v>1</v>
      </c>
      <c r="C16" s="67" t="s">
        <v>1</v>
      </c>
      <c r="D16" s="54" t="s">
        <v>94</v>
      </c>
      <c r="E16" s="66">
        <f>SUM(E17:E22)</f>
        <v>559634</v>
      </c>
      <c r="F16" s="66">
        <f>SUM(F17:F22)</f>
        <v>516744</v>
      </c>
      <c r="G16" s="66">
        <f>F16-E16</f>
        <v>-42890</v>
      </c>
      <c r="H16" s="9" t="s">
        <v>1</v>
      </c>
    </row>
    <row r="17" spans="1:9" x14ac:dyDescent="0.4">
      <c r="A17" s="13" t="s">
        <v>1</v>
      </c>
      <c r="B17" s="4" t="s">
        <v>1</v>
      </c>
      <c r="C17" s="59">
        <v>1</v>
      </c>
      <c r="D17" s="11" t="s">
        <v>98</v>
      </c>
      <c r="E17" s="21">
        <v>432000</v>
      </c>
      <c r="F17" s="21">
        <v>432000</v>
      </c>
      <c r="G17" s="21">
        <f t="shared" ref="G17:G43" si="2">F17-E17</f>
        <v>0</v>
      </c>
      <c r="H17" s="9" t="s">
        <v>4</v>
      </c>
      <c r="I17" s="1" t="str">
        <f>CONCATENATE("    ", D17)</f>
        <v xml:space="preserve">        職員薪資 </v>
      </c>
    </row>
    <row r="18" spans="1:9" x14ac:dyDescent="0.4">
      <c r="A18" s="13" t="s">
        <v>1</v>
      </c>
      <c r="B18" s="4" t="s">
        <v>1</v>
      </c>
      <c r="C18" s="59">
        <v>2</v>
      </c>
      <c r="D18" s="11" t="s">
        <v>99</v>
      </c>
      <c r="E18" s="20">
        <v>10000</v>
      </c>
      <c r="F18" s="19">
        <v>0</v>
      </c>
      <c r="G18" s="19">
        <f t="shared" si="2"/>
        <v>-10000</v>
      </c>
      <c r="H18" s="9" t="s">
        <v>1</v>
      </c>
      <c r="I18" s="1" t="str">
        <f t="shared" ref="I18:I22" si="3">CONCATENATE("    ", D18)</f>
        <v xml:space="preserve">        法務顧問費 </v>
      </c>
    </row>
    <row r="19" spans="1:9" x14ac:dyDescent="0.4">
      <c r="A19" s="13" t="s">
        <v>1</v>
      </c>
      <c r="B19" s="4" t="s">
        <v>1</v>
      </c>
      <c r="C19" s="59">
        <v>3</v>
      </c>
      <c r="D19" s="11" t="s">
        <v>100</v>
      </c>
      <c r="E19" s="20">
        <v>54000</v>
      </c>
      <c r="F19" s="19">
        <v>54000</v>
      </c>
      <c r="G19" s="19">
        <f t="shared" si="2"/>
        <v>0</v>
      </c>
      <c r="H19" s="9" t="s">
        <v>1</v>
      </c>
      <c r="I19" s="1" t="str">
        <f t="shared" si="3"/>
        <v xml:space="preserve">        年節慰勞金 </v>
      </c>
    </row>
    <row r="20" spans="1:9" x14ac:dyDescent="0.4">
      <c r="A20" s="13" t="s">
        <v>1</v>
      </c>
      <c r="B20" s="4" t="s">
        <v>1</v>
      </c>
      <c r="C20" s="59">
        <v>4</v>
      </c>
      <c r="D20" s="11" t="s">
        <v>101</v>
      </c>
      <c r="E20" s="20">
        <v>30910</v>
      </c>
      <c r="F20" s="19">
        <v>0</v>
      </c>
      <c r="G20" s="19">
        <f t="shared" si="2"/>
        <v>-30910</v>
      </c>
      <c r="H20" s="9" t="s">
        <v>1</v>
      </c>
      <c r="I20" s="1" t="str">
        <f t="shared" si="3"/>
        <v xml:space="preserve">        會務人員勞健保費 </v>
      </c>
    </row>
    <row r="21" spans="1:9" x14ac:dyDescent="0.4">
      <c r="A21" s="13" t="s">
        <v>1</v>
      </c>
      <c r="B21" s="4" t="s">
        <v>1</v>
      </c>
      <c r="C21" s="59">
        <v>5</v>
      </c>
      <c r="D21" s="11" t="s">
        <v>102</v>
      </c>
      <c r="E21" s="20">
        <v>30744</v>
      </c>
      <c r="F21" s="19">
        <v>30744</v>
      </c>
      <c r="G21" s="19">
        <f t="shared" si="2"/>
        <v>0</v>
      </c>
      <c r="H21" s="9" t="s">
        <v>1</v>
      </c>
      <c r="I21" s="1" t="str">
        <f t="shared" si="3"/>
        <v xml:space="preserve">        會務人員退休提撥金 </v>
      </c>
    </row>
    <row r="22" spans="1:9" x14ac:dyDescent="0.4">
      <c r="A22" s="13" t="s">
        <v>1</v>
      </c>
      <c r="B22" s="4" t="s">
        <v>1</v>
      </c>
      <c r="C22" s="59">
        <v>6</v>
      </c>
      <c r="D22" s="14" t="s">
        <v>103</v>
      </c>
      <c r="E22" s="20">
        <v>1980</v>
      </c>
      <c r="F22" s="19">
        <v>0</v>
      </c>
      <c r="G22" s="19">
        <f t="shared" si="2"/>
        <v>-1980</v>
      </c>
      <c r="H22" s="9" t="s">
        <v>1</v>
      </c>
      <c r="I22" s="1" t="str">
        <f t="shared" si="3"/>
        <v xml:space="preserve">        保險費 </v>
      </c>
    </row>
    <row r="23" spans="1:9" x14ac:dyDescent="0.4">
      <c r="A23" s="53" t="s">
        <v>1</v>
      </c>
      <c r="B23" s="71">
        <v>2</v>
      </c>
      <c r="C23" s="67" t="s">
        <v>1</v>
      </c>
      <c r="D23" s="54" t="s">
        <v>95</v>
      </c>
      <c r="E23" s="68">
        <f>SUM(E24:E33)</f>
        <v>104000</v>
      </c>
      <c r="F23" s="69">
        <f>SUM(F24:F33)</f>
        <v>160387</v>
      </c>
      <c r="G23" s="69">
        <f t="shared" si="2"/>
        <v>56387</v>
      </c>
      <c r="H23" s="9" t="s">
        <v>1</v>
      </c>
    </row>
    <row r="24" spans="1:9" x14ac:dyDescent="0.4">
      <c r="A24" s="13" t="s">
        <v>1</v>
      </c>
      <c r="B24" s="4" t="s">
        <v>1</v>
      </c>
      <c r="C24" s="40">
        <v>1</v>
      </c>
      <c r="D24" s="15" t="s">
        <v>78</v>
      </c>
      <c r="E24" s="20">
        <v>6000</v>
      </c>
      <c r="F24" s="19">
        <v>787</v>
      </c>
      <c r="G24" s="19">
        <f t="shared" si="2"/>
        <v>-5213</v>
      </c>
      <c r="H24" s="9" t="s">
        <v>5</v>
      </c>
      <c r="I24" s="1" t="str">
        <f>CONCATENATE("    ", D24)</f>
        <v xml:space="preserve">        影印機耗材 </v>
      </c>
    </row>
    <row r="25" spans="1:9" x14ac:dyDescent="0.4">
      <c r="A25" s="13" t="s">
        <v>1</v>
      </c>
      <c r="B25" s="4" t="s">
        <v>1</v>
      </c>
      <c r="C25" s="40">
        <v>2</v>
      </c>
      <c r="D25" s="11" t="s">
        <v>79</v>
      </c>
      <c r="E25" s="20">
        <v>6000</v>
      </c>
      <c r="F25" s="19">
        <v>7900</v>
      </c>
      <c r="G25" s="19">
        <f t="shared" si="2"/>
        <v>1900</v>
      </c>
      <c r="H25" s="9" t="s">
        <v>1</v>
      </c>
      <c r="I25" s="1" t="str">
        <f t="shared" ref="I25:I43" si="4">CONCATENATE("    ", D25)</f>
        <v xml:space="preserve">        文具費 </v>
      </c>
    </row>
    <row r="26" spans="1:9" x14ac:dyDescent="0.4">
      <c r="A26" s="13" t="s">
        <v>1</v>
      </c>
      <c r="B26" s="7" t="s">
        <v>1</v>
      </c>
      <c r="C26" s="40">
        <v>3</v>
      </c>
      <c r="D26" s="11" t="s">
        <v>80</v>
      </c>
      <c r="E26" s="20">
        <v>10000</v>
      </c>
      <c r="F26" s="19">
        <v>8730</v>
      </c>
      <c r="G26" s="19">
        <f t="shared" si="2"/>
        <v>-1270</v>
      </c>
      <c r="H26" s="9" t="s">
        <v>1</v>
      </c>
      <c r="I26" s="1" t="str">
        <f t="shared" si="4"/>
        <v xml:space="preserve">        印刷文具費 </v>
      </c>
    </row>
    <row r="27" spans="1:9" x14ac:dyDescent="0.4">
      <c r="A27" s="13" t="s">
        <v>1</v>
      </c>
      <c r="B27" s="7" t="s">
        <v>1</v>
      </c>
      <c r="C27" s="40">
        <v>4</v>
      </c>
      <c r="D27" s="11" t="s">
        <v>77</v>
      </c>
      <c r="E27" s="20">
        <v>10000</v>
      </c>
      <c r="F27" s="19">
        <v>3170</v>
      </c>
      <c r="G27" s="19">
        <f t="shared" si="2"/>
        <v>-6830</v>
      </c>
      <c r="H27" s="9" t="s">
        <v>1</v>
      </c>
      <c r="I27" s="1" t="str">
        <f t="shared" si="4"/>
        <v xml:space="preserve">        郵電費 </v>
      </c>
    </row>
    <row r="28" spans="1:9" x14ac:dyDescent="0.4">
      <c r="A28" s="13" t="s">
        <v>1</v>
      </c>
      <c r="B28" s="7" t="s">
        <v>1</v>
      </c>
      <c r="C28" s="40">
        <v>5</v>
      </c>
      <c r="D28" s="11" t="s">
        <v>81</v>
      </c>
      <c r="E28" s="20">
        <v>2000</v>
      </c>
      <c r="F28" s="19">
        <v>0</v>
      </c>
      <c r="G28" s="19">
        <f t="shared" si="2"/>
        <v>-2000</v>
      </c>
      <c r="H28" s="9" t="s">
        <v>1</v>
      </c>
      <c r="I28" s="1" t="str">
        <f t="shared" si="4"/>
        <v xml:space="preserve">        書報費 </v>
      </c>
    </row>
    <row r="29" spans="1:9" x14ac:dyDescent="0.4">
      <c r="A29" s="13" t="s">
        <v>1</v>
      </c>
      <c r="B29" s="7" t="s">
        <v>1</v>
      </c>
      <c r="C29" s="40">
        <v>6</v>
      </c>
      <c r="D29" s="11" t="s">
        <v>82</v>
      </c>
      <c r="E29" s="20">
        <v>10000</v>
      </c>
      <c r="F29" s="19">
        <v>0</v>
      </c>
      <c r="G29" s="19">
        <f t="shared" si="2"/>
        <v>-10000</v>
      </c>
      <c r="H29" s="9" t="s">
        <v>1</v>
      </c>
      <c r="I29" s="1" t="str">
        <f t="shared" si="4"/>
        <v xml:space="preserve">        公共關係費 </v>
      </c>
    </row>
    <row r="30" spans="1:9" x14ac:dyDescent="0.4">
      <c r="A30" s="13" t="s">
        <v>1</v>
      </c>
      <c r="B30" s="7" t="s">
        <v>1</v>
      </c>
      <c r="C30" s="40">
        <v>7</v>
      </c>
      <c r="D30" s="11" t="s">
        <v>83</v>
      </c>
      <c r="E30" s="20">
        <v>10000</v>
      </c>
      <c r="F30" s="21">
        <v>139800</v>
      </c>
      <c r="G30" s="22">
        <f t="shared" si="2"/>
        <v>129800</v>
      </c>
      <c r="H30" s="9" t="s">
        <v>1</v>
      </c>
      <c r="I30" s="1" t="str">
        <f t="shared" si="4"/>
        <v xml:space="preserve">        購置費 </v>
      </c>
    </row>
    <row r="31" spans="1:9" x14ac:dyDescent="0.4">
      <c r="A31" s="13" t="s">
        <v>1</v>
      </c>
      <c r="B31" s="7" t="s">
        <v>1</v>
      </c>
      <c r="C31" s="40">
        <v>8</v>
      </c>
      <c r="D31" s="11" t="s">
        <v>84</v>
      </c>
      <c r="E31" s="20">
        <v>5000</v>
      </c>
      <c r="F31" s="21">
        <v>0</v>
      </c>
      <c r="G31" s="22">
        <f t="shared" si="2"/>
        <v>-5000</v>
      </c>
      <c r="H31" s="9" t="s">
        <v>1</v>
      </c>
      <c r="I31" s="1" t="str">
        <f t="shared" si="4"/>
        <v xml:space="preserve">        修繕費 </v>
      </c>
    </row>
    <row r="32" spans="1:9" x14ac:dyDescent="0.4">
      <c r="A32" s="13" t="s">
        <v>1</v>
      </c>
      <c r="B32" s="7" t="s">
        <v>1</v>
      </c>
      <c r="C32" s="40">
        <v>9</v>
      </c>
      <c r="D32" s="11" t="s">
        <v>85</v>
      </c>
      <c r="E32" s="20">
        <v>5000</v>
      </c>
      <c r="F32" s="21">
        <v>0</v>
      </c>
      <c r="G32" s="22">
        <f t="shared" si="2"/>
        <v>-5000</v>
      </c>
      <c r="H32" s="9" t="s">
        <v>1</v>
      </c>
      <c r="I32" s="1" t="str">
        <f t="shared" si="4"/>
        <v xml:space="preserve">        雜費 </v>
      </c>
    </row>
    <row r="33" spans="1:9" x14ac:dyDescent="0.4">
      <c r="A33" s="13" t="s">
        <v>1</v>
      </c>
      <c r="B33" s="13" t="s">
        <v>1</v>
      </c>
      <c r="C33" s="40">
        <v>10</v>
      </c>
      <c r="D33" s="11" t="s">
        <v>86</v>
      </c>
      <c r="E33" s="20">
        <v>40000</v>
      </c>
      <c r="F33" s="21">
        <v>0</v>
      </c>
      <c r="G33" s="22">
        <f t="shared" si="2"/>
        <v>-40000</v>
      </c>
      <c r="H33" s="9" t="s">
        <v>6</v>
      </c>
      <c r="I33" s="1" t="str">
        <f t="shared" si="4"/>
        <v xml:space="preserve">        水電費 </v>
      </c>
    </row>
    <row r="34" spans="1:9" x14ac:dyDescent="0.4">
      <c r="A34" s="53" t="s">
        <v>1</v>
      </c>
      <c r="B34" s="63">
        <v>3</v>
      </c>
      <c r="C34" s="53" t="s">
        <v>1</v>
      </c>
      <c r="D34" s="54" t="s">
        <v>96</v>
      </c>
      <c r="E34" s="68">
        <f>SUM(E35:E37)</f>
        <v>215000</v>
      </c>
      <c r="F34" s="66">
        <f>SUM(F35:F37)</f>
        <v>195000</v>
      </c>
      <c r="G34" s="70">
        <f t="shared" si="2"/>
        <v>-20000</v>
      </c>
      <c r="H34" s="9" t="s">
        <v>1</v>
      </c>
      <c r="I34" s="1" t="str">
        <f t="shared" si="4"/>
        <v xml:space="preserve">      業務費 </v>
      </c>
    </row>
    <row r="35" spans="1:9" x14ac:dyDescent="0.4">
      <c r="A35" s="13" t="s">
        <v>1</v>
      </c>
      <c r="B35" s="13" t="s">
        <v>1</v>
      </c>
      <c r="C35" s="16">
        <v>1</v>
      </c>
      <c r="D35" s="11" t="s">
        <v>87</v>
      </c>
      <c r="E35" s="20">
        <v>15000</v>
      </c>
      <c r="F35" s="21">
        <v>0</v>
      </c>
      <c r="G35" s="22">
        <f t="shared" si="2"/>
        <v>-15000</v>
      </c>
      <c r="H35" s="9" t="s">
        <v>7</v>
      </c>
      <c r="I35" s="1" t="str">
        <f t="shared" si="4"/>
        <v xml:space="preserve">        幹部業務費 </v>
      </c>
    </row>
    <row r="36" spans="1:9" x14ac:dyDescent="0.4">
      <c r="A36" s="13" t="s">
        <v>1</v>
      </c>
      <c r="B36" s="13" t="s">
        <v>1</v>
      </c>
      <c r="C36" s="16">
        <v>2</v>
      </c>
      <c r="D36" s="11" t="s">
        <v>88</v>
      </c>
      <c r="E36" s="20">
        <v>0</v>
      </c>
      <c r="F36" s="21">
        <v>0</v>
      </c>
      <c r="G36" s="22">
        <f t="shared" si="2"/>
        <v>0</v>
      </c>
      <c r="H36" s="9" t="s">
        <v>1</v>
      </c>
      <c r="I36" s="1" t="str">
        <f t="shared" si="4"/>
        <v xml:space="preserve">        幹部選舉選務費 </v>
      </c>
    </row>
    <row r="37" spans="1:9" x14ac:dyDescent="0.4">
      <c r="A37" s="13"/>
      <c r="B37" s="16"/>
      <c r="C37" s="16">
        <v>3</v>
      </c>
      <c r="D37" s="11" t="s">
        <v>89</v>
      </c>
      <c r="E37" s="20">
        <v>200000</v>
      </c>
      <c r="F37" s="21">
        <v>195000</v>
      </c>
      <c r="G37" s="22">
        <f t="shared" si="2"/>
        <v>-5000</v>
      </c>
      <c r="H37" s="9"/>
      <c r="I37" s="1" t="str">
        <f t="shared" si="4"/>
        <v xml:space="preserve">        活動業務費 </v>
      </c>
    </row>
    <row r="38" spans="1:9" x14ac:dyDescent="0.4">
      <c r="A38" s="53" t="s">
        <v>1</v>
      </c>
      <c r="B38" s="63">
        <v>4</v>
      </c>
      <c r="C38" s="53" t="s">
        <v>1</v>
      </c>
      <c r="D38" s="54" t="s">
        <v>90</v>
      </c>
      <c r="E38" s="68">
        <f>SUM(E39)</f>
        <v>30000</v>
      </c>
      <c r="F38" s="66">
        <f>SUM(F39)</f>
        <v>197000</v>
      </c>
      <c r="G38" s="70">
        <f t="shared" si="2"/>
        <v>167000</v>
      </c>
      <c r="H38" s="9" t="s">
        <v>1</v>
      </c>
      <c r="I38" s="1" t="str">
        <f t="shared" si="4"/>
        <v xml:space="preserve">      職員教育費 </v>
      </c>
    </row>
    <row r="39" spans="1:9" x14ac:dyDescent="0.4">
      <c r="A39" s="13" t="s">
        <v>1</v>
      </c>
      <c r="B39" s="16" t="s">
        <v>1</v>
      </c>
      <c r="C39" s="16">
        <v>1</v>
      </c>
      <c r="D39" s="8" t="s">
        <v>93</v>
      </c>
      <c r="E39" s="20">
        <v>30000</v>
      </c>
      <c r="F39" s="21">
        <v>197000</v>
      </c>
      <c r="G39" s="22">
        <f t="shared" si="2"/>
        <v>167000</v>
      </c>
      <c r="H39" s="9"/>
      <c r="I39" s="1" t="str">
        <f t="shared" si="4"/>
        <v xml:space="preserve">        組織發展教育研習費 </v>
      </c>
    </row>
    <row r="40" spans="1:9" x14ac:dyDescent="0.4">
      <c r="A40" s="53" t="s">
        <v>1</v>
      </c>
      <c r="B40" s="63">
        <v>5</v>
      </c>
      <c r="C40" s="53" t="s">
        <v>1</v>
      </c>
      <c r="D40" s="54" t="s">
        <v>91</v>
      </c>
      <c r="E40" s="68">
        <f>SUM(E41)</f>
        <v>10000</v>
      </c>
      <c r="F40" s="66">
        <f>SUM(F41)</f>
        <v>0</v>
      </c>
      <c r="G40" s="70">
        <f t="shared" si="2"/>
        <v>-10000</v>
      </c>
      <c r="H40" s="9" t="s">
        <v>1</v>
      </c>
      <c r="I40" s="1" t="str">
        <f t="shared" si="4"/>
        <v xml:space="preserve">      福利費 </v>
      </c>
    </row>
    <row r="41" spans="1:9" x14ac:dyDescent="0.4">
      <c r="A41" s="13" t="s">
        <v>1</v>
      </c>
      <c r="B41" s="16" t="s">
        <v>1</v>
      </c>
      <c r="C41" s="16">
        <v>1</v>
      </c>
      <c r="D41" s="8" t="s">
        <v>58</v>
      </c>
      <c r="E41" s="20">
        <v>10000</v>
      </c>
      <c r="F41" s="21">
        <v>0</v>
      </c>
      <c r="G41" s="22">
        <f t="shared" si="2"/>
        <v>-10000</v>
      </c>
      <c r="H41" s="9" t="s">
        <v>8</v>
      </c>
      <c r="I41" s="1" t="str">
        <f t="shared" si="4"/>
        <v xml:space="preserve">        會員慰問費 </v>
      </c>
    </row>
    <row r="42" spans="1:9" x14ac:dyDescent="0.4">
      <c r="A42" s="53" t="s">
        <v>1</v>
      </c>
      <c r="B42" s="63">
        <v>6</v>
      </c>
      <c r="C42" s="53" t="s">
        <v>1</v>
      </c>
      <c r="D42" s="54" t="s">
        <v>92</v>
      </c>
      <c r="E42" s="68">
        <f>SUM(E43)</f>
        <v>0</v>
      </c>
      <c r="F42" s="66">
        <f t="shared" ref="F42" si="5">SUM(F43)</f>
        <v>0</v>
      </c>
      <c r="G42" s="70">
        <f t="shared" si="2"/>
        <v>0</v>
      </c>
      <c r="H42" s="9" t="s">
        <v>1</v>
      </c>
      <c r="I42" s="1" t="str">
        <f t="shared" si="4"/>
        <v xml:space="preserve">      其他費用 </v>
      </c>
    </row>
    <row r="43" spans="1:9" x14ac:dyDescent="0.4">
      <c r="A43" s="17" t="s">
        <v>1</v>
      </c>
      <c r="B43" s="17" t="s">
        <v>1</v>
      </c>
      <c r="C43" s="18">
        <v>1</v>
      </c>
      <c r="D43" s="14" t="s">
        <v>97</v>
      </c>
      <c r="E43" s="23">
        <v>0</v>
      </c>
      <c r="F43" s="24">
        <v>0</v>
      </c>
      <c r="G43" s="25">
        <f t="shared" si="2"/>
        <v>0</v>
      </c>
      <c r="H43" s="9"/>
      <c r="I43" s="1" t="str">
        <f t="shared" si="4"/>
        <v xml:space="preserve">        其他費用 </v>
      </c>
    </row>
    <row r="44" spans="1:9" ht="19.5" customHeight="1" x14ac:dyDescent="0.4">
      <c r="A44" s="83" t="s">
        <v>13</v>
      </c>
      <c r="B44" s="84"/>
      <c r="C44" s="84"/>
      <c r="D44" s="85"/>
      <c r="E44" s="86">
        <f>F7-F15</f>
        <v>0</v>
      </c>
      <c r="F44" s="87"/>
      <c r="G44" s="88"/>
      <c r="H44" s="9"/>
    </row>
  </sheetData>
  <mergeCells count="10">
    <mergeCell ref="A44:D44"/>
    <mergeCell ref="E44:G44"/>
    <mergeCell ref="G5:G6"/>
    <mergeCell ref="H5:H6"/>
    <mergeCell ref="A1:H1"/>
    <mergeCell ref="E5:E6"/>
    <mergeCell ref="F5:F6"/>
    <mergeCell ref="A5:D5"/>
    <mergeCell ref="A3:H3"/>
    <mergeCell ref="A2:H2"/>
  </mergeCells>
  <phoneticPr fontId="3" type="noConversion"/>
  <conditionalFormatting sqref="G1:G1048576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644B-EB42-4088-B78F-C952F0BFC4C2}">
  <dimension ref="A1:K45"/>
  <sheetViews>
    <sheetView tabSelected="1" zoomScale="70" zoomScaleNormal="70" workbookViewId="0">
      <selection activeCell="G8" sqref="G8"/>
    </sheetView>
  </sheetViews>
  <sheetFormatPr defaultRowHeight="17" x14ac:dyDescent="0.4"/>
  <cols>
    <col min="1" max="3" width="3.90625" style="3" customWidth="1"/>
    <col min="4" max="4" width="27.54296875" style="1" customWidth="1"/>
    <col min="5" max="5" width="13.7265625" style="77" bestFit="1" customWidth="1"/>
    <col min="6" max="6" width="11.08984375" style="77" bestFit="1" customWidth="1"/>
    <col min="7" max="7" width="11.08984375" style="78" bestFit="1" customWidth="1"/>
    <col min="8" max="8" width="37.1796875" style="82" customWidth="1"/>
    <col min="9" max="9" width="13.453125" style="1" bestFit="1" customWidth="1"/>
    <col min="10" max="16384" width="8.7265625" style="1"/>
  </cols>
  <sheetData>
    <row r="1" spans="1:11" ht="25" customHeight="1" x14ac:dyDescent="0.4">
      <c r="A1" s="91" t="s">
        <v>110</v>
      </c>
      <c r="B1" s="92"/>
      <c r="C1" s="92"/>
      <c r="D1" s="92"/>
      <c r="E1" s="92"/>
      <c r="F1" s="92"/>
      <c r="G1" s="92"/>
      <c r="H1" s="92"/>
    </row>
    <row r="2" spans="1:11" ht="25" x14ac:dyDescent="0.4">
      <c r="A2" s="98" t="s">
        <v>33</v>
      </c>
      <c r="B2" s="98"/>
      <c r="C2" s="98"/>
      <c r="D2" s="98"/>
      <c r="E2" s="98"/>
      <c r="F2" s="98"/>
      <c r="G2" s="98"/>
      <c r="H2" s="98"/>
    </row>
    <row r="3" spans="1:11" ht="22" thickBot="1" x14ac:dyDescent="0.45">
      <c r="A3" s="99" t="s">
        <v>104</v>
      </c>
      <c r="B3" s="99"/>
      <c r="C3" s="99"/>
      <c r="D3" s="99"/>
      <c r="E3" s="99"/>
      <c r="F3" s="99"/>
      <c r="G3" s="99"/>
      <c r="H3" s="99"/>
    </row>
    <row r="4" spans="1:11" ht="25.5" thickBot="1" x14ac:dyDescent="0.45">
      <c r="A4" s="35"/>
      <c r="B4" s="36"/>
      <c r="C4" s="36"/>
      <c r="D4" s="36"/>
      <c r="E4" s="41"/>
      <c r="F4" s="41"/>
      <c r="G4" s="41"/>
      <c r="H4" s="79" t="s">
        <v>29</v>
      </c>
    </row>
    <row r="5" spans="1:11" ht="19.5" customHeight="1" x14ac:dyDescent="0.4">
      <c r="A5" s="106" t="s">
        <v>107</v>
      </c>
      <c r="B5" s="107"/>
      <c r="C5" s="107"/>
      <c r="D5" s="108"/>
      <c r="E5" s="109" t="s">
        <v>25</v>
      </c>
      <c r="F5" s="109" t="s">
        <v>61</v>
      </c>
      <c r="G5" s="89" t="s">
        <v>27</v>
      </c>
      <c r="H5" s="111" t="s">
        <v>108</v>
      </c>
    </row>
    <row r="6" spans="1:11" ht="17.5" thickBot="1" x14ac:dyDescent="0.45">
      <c r="A6" s="73" t="s">
        <v>115</v>
      </c>
      <c r="B6" s="74" t="s">
        <v>114</v>
      </c>
      <c r="C6" s="74" t="s">
        <v>113</v>
      </c>
      <c r="D6" s="75" t="s">
        <v>28</v>
      </c>
      <c r="E6" s="110"/>
      <c r="F6" s="110"/>
      <c r="G6" s="90"/>
      <c r="H6" s="112"/>
    </row>
    <row r="7" spans="1:11" s="37" customFormat="1" x14ac:dyDescent="0.4">
      <c r="A7" s="72">
        <v>1</v>
      </c>
      <c r="B7" s="26" t="s">
        <v>1</v>
      </c>
      <c r="C7" s="27" t="s">
        <v>1</v>
      </c>
      <c r="D7" s="48" t="s">
        <v>31</v>
      </c>
      <c r="E7" s="49">
        <f>SUM(E8:E14)</f>
        <v>1675184</v>
      </c>
      <c r="F7" s="49">
        <f>SUM(F8:F13)</f>
        <v>941484</v>
      </c>
      <c r="G7" s="50">
        <f>IFERROR((E7-F7)/F7,"0%")</f>
        <v>0.7793016131978876</v>
      </c>
      <c r="H7" s="80" t="s">
        <v>1</v>
      </c>
      <c r="J7" s="38"/>
    </row>
    <row r="8" spans="1:11" s="37" customFormat="1" x14ac:dyDescent="0.4">
      <c r="A8" s="5" t="s">
        <v>1</v>
      </c>
      <c r="B8" s="6">
        <v>1</v>
      </c>
      <c r="C8" s="5"/>
      <c r="D8" s="7" t="s">
        <v>70</v>
      </c>
      <c r="E8" s="42">
        <v>0</v>
      </c>
      <c r="F8" s="42">
        <v>0</v>
      </c>
      <c r="G8" s="52" t="str">
        <f t="shared" ref="G8:G44" si="0">IFERROR((E8-F8)/F8,"0%")</f>
        <v>0%</v>
      </c>
      <c r="H8" s="80"/>
    </row>
    <row r="9" spans="1:11" s="37" customFormat="1" x14ac:dyDescent="0.4">
      <c r="A9" s="5" t="s">
        <v>1</v>
      </c>
      <c r="B9" s="6">
        <v>2</v>
      </c>
      <c r="C9" s="5"/>
      <c r="D9" s="8" t="s">
        <v>71</v>
      </c>
      <c r="E9" s="43">
        <v>156000</v>
      </c>
      <c r="F9" s="43">
        <v>72000</v>
      </c>
      <c r="G9" s="52">
        <f t="shared" si="0"/>
        <v>1.1666666666666667</v>
      </c>
      <c r="H9" s="81" t="s">
        <v>23</v>
      </c>
    </row>
    <row r="10" spans="1:11" s="37" customFormat="1" x14ac:dyDescent="0.4">
      <c r="A10" s="5" t="s">
        <v>1</v>
      </c>
      <c r="B10" s="6">
        <v>3</v>
      </c>
      <c r="C10" s="5"/>
      <c r="D10" s="8" t="s">
        <v>72</v>
      </c>
      <c r="E10" s="44">
        <v>300</v>
      </c>
      <c r="F10" s="44">
        <v>300</v>
      </c>
      <c r="G10" s="52">
        <f t="shared" si="0"/>
        <v>0</v>
      </c>
      <c r="H10" s="81"/>
    </row>
    <row r="11" spans="1:11" s="37" customFormat="1" ht="34" x14ac:dyDescent="0.4">
      <c r="A11" s="5" t="s">
        <v>1</v>
      </c>
      <c r="B11" s="6">
        <v>4</v>
      </c>
      <c r="C11" s="10"/>
      <c r="D11" s="11" t="s">
        <v>73</v>
      </c>
      <c r="E11" s="44">
        <v>594884</v>
      </c>
      <c r="F11" s="44">
        <v>569184</v>
      </c>
      <c r="G11" s="52">
        <f>IFERROR((E11-F11)/F11,"0%")</f>
        <v>4.5152358464046777E-2</v>
      </c>
      <c r="H11" s="81" t="s">
        <v>62</v>
      </c>
      <c r="K11" s="39"/>
    </row>
    <row r="12" spans="1:11" s="37" customFormat="1" x14ac:dyDescent="0.4">
      <c r="A12" s="5" t="s">
        <v>1</v>
      </c>
      <c r="B12" s="6">
        <v>5</v>
      </c>
      <c r="C12" s="5"/>
      <c r="D12" s="8" t="s">
        <v>74</v>
      </c>
      <c r="E12" s="44">
        <v>900000</v>
      </c>
      <c r="F12" s="44">
        <v>300000</v>
      </c>
      <c r="G12" s="52">
        <f t="shared" si="0"/>
        <v>2</v>
      </c>
      <c r="H12" s="81" t="s">
        <v>3</v>
      </c>
      <c r="K12" s="39"/>
    </row>
    <row r="13" spans="1:11" s="37" customFormat="1" x14ac:dyDescent="0.4">
      <c r="A13" s="5" t="s">
        <v>1</v>
      </c>
      <c r="B13" s="6">
        <v>6</v>
      </c>
      <c r="C13" s="5"/>
      <c r="D13" s="8" t="s">
        <v>75</v>
      </c>
      <c r="E13" s="44">
        <v>0</v>
      </c>
      <c r="F13" s="44">
        <v>0</v>
      </c>
      <c r="G13" s="52" t="str">
        <f t="shared" si="0"/>
        <v>0%</v>
      </c>
      <c r="H13" s="81"/>
      <c r="K13" s="39"/>
    </row>
    <row r="14" spans="1:11" s="37" customFormat="1" x14ac:dyDescent="0.4">
      <c r="A14" s="5" t="s">
        <v>1</v>
      </c>
      <c r="B14" s="6">
        <v>7</v>
      </c>
      <c r="C14" s="12"/>
      <c r="D14" s="9" t="s">
        <v>76</v>
      </c>
      <c r="E14" s="44">
        <v>24000</v>
      </c>
      <c r="F14" s="44">
        <v>24000</v>
      </c>
      <c r="G14" s="52">
        <f>IFERROR((E14-F14)/F14,"0%")</f>
        <v>0</v>
      </c>
      <c r="H14" s="81" t="s">
        <v>14</v>
      </c>
      <c r="K14" s="39"/>
    </row>
    <row r="15" spans="1:11" s="37" customFormat="1" x14ac:dyDescent="0.4">
      <c r="A15" s="31">
        <v>2</v>
      </c>
      <c r="B15" s="32" t="s">
        <v>1</v>
      </c>
      <c r="C15" s="32" t="s">
        <v>1</v>
      </c>
      <c r="D15" s="33" t="s">
        <v>32</v>
      </c>
      <c r="E15" s="51">
        <f>SUM(E16+E23+E34+E39+E41+E43)</f>
        <v>1675184</v>
      </c>
      <c r="F15" s="51">
        <f>SUM(F16+F23+F34+F39+F41+F43)</f>
        <v>941184</v>
      </c>
      <c r="G15" s="50">
        <f t="shared" si="0"/>
        <v>0.77986876104991165</v>
      </c>
      <c r="H15" s="81" t="s">
        <v>18</v>
      </c>
      <c r="K15" s="39"/>
    </row>
    <row r="16" spans="1:11" s="58" customFormat="1" x14ac:dyDescent="0.4">
      <c r="A16" s="60" t="s">
        <v>9</v>
      </c>
      <c r="B16" s="61">
        <v>1</v>
      </c>
      <c r="C16" s="61" t="s">
        <v>1</v>
      </c>
      <c r="D16" s="54" t="s">
        <v>34</v>
      </c>
      <c r="E16" s="56">
        <f>SUM(E17:E22)</f>
        <v>572184</v>
      </c>
      <c r="F16" s="56">
        <f>SUM(F17:F22)</f>
        <v>582184</v>
      </c>
      <c r="G16" s="57">
        <f t="shared" si="0"/>
        <v>-1.7176700149780826E-2</v>
      </c>
      <c r="H16" s="81" t="s">
        <v>1</v>
      </c>
    </row>
    <row r="17" spans="1:8" s="37" customFormat="1" x14ac:dyDescent="0.4">
      <c r="A17" s="13" t="s">
        <v>1</v>
      </c>
      <c r="B17" s="40" t="s">
        <v>1</v>
      </c>
      <c r="C17" s="59">
        <v>1</v>
      </c>
      <c r="D17" s="11" t="s">
        <v>35</v>
      </c>
      <c r="E17" s="44">
        <v>432000</v>
      </c>
      <c r="F17" s="44">
        <v>432000</v>
      </c>
      <c r="G17" s="52">
        <f t="shared" si="0"/>
        <v>0</v>
      </c>
      <c r="H17" s="81" t="s">
        <v>15</v>
      </c>
    </row>
    <row r="18" spans="1:8" s="37" customFormat="1" x14ac:dyDescent="0.4">
      <c r="A18" s="13" t="s">
        <v>1</v>
      </c>
      <c r="B18" s="40" t="s">
        <v>1</v>
      </c>
      <c r="C18" s="59">
        <v>2</v>
      </c>
      <c r="D18" s="11" t="s">
        <v>36</v>
      </c>
      <c r="E18" s="43">
        <v>0</v>
      </c>
      <c r="F18" s="43">
        <v>10000</v>
      </c>
      <c r="G18" s="52">
        <f t="shared" si="0"/>
        <v>-1</v>
      </c>
      <c r="H18" s="81" t="s">
        <v>21</v>
      </c>
    </row>
    <row r="19" spans="1:8" s="37" customFormat="1" x14ac:dyDescent="0.4">
      <c r="A19" s="13" t="s">
        <v>1</v>
      </c>
      <c r="B19" s="40" t="s">
        <v>1</v>
      </c>
      <c r="C19" s="59">
        <v>3</v>
      </c>
      <c r="D19" s="11" t="s">
        <v>37</v>
      </c>
      <c r="E19" s="43">
        <v>54000</v>
      </c>
      <c r="F19" s="43">
        <v>54000</v>
      </c>
      <c r="G19" s="52">
        <f t="shared" si="0"/>
        <v>0</v>
      </c>
      <c r="H19" s="81" t="s">
        <v>16</v>
      </c>
    </row>
    <row r="20" spans="1:8" s="37" customFormat="1" x14ac:dyDescent="0.4">
      <c r="A20" s="13" t="s">
        <v>1</v>
      </c>
      <c r="B20" s="40" t="s">
        <v>1</v>
      </c>
      <c r="C20" s="59">
        <v>4</v>
      </c>
      <c r="D20" s="11" t="s">
        <v>38</v>
      </c>
      <c r="E20" s="43">
        <v>58284</v>
      </c>
      <c r="F20" s="43">
        <v>58284</v>
      </c>
      <c r="G20" s="52">
        <f t="shared" si="0"/>
        <v>0</v>
      </c>
      <c r="H20" s="81" t="s">
        <v>22</v>
      </c>
    </row>
    <row r="21" spans="1:8" s="37" customFormat="1" x14ac:dyDescent="0.4">
      <c r="A21" s="13" t="s">
        <v>1</v>
      </c>
      <c r="B21" s="40" t="s">
        <v>1</v>
      </c>
      <c r="C21" s="59">
        <v>5</v>
      </c>
      <c r="D21" s="11" t="s">
        <v>39</v>
      </c>
      <c r="E21" s="43">
        <v>25920</v>
      </c>
      <c r="F21" s="43">
        <v>25920</v>
      </c>
      <c r="G21" s="52">
        <f t="shared" si="0"/>
        <v>0</v>
      </c>
      <c r="H21" s="81" t="s">
        <v>17</v>
      </c>
    </row>
    <row r="22" spans="1:8" s="37" customFormat="1" x14ac:dyDescent="0.4">
      <c r="A22" s="13" t="s">
        <v>1</v>
      </c>
      <c r="B22" s="40" t="s">
        <v>1</v>
      </c>
      <c r="C22" s="59">
        <v>6</v>
      </c>
      <c r="D22" s="14" t="s">
        <v>40</v>
      </c>
      <c r="E22" s="43">
        <v>1980</v>
      </c>
      <c r="F22" s="43">
        <v>1980</v>
      </c>
      <c r="G22" s="52">
        <f t="shared" si="0"/>
        <v>0</v>
      </c>
      <c r="H22" s="81" t="s">
        <v>19</v>
      </c>
    </row>
    <row r="23" spans="1:8" s="58" customFormat="1" x14ac:dyDescent="0.4">
      <c r="A23" s="53" t="s">
        <v>1</v>
      </c>
      <c r="B23" s="61">
        <v>2</v>
      </c>
      <c r="C23" s="65" t="s">
        <v>1</v>
      </c>
      <c r="D23" s="54" t="s">
        <v>95</v>
      </c>
      <c r="E23" s="55">
        <f>SUM(E24:E33)</f>
        <v>218000</v>
      </c>
      <c r="F23" s="62">
        <f>SUM(F24:F33)</f>
        <v>104000</v>
      </c>
      <c r="G23" s="57">
        <f t="shared" si="0"/>
        <v>1.0961538461538463</v>
      </c>
      <c r="H23" s="81" t="s">
        <v>1</v>
      </c>
    </row>
    <row r="24" spans="1:8" s="37" customFormat="1" x14ac:dyDescent="0.4">
      <c r="A24" s="13" t="s">
        <v>1</v>
      </c>
      <c r="B24" s="40" t="s">
        <v>1</v>
      </c>
      <c r="C24" s="40">
        <v>1</v>
      </c>
      <c r="D24" s="15" t="s">
        <v>106</v>
      </c>
      <c r="E24" s="43">
        <v>6000</v>
      </c>
      <c r="F24" s="43">
        <v>6000</v>
      </c>
      <c r="G24" s="52">
        <f t="shared" si="0"/>
        <v>0</v>
      </c>
      <c r="H24" s="81" t="s">
        <v>63</v>
      </c>
    </row>
    <row r="25" spans="1:8" s="37" customFormat="1" x14ac:dyDescent="0.4">
      <c r="A25" s="13" t="s">
        <v>1</v>
      </c>
      <c r="B25" s="40" t="s">
        <v>1</v>
      </c>
      <c r="C25" s="40">
        <v>2</v>
      </c>
      <c r="D25" s="11" t="s">
        <v>41</v>
      </c>
      <c r="E25" s="43">
        <v>0</v>
      </c>
      <c r="F25" s="43">
        <v>6000</v>
      </c>
      <c r="G25" s="52">
        <f t="shared" si="0"/>
        <v>-1</v>
      </c>
      <c r="H25" s="81" t="s">
        <v>64</v>
      </c>
    </row>
    <row r="26" spans="1:8" s="37" customFormat="1" x14ac:dyDescent="0.4">
      <c r="A26" s="13" t="s">
        <v>1</v>
      </c>
      <c r="B26" s="40" t="s">
        <v>1</v>
      </c>
      <c r="C26" s="40">
        <v>3</v>
      </c>
      <c r="D26" s="11" t="s">
        <v>42</v>
      </c>
      <c r="E26" s="43">
        <v>0</v>
      </c>
      <c r="F26" s="43">
        <v>10000</v>
      </c>
      <c r="G26" s="52">
        <f t="shared" si="0"/>
        <v>-1</v>
      </c>
      <c r="H26" s="81" t="s">
        <v>64</v>
      </c>
    </row>
    <row r="27" spans="1:8" s="37" customFormat="1" x14ac:dyDescent="0.4">
      <c r="A27" s="13" t="s">
        <v>1</v>
      </c>
      <c r="B27" s="40" t="s">
        <v>1</v>
      </c>
      <c r="C27" s="40">
        <v>4</v>
      </c>
      <c r="D27" s="11" t="s">
        <v>43</v>
      </c>
      <c r="E27" s="43">
        <v>0</v>
      </c>
      <c r="F27" s="43">
        <v>10000</v>
      </c>
      <c r="G27" s="52">
        <f t="shared" si="0"/>
        <v>-1</v>
      </c>
      <c r="H27" s="81" t="s">
        <v>64</v>
      </c>
    </row>
    <row r="28" spans="1:8" s="37" customFormat="1" x14ac:dyDescent="0.4">
      <c r="A28" s="13" t="s">
        <v>1</v>
      </c>
      <c r="B28" s="40" t="s">
        <v>1</v>
      </c>
      <c r="C28" s="40">
        <v>5</v>
      </c>
      <c r="D28" s="11" t="s">
        <v>44</v>
      </c>
      <c r="E28" s="43">
        <v>2000</v>
      </c>
      <c r="F28" s="43">
        <v>2000</v>
      </c>
      <c r="G28" s="52">
        <f t="shared" si="0"/>
        <v>0</v>
      </c>
      <c r="H28" s="81" t="s">
        <v>1</v>
      </c>
    </row>
    <row r="29" spans="1:8" s="37" customFormat="1" x14ac:dyDescent="0.4">
      <c r="A29" s="13" t="s">
        <v>1</v>
      </c>
      <c r="B29" s="40" t="s">
        <v>1</v>
      </c>
      <c r="C29" s="40">
        <v>6</v>
      </c>
      <c r="D29" s="11" t="s">
        <v>45</v>
      </c>
      <c r="E29" s="43">
        <v>10000</v>
      </c>
      <c r="F29" s="43">
        <v>10000</v>
      </c>
      <c r="G29" s="52">
        <f t="shared" si="0"/>
        <v>0</v>
      </c>
      <c r="H29" s="81" t="s">
        <v>1</v>
      </c>
    </row>
    <row r="30" spans="1:8" s="37" customFormat="1" x14ac:dyDescent="0.4">
      <c r="A30" s="13" t="s">
        <v>1</v>
      </c>
      <c r="B30" s="40" t="s">
        <v>1</v>
      </c>
      <c r="C30" s="40">
        <v>7</v>
      </c>
      <c r="D30" s="11" t="s">
        <v>46</v>
      </c>
      <c r="E30" s="43">
        <v>150000</v>
      </c>
      <c r="F30" s="43">
        <v>10000</v>
      </c>
      <c r="G30" s="52">
        <f t="shared" si="0"/>
        <v>14</v>
      </c>
      <c r="H30" s="81" t="s">
        <v>1</v>
      </c>
    </row>
    <row r="31" spans="1:8" s="37" customFormat="1" x14ac:dyDescent="0.4">
      <c r="A31" s="13" t="s">
        <v>1</v>
      </c>
      <c r="B31" s="40" t="s">
        <v>1</v>
      </c>
      <c r="C31" s="40">
        <v>8</v>
      </c>
      <c r="D31" s="11" t="s">
        <v>47</v>
      </c>
      <c r="E31" s="43">
        <v>5000</v>
      </c>
      <c r="F31" s="43">
        <v>5000</v>
      </c>
      <c r="G31" s="52">
        <f t="shared" si="0"/>
        <v>0</v>
      </c>
      <c r="H31" s="81" t="s">
        <v>1</v>
      </c>
    </row>
    <row r="32" spans="1:8" s="37" customFormat="1" x14ac:dyDescent="0.4">
      <c r="A32" s="13" t="s">
        <v>1</v>
      </c>
      <c r="B32" s="40" t="s">
        <v>1</v>
      </c>
      <c r="C32" s="40">
        <v>9</v>
      </c>
      <c r="D32" s="11" t="s">
        <v>48</v>
      </c>
      <c r="E32" s="43">
        <v>5000</v>
      </c>
      <c r="F32" s="43">
        <v>5000</v>
      </c>
      <c r="G32" s="52">
        <f t="shared" si="0"/>
        <v>0</v>
      </c>
      <c r="H32" s="81" t="s">
        <v>1</v>
      </c>
    </row>
    <row r="33" spans="1:8" s="37" customFormat="1" x14ac:dyDescent="0.4">
      <c r="A33" s="13" t="s">
        <v>1</v>
      </c>
      <c r="B33" s="16" t="s">
        <v>1</v>
      </c>
      <c r="C33" s="40">
        <v>10</v>
      </c>
      <c r="D33" s="11" t="s">
        <v>49</v>
      </c>
      <c r="E33" s="43">
        <v>40000</v>
      </c>
      <c r="F33" s="43">
        <v>40000</v>
      </c>
      <c r="G33" s="52">
        <f t="shared" si="0"/>
        <v>0</v>
      </c>
      <c r="H33" s="81" t="s">
        <v>65</v>
      </c>
    </row>
    <row r="34" spans="1:8" s="58" customFormat="1" x14ac:dyDescent="0.4">
      <c r="A34" s="53" t="s">
        <v>1</v>
      </c>
      <c r="B34" s="63">
        <v>3</v>
      </c>
      <c r="C34" s="63" t="s">
        <v>1</v>
      </c>
      <c r="D34" s="54" t="s">
        <v>50</v>
      </c>
      <c r="E34" s="55">
        <f>SUM(E35:E38)</f>
        <v>665000</v>
      </c>
      <c r="F34" s="56">
        <f>SUM(F35:F38)</f>
        <v>215000</v>
      </c>
      <c r="G34" s="57">
        <f t="shared" si="0"/>
        <v>2.0930232558139537</v>
      </c>
      <c r="H34" s="81" t="s">
        <v>1</v>
      </c>
    </row>
    <row r="35" spans="1:8" s="37" customFormat="1" x14ac:dyDescent="0.4">
      <c r="A35" s="13" t="s">
        <v>1</v>
      </c>
      <c r="B35" s="16" t="s">
        <v>1</v>
      </c>
      <c r="C35" s="16">
        <v>1</v>
      </c>
      <c r="D35" s="11" t="s">
        <v>51</v>
      </c>
      <c r="E35" s="43">
        <v>15000</v>
      </c>
      <c r="F35" s="43">
        <v>15000</v>
      </c>
      <c r="G35" s="52">
        <f t="shared" si="0"/>
        <v>0</v>
      </c>
      <c r="H35" s="81" t="s">
        <v>20</v>
      </c>
    </row>
    <row r="36" spans="1:8" s="37" customFormat="1" x14ac:dyDescent="0.4">
      <c r="A36" s="13" t="s">
        <v>1</v>
      </c>
      <c r="B36" s="16" t="s">
        <v>1</v>
      </c>
      <c r="C36" s="16">
        <v>2</v>
      </c>
      <c r="D36" s="11" t="s">
        <v>52</v>
      </c>
      <c r="E36" s="43">
        <v>0</v>
      </c>
      <c r="F36" s="43">
        <v>0</v>
      </c>
      <c r="G36" s="52" t="str">
        <f t="shared" si="0"/>
        <v>0%</v>
      </c>
      <c r="H36" s="81" t="s">
        <v>67</v>
      </c>
    </row>
    <row r="37" spans="1:8" s="37" customFormat="1" x14ac:dyDescent="0.4">
      <c r="A37" s="13"/>
      <c r="B37" s="16"/>
      <c r="C37" s="16">
        <v>3</v>
      </c>
      <c r="D37" s="11" t="s">
        <v>53</v>
      </c>
      <c r="E37" s="43">
        <v>300000</v>
      </c>
      <c r="F37" s="43">
        <v>200000</v>
      </c>
      <c r="G37" s="52">
        <f t="shared" si="0"/>
        <v>0.5</v>
      </c>
      <c r="H37" s="81" t="s">
        <v>66</v>
      </c>
    </row>
    <row r="38" spans="1:8" s="37" customFormat="1" x14ac:dyDescent="0.4">
      <c r="A38" s="13"/>
      <c r="B38" s="16"/>
      <c r="C38" s="16">
        <v>4</v>
      </c>
      <c r="D38" s="11" t="s">
        <v>54</v>
      </c>
      <c r="E38" s="43">
        <v>350000</v>
      </c>
      <c r="F38" s="44">
        <v>0</v>
      </c>
      <c r="G38" s="52" t="str">
        <f t="shared" si="0"/>
        <v>0%</v>
      </c>
      <c r="H38" s="81" t="s">
        <v>68</v>
      </c>
    </row>
    <row r="39" spans="1:8" s="58" customFormat="1" x14ac:dyDescent="0.4">
      <c r="A39" s="53" t="s">
        <v>1</v>
      </c>
      <c r="B39" s="63"/>
      <c r="C39" s="63">
        <v>5</v>
      </c>
      <c r="D39" s="54" t="s">
        <v>55</v>
      </c>
      <c r="E39" s="55">
        <f>SUM(E40)</f>
        <v>200000</v>
      </c>
      <c r="F39" s="56">
        <f>SUM(F40)</f>
        <v>30000</v>
      </c>
      <c r="G39" s="57">
        <f t="shared" si="0"/>
        <v>5.666666666666667</v>
      </c>
      <c r="H39" s="81"/>
    </row>
    <row r="40" spans="1:8" s="37" customFormat="1" x14ac:dyDescent="0.4">
      <c r="A40" s="13" t="s">
        <v>1</v>
      </c>
      <c r="B40" s="16" t="s">
        <v>1</v>
      </c>
      <c r="C40" s="16">
        <v>6</v>
      </c>
      <c r="D40" s="8" t="s">
        <v>56</v>
      </c>
      <c r="E40" s="43">
        <v>200000</v>
      </c>
      <c r="F40" s="44">
        <v>30000</v>
      </c>
      <c r="G40" s="52">
        <f t="shared" si="0"/>
        <v>5.666666666666667</v>
      </c>
      <c r="H40" s="81"/>
    </row>
    <row r="41" spans="1:8" s="58" customFormat="1" x14ac:dyDescent="0.4">
      <c r="A41" s="53" t="s">
        <v>1</v>
      </c>
      <c r="B41" s="63">
        <v>4</v>
      </c>
      <c r="C41" s="63" t="s">
        <v>1</v>
      </c>
      <c r="D41" s="54" t="s">
        <v>57</v>
      </c>
      <c r="E41" s="55">
        <f>SUM(E42)</f>
        <v>10000</v>
      </c>
      <c r="F41" s="56">
        <f>SUM(F42)</f>
        <v>10000</v>
      </c>
      <c r="G41" s="57">
        <f t="shared" si="0"/>
        <v>0</v>
      </c>
      <c r="H41" s="81" t="s">
        <v>1</v>
      </c>
    </row>
    <row r="42" spans="1:8" s="37" customFormat="1" x14ac:dyDescent="0.4">
      <c r="A42" s="13" t="s">
        <v>1</v>
      </c>
      <c r="B42" s="16" t="s">
        <v>1</v>
      </c>
      <c r="C42" s="16">
        <v>1</v>
      </c>
      <c r="D42" s="8" t="s">
        <v>58</v>
      </c>
      <c r="E42" s="43">
        <v>10000</v>
      </c>
      <c r="F42" s="43">
        <v>10000</v>
      </c>
      <c r="G42" s="52">
        <f t="shared" si="0"/>
        <v>0</v>
      </c>
      <c r="H42" s="81" t="s">
        <v>69</v>
      </c>
    </row>
    <row r="43" spans="1:8" s="58" customFormat="1" x14ac:dyDescent="0.4">
      <c r="A43" s="53" t="s">
        <v>1</v>
      </c>
      <c r="B43" s="63">
        <v>5</v>
      </c>
      <c r="C43" s="63" t="s">
        <v>1</v>
      </c>
      <c r="D43" s="54" t="s">
        <v>59</v>
      </c>
      <c r="E43" s="55">
        <f>SUM(E44)</f>
        <v>10000</v>
      </c>
      <c r="F43" s="56">
        <f t="shared" ref="F43" si="1">SUM(F44)</f>
        <v>0</v>
      </c>
      <c r="G43" s="57" t="str">
        <f t="shared" si="0"/>
        <v>0%</v>
      </c>
      <c r="H43" s="81" t="s">
        <v>18</v>
      </c>
    </row>
    <row r="44" spans="1:8" s="37" customFormat="1" x14ac:dyDescent="0.4">
      <c r="A44" s="47" t="s">
        <v>1</v>
      </c>
      <c r="B44" s="64" t="s">
        <v>1</v>
      </c>
      <c r="C44" s="64">
        <v>1</v>
      </c>
      <c r="D44" s="14" t="s">
        <v>60</v>
      </c>
      <c r="E44" s="45">
        <v>10000</v>
      </c>
      <c r="F44" s="46">
        <v>0</v>
      </c>
      <c r="G44" s="52" t="str">
        <f t="shared" si="0"/>
        <v>0%</v>
      </c>
      <c r="H44" s="81"/>
    </row>
    <row r="45" spans="1:8" s="37" customFormat="1" x14ac:dyDescent="0.4">
      <c r="A45" s="100" t="s">
        <v>12</v>
      </c>
      <c r="B45" s="101"/>
      <c r="C45" s="101"/>
      <c r="D45" s="102"/>
      <c r="E45" s="103">
        <f>E7-E15</f>
        <v>0</v>
      </c>
      <c r="F45" s="104"/>
      <c r="G45" s="105"/>
      <c r="H45" s="81"/>
    </row>
  </sheetData>
  <mergeCells count="10">
    <mergeCell ref="A1:H1"/>
    <mergeCell ref="A2:H2"/>
    <mergeCell ref="A3:H3"/>
    <mergeCell ref="A45:D45"/>
    <mergeCell ref="E45:G45"/>
    <mergeCell ref="A5:D5"/>
    <mergeCell ref="E5:E6"/>
    <mergeCell ref="F5:F6"/>
    <mergeCell ref="G5:G6"/>
    <mergeCell ref="H5:H6"/>
  </mergeCells>
  <phoneticPr fontId="3" type="noConversion"/>
  <conditionalFormatting sqref="G1:G3 G46:G1048576 E45 G5:G44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112決算表</vt:lpstr>
      <vt:lpstr>112預算表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江珞甄</dc:creator>
  <cp:lastModifiedBy>江珞甄</cp:lastModifiedBy>
  <dcterms:created xsi:type="dcterms:W3CDTF">2023-12-22T14:26:25Z</dcterms:created>
  <dcterms:modified xsi:type="dcterms:W3CDTF">2023-12-29T14:34:02Z</dcterms:modified>
</cp:coreProperties>
</file>