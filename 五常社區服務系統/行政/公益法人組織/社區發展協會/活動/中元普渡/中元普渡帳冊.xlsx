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dy\Dropbox\社區發展協會\活動\中元普渡\"/>
    </mc:Choice>
  </mc:AlternateContent>
  <xr:revisionPtr revIDLastSave="0" documentId="13_ncr:1_{6107A38B-360A-431A-B76C-C8335CE5BDD8}" xr6:coauthVersionLast="47" xr6:coauthVersionMax="47" xr10:uidLastSave="{00000000-0000-0000-0000-000000000000}"/>
  <bookViews>
    <workbookView xWindow="-120" yWindow="-120" windowWidth="29040" windowHeight="15840" xr2:uid="{082F7244-78D8-4BA7-B4CF-331ABC965FF5}"/>
  </bookViews>
  <sheets>
    <sheet name="工作表1" sheetId="1" r:id="rId1"/>
  </sheets>
  <definedNames>
    <definedName name="_xlnm.Print_Area" localSheetId="0">工作表1!$A$1:$G$37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34" i="1"/>
  <c r="F19" i="1"/>
  <c r="F20" i="1" l="1"/>
</calcChain>
</file>

<file path=xl/sharedStrings.xml><?xml version="1.0" encoding="utf-8"?>
<sst xmlns="http://schemas.openxmlformats.org/spreadsheetml/2006/main" count="101" uniqueCount="47">
  <si>
    <t>科目</t>
    <phoneticPr fontId="1" type="noConversion"/>
  </si>
  <si>
    <t>名稱</t>
    <phoneticPr fontId="1" type="noConversion"/>
  </si>
  <si>
    <t xml:space="preserve"> 備註</t>
    <phoneticPr fontId="1" type="noConversion"/>
  </si>
  <si>
    <t>捐助收入</t>
    <phoneticPr fontId="1" type="noConversion"/>
  </si>
  <si>
    <t>贊普捐助</t>
    <phoneticPr fontId="1" type="noConversion"/>
  </si>
  <si>
    <t>1號簿</t>
    <phoneticPr fontId="1" type="noConversion"/>
  </si>
  <si>
    <t>金額</t>
    <phoneticPr fontId="1" type="noConversion"/>
  </si>
  <si>
    <t>2號簿</t>
    <phoneticPr fontId="1" type="noConversion"/>
  </si>
  <si>
    <t>3號簿</t>
  </si>
  <si>
    <t>4號簿</t>
  </si>
  <si>
    <t>5號簿</t>
  </si>
  <si>
    <t>6號簿</t>
  </si>
  <si>
    <t>7號簿</t>
  </si>
  <si>
    <t>8號簿</t>
  </si>
  <si>
    <t>9號簿</t>
  </si>
  <si>
    <t>款</t>
    <phoneticPr fontId="1" type="noConversion"/>
  </si>
  <si>
    <t>項</t>
    <phoneticPr fontId="1" type="noConversion"/>
  </si>
  <si>
    <t>目</t>
    <phoneticPr fontId="1" type="noConversion"/>
  </si>
  <si>
    <t>小計</t>
    <phoneticPr fontId="1" type="noConversion"/>
  </si>
  <si>
    <t>合計</t>
    <phoneticPr fontId="1" type="noConversion"/>
  </si>
  <si>
    <t>贊普支出項目</t>
    <phoneticPr fontId="1" type="noConversion"/>
  </si>
  <si>
    <t>贊普收入項目</t>
    <phoneticPr fontId="1" type="noConversion"/>
  </si>
  <si>
    <t>五常里里辦公室</t>
    <phoneticPr fontId="1" type="noConversion"/>
  </si>
  <si>
    <t>C</t>
    <phoneticPr fontId="1" type="noConversion"/>
  </si>
  <si>
    <t>D</t>
    <phoneticPr fontId="1" type="noConversion"/>
  </si>
  <si>
    <t>活動支出</t>
    <phoneticPr fontId="1" type="noConversion"/>
  </si>
  <si>
    <t>白米</t>
    <phoneticPr fontId="1" type="noConversion"/>
  </si>
  <si>
    <t>五常社區中元普渡祈福法會決算表</t>
    <phoneticPr fontId="1" type="noConversion"/>
  </si>
  <si>
    <t>工作人員誤餐費</t>
    <phoneticPr fontId="1" type="noConversion"/>
  </si>
  <si>
    <t>請神像</t>
    <phoneticPr fontId="1" type="noConversion"/>
  </si>
  <si>
    <t>主桌祭禮</t>
    <phoneticPr fontId="1" type="noConversion"/>
  </si>
  <si>
    <t>普渡公桌祭禮</t>
    <phoneticPr fontId="1" type="noConversion"/>
  </si>
  <si>
    <t>法事團</t>
    <phoneticPr fontId="1" type="noConversion"/>
  </si>
  <si>
    <t>租供桌</t>
    <phoneticPr fontId="1" type="noConversion"/>
  </si>
  <si>
    <t>紙錢</t>
    <phoneticPr fontId="1" type="noConversion"/>
  </si>
  <si>
    <t>文書雜支</t>
    <phoneticPr fontId="1" type="noConversion"/>
  </si>
  <si>
    <t>10號簿</t>
  </si>
  <si>
    <t>11號簿</t>
  </si>
  <si>
    <t>常勝江山管委會</t>
    <phoneticPr fontId="1" type="noConversion"/>
  </si>
  <si>
    <t>30人150X2(含飲品)</t>
    <phoneticPr fontId="1" type="noConversion"/>
  </si>
  <si>
    <t>理事長捐贈</t>
    <phoneticPr fontId="1" type="noConversion"/>
  </si>
  <si>
    <t>祭祀雜支</t>
    <phoneticPr fontId="1" type="noConversion"/>
  </si>
  <si>
    <t>含影印紙600、白米貼紙3500及其他文具用品2340</t>
    <phoneticPr fontId="1" type="noConversion"/>
  </si>
  <si>
    <t>花卉3600、瓦斯600、帆布2000、糖果1530、佛手3000、零錢2500</t>
    <phoneticPr fontId="1" type="noConversion"/>
  </si>
  <si>
    <t>請神紅包</t>
    <phoneticPr fontId="1" type="noConversion"/>
  </si>
  <si>
    <t>每斤23元共3100斤</t>
    <phoneticPr fontId="1" type="noConversion"/>
  </si>
  <si>
    <t>豬肉3雞3甘蔗2魚2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</si>
</sst>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6C32-4F29-4E10-8A73-756AB8B03F2F}">
  <dimension ref="A1:G37"/>
  <sheetViews>
    <sheetView tabSelected="1" topLeftCell="A16" workbookViewId="0">
      <selection activeCell="E29" sqref="E29"/>
    </sheetView>
  </sheetViews>
  <sheetFormatPr defaultRowHeight="16.5" x14ac:dyDescent="0.25"/>
  <cols>
    <col min="1" max="1" width="3.25" customWidth="1"/>
    <col min="2" max="2" width="4" customWidth="1"/>
    <col min="3" max="3" width="4.375" customWidth="1"/>
    <col min="4" max="4" width="12.75" customWidth="1"/>
    <col min="5" max="5" width="17.625" customWidth="1"/>
    <col min="6" max="6" width="11.25" customWidth="1"/>
    <col min="7" max="7" width="16" customWidth="1"/>
  </cols>
  <sheetData>
    <row r="1" spans="1:7" x14ac:dyDescent="0.25">
      <c r="A1" s="6" t="s">
        <v>27</v>
      </c>
      <c r="B1" s="6"/>
      <c r="C1" s="6"/>
      <c r="D1" s="6"/>
      <c r="E1" s="6"/>
      <c r="F1" s="6"/>
      <c r="G1" s="6"/>
    </row>
    <row r="2" spans="1:7" x14ac:dyDescent="0.25">
      <c r="A2" s="6" t="s">
        <v>21</v>
      </c>
      <c r="B2" s="6"/>
      <c r="C2" s="6"/>
      <c r="D2" s="6"/>
      <c r="E2" s="6"/>
      <c r="F2" s="6"/>
      <c r="G2" s="6"/>
    </row>
    <row r="3" spans="1:7" x14ac:dyDescent="0.25">
      <c r="A3" s="1" t="s">
        <v>15</v>
      </c>
      <c r="B3" s="2" t="s">
        <v>16</v>
      </c>
      <c r="C3" s="3" t="s">
        <v>17</v>
      </c>
      <c r="D3" s="4" t="s">
        <v>0</v>
      </c>
      <c r="E3" s="4" t="s">
        <v>1</v>
      </c>
      <c r="F3" s="4" t="s">
        <v>6</v>
      </c>
      <c r="G3" s="4" t="s">
        <v>2</v>
      </c>
    </row>
    <row r="4" spans="1:7" x14ac:dyDescent="0.25">
      <c r="A4" s="1">
        <v>1</v>
      </c>
      <c r="B4" s="1"/>
      <c r="C4" s="1" t="s">
        <v>24</v>
      </c>
      <c r="D4" s="1" t="s">
        <v>3</v>
      </c>
      <c r="E4" s="1" t="s">
        <v>4</v>
      </c>
      <c r="F4" s="1">
        <v>16200</v>
      </c>
      <c r="G4" s="1" t="s">
        <v>5</v>
      </c>
    </row>
    <row r="5" spans="1:7" x14ac:dyDescent="0.25">
      <c r="A5" s="1">
        <v>1</v>
      </c>
      <c r="B5" s="1"/>
      <c r="C5" s="1" t="s">
        <v>24</v>
      </c>
      <c r="D5" s="1" t="s">
        <v>3</v>
      </c>
      <c r="E5" s="1" t="s">
        <v>4</v>
      </c>
      <c r="F5" s="1">
        <v>14900</v>
      </c>
      <c r="G5" s="1" t="s">
        <v>7</v>
      </c>
    </row>
    <row r="6" spans="1:7" x14ac:dyDescent="0.25">
      <c r="A6" s="1">
        <v>1</v>
      </c>
      <c r="B6" s="1"/>
      <c r="C6" s="1" t="s">
        <v>24</v>
      </c>
      <c r="D6" s="1" t="s">
        <v>3</v>
      </c>
      <c r="E6" s="1" t="s">
        <v>4</v>
      </c>
      <c r="F6" s="1">
        <v>16700</v>
      </c>
      <c r="G6" s="1" t="s">
        <v>8</v>
      </c>
    </row>
    <row r="7" spans="1:7" x14ac:dyDescent="0.25">
      <c r="A7" s="1">
        <v>1</v>
      </c>
      <c r="B7" s="1"/>
      <c r="C7" s="1" t="s">
        <v>24</v>
      </c>
      <c r="D7" s="1" t="s">
        <v>3</v>
      </c>
      <c r="E7" s="1" t="s">
        <v>4</v>
      </c>
      <c r="F7" s="1">
        <v>15000</v>
      </c>
      <c r="G7" s="1" t="s">
        <v>9</v>
      </c>
    </row>
    <row r="8" spans="1:7" x14ac:dyDescent="0.25">
      <c r="A8" s="1">
        <v>1</v>
      </c>
      <c r="B8" s="1"/>
      <c r="C8" s="1" t="s">
        <v>24</v>
      </c>
      <c r="D8" s="1" t="s">
        <v>3</v>
      </c>
      <c r="E8" s="1" t="s">
        <v>4</v>
      </c>
      <c r="F8" s="1">
        <v>15000</v>
      </c>
      <c r="G8" s="1" t="s">
        <v>10</v>
      </c>
    </row>
    <row r="9" spans="1:7" x14ac:dyDescent="0.25">
      <c r="A9" s="1">
        <v>1</v>
      </c>
      <c r="B9" s="1"/>
      <c r="C9" s="1" t="s">
        <v>24</v>
      </c>
      <c r="D9" s="1" t="s">
        <v>3</v>
      </c>
      <c r="E9" s="1" t="s">
        <v>4</v>
      </c>
      <c r="F9" s="1">
        <v>17000</v>
      </c>
      <c r="G9" s="1" t="s">
        <v>11</v>
      </c>
    </row>
    <row r="10" spans="1:7" x14ac:dyDescent="0.25">
      <c r="A10" s="1">
        <v>1</v>
      </c>
      <c r="B10" s="1"/>
      <c r="C10" s="1" t="s">
        <v>24</v>
      </c>
      <c r="D10" s="1" t="s">
        <v>3</v>
      </c>
      <c r="E10" s="1" t="s">
        <v>4</v>
      </c>
      <c r="F10" s="1">
        <v>13200</v>
      </c>
      <c r="G10" s="1" t="s">
        <v>12</v>
      </c>
    </row>
    <row r="11" spans="1:7" x14ac:dyDescent="0.25">
      <c r="A11" s="1">
        <v>1</v>
      </c>
      <c r="B11" s="1"/>
      <c r="C11" s="1" t="s">
        <v>24</v>
      </c>
      <c r="D11" s="1" t="s">
        <v>3</v>
      </c>
      <c r="E11" s="1" t="s">
        <v>4</v>
      </c>
      <c r="F11" s="1">
        <v>15100</v>
      </c>
      <c r="G11" s="1" t="s">
        <v>13</v>
      </c>
    </row>
    <row r="12" spans="1:7" x14ac:dyDescent="0.25">
      <c r="A12" s="1">
        <v>1</v>
      </c>
      <c r="B12" s="1"/>
      <c r="C12" s="1" t="s">
        <v>24</v>
      </c>
      <c r="D12" s="1" t="s">
        <v>3</v>
      </c>
      <c r="E12" s="1" t="s">
        <v>4</v>
      </c>
      <c r="F12" s="1">
        <v>15100</v>
      </c>
      <c r="G12" s="1" t="s">
        <v>14</v>
      </c>
    </row>
    <row r="13" spans="1:7" x14ac:dyDescent="0.25">
      <c r="A13" s="1">
        <v>1</v>
      </c>
      <c r="B13" s="1"/>
      <c r="C13" s="1" t="s">
        <v>24</v>
      </c>
      <c r="D13" s="1" t="s">
        <v>3</v>
      </c>
      <c r="E13" s="1" t="s">
        <v>4</v>
      </c>
      <c r="F13" s="1">
        <v>3800</v>
      </c>
      <c r="G13" s="1" t="s">
        <v>36</v>
      </c>
    </row>
    <row r="14" spans="1:7" x14ac:dyDescent="0.25">
      <c r="A14" s="1">
        <v>1</v>
      </c>
      <c r="B14" s="1"/>
      <c r="C14" s="1" t="s">
        <v>24</v>
      </c>
      <c r="D14" s="1" t="s">
        <v>3</v>
      </c>
      <c r="E14" s="1" t="s">
        <v>4</v>
      </c>
      <c r="F14" s="1">
        <v>3600</v>
      </c>
      <c r="G14" s="1" t="s">
        <v>37</v>
      </c>
    </row>
    <row r="15" spans="1:7" x14ac:dyDescent="0.25">
      <c r="A15" s="1" t="s">
        <v>18</v>
      </c>
      <c r="B15" s="1"/>
      <c r="C15" s="1"/>
      <c r="D15" s="1"/>
      <c r="E15" s="1"/>
      <c r="F15" s="1">
        <f>SUM(F4:F14)</f>
        <v>145600</v>
      </c>
      <c r="G15" s="1"/>
    </row>
    <row r="16" spans="1:7" x14ac:dyDescent="0.25">
      <c r="A16" s="1">
        <v>1</v>
      </c>
      <c r="B16" s="1"/>
      <c r="C16" s="1" t="s">
        <v>24</v>
      </c>
      <c r="D16" s="1" t="s">
        <v>3</v>
      </c>
      <c r="E16" s="1" t="s">
        <v>4</v>
      </c>
      <c r="F16" s="1">
        <v>10000</v>
      </c>
      <c r="G16" s="1" t="s">
        <v>22</v>
      </c>
    </row>
    <row r="17" spans="1:7" x14ac:dyDescent="0.25">
      <c r="A17" s="1">
        <v>1</v>
      </c>
      <c r="B17" s="1"/>
      <c r="C17" s="1" t="s">
        <v>24</v>
      </c>
      <c r="D17" s="1" t="s">
        <v>3</v>
      </c>
      <c r="E17" s="1" t="s">
        <v>4</v>
      </c>
      <c r="F17" s="1">
        <v>3500</v>
      </c>
      <c r="G17" s="1" t="s">
        <v>38</v>
      </c>
    </row>
    <row r="18" spans="1:7" x14ac:dyDescent="0.25">
      <c r="A18" s="1">
        <v>1</v>
      </c>
      <c r="B18" s="1"/>
      <c r="C18" s="1" t="s">
        <v>24</v>
      </c>
      <c r="D18" s="1" t="s">
        <v>3</v>
      </c>
      <c r="E18" s="1" t="s">
        <v>4</v>
      </c>
      <c r="F18" s="1"/>
      <c r="G18" s="1" t="s">
        <v>40</v>
      </c>
    </row>
    <row r="19" spans="1:7" x14ac:dyDescent="0.25">
      <c r="A19" s="6" t="s">
        <v>18</v>
      </c>
      <c r="B19" s="6"/>
      <c r="C19" s="6"/>
      <c r="D19" s="1"/>
      <c r="E19" s="1"/>
      <c r="F19" s="1">
        <f>SUM(F16:F18)</f>
        <v>13500</v>
      </c>
      <c r="G19" s="1"/>
    </row>
    <row r="20" spans="1:7" x14ac:dyDescent="0.25">
      <c r="A20" s="6" t="s">
        <v>19</v>
      </c>
      <c r="B20" s="6"/>
      <c r="C20" s="6"/>
      <c r="D20" s="1"/>
      <c r="E20" s="1"/>
      <c r="F20" s="1">
        <f>SUM(F19,F15)</f>
        <v>159100</v>
      </c>
      <c r="G20" s="1"/>
    </row>
    <row r="21" spans="1:7" x14ac:dyDescent="0.25">
      <c r="A21" s="6" t="s">
        <v>20</v>
      </c>
      <c r="B21" s="6"/>
      <c r="C21" s="6"/>
      <c r="D21" s="6"/>
      <c r="E21" s="6"/>
      <c r="F21" s="6"/>
      <c r="G21" s="6"/>
    </row>
    <row r="22" spans="1:7" ht="31.5" x14ac:dyDescent="0.25">
      <c r="A22" s="1">
        <v>2</v>
      </c>
      <c r="B22" s="1">
        <v>3</v>
      </c>
      <c r="C22" s="1" t="s">
        <v>23</v>
      </c>
      <c r="D22" s="1" t="s">
        <v>25</v>
      </c>
      <c r="E22" s="1" t="s">
        <v>26</v>
      </c>
      <c r="F22" s="1">
        <v>77500</v>
      </c>
      <c r="G22" s="5" t="s">
        <v>45</v>
      </c>
    </row>
    <row r="23" spans="1:7" ht="31.5" x14ac:dyDescent="0.25">
      <c r="A23" s="1">
        <v>2</v>
      </c>
      <c r="B23" s="1">
        <v>3</v>
      </c>
      <c r="C23" s="1" t="s">
        <v>23</v>
      </c>
      <c r="D23" s="1" t="s">
        <v>25</v>
      </c>
      <c r="E23" s="1" t="s">
        <v>28</v>
      </c>
      <c r="F23" s="1">
        <v>9000</v>
      </c>
      <c r="G23" s="5" t="s">
        <v>39</v>
      </c>
    </row>
    <row r="24" spans="1:7" x14ac:dyDescent="0.25">
      <c r="A24" s="1"/>
      <c r="B24" s="1"/>
      <c r="C24" s="1"/>
      <c r="D24" s="1" t="s">
        <v>25</v>
      </c>
      <c r="E24" s="1" t="s">
        <v>29</v>
      </c>
      <c r="F24" s="1">
        <v>1200</v>
      </c>
      <c r="G24" s="1" t="s">
        <v>44</v>
      </c>
    </row>
    <row r="25" spans="1:7" x14ac:dyDescent="0.25">
      <c r="A25" s="1"/>
      <c r="B25" s="1"/>
      <c r="C25" s="1"/>
      <c r="D25" s="1" t="s">
        <v>25</v>
      </c>
      <c r="E25" s="1" t="s">
        <v>30</v>
      </c>
      <c r="F25" s="1">
        <v>6000</v>
      </c>
      <c r="G25" s="7" t="s">
        <v>46</v>
      </c>
    </row>
    <row r="26" spans="1:7" x14ac:dyDescent="0.25">
      <c r="A26" s="1"/>
      <c r="B26" s="1"/>
      <c r="C26" s="1"/>
      <c r="D26" s="1" t="s">
        <v>25</v>
      </c>
      <c r="E26" s="1" t="s">
        <v>31</v>
      </c>
      <c r="F26" s="1">
        <v>6000</v>
      </c>
      <c r="G26" s="7"/>
    </row>
    <row r="27" spans="1:7" x14ac:dyDescent="0.25">
      <c r="A27" s="1"/>
      <c r="B27" s="1"/>
      <c r="C27" s="1"/>
      <c r="D27" s="1" t="s">
        <v>25</v>
      </c>
      <c r="E27" s="1" t="s">
        <v>32</v>
      </c>
      <c r="F27" s="1">
        <v>38000</v>
      </c>
      <c r="G27" s="1"/>
    </row>
    <row r="28" spans="1:7" x14ac:dyDescent="0.25">
      <c r="A28" s="1"/>
      <c r="B28" s="1"/>
      <c r="C28" s="1"/>
      <c r="D28" s="1" t="s">
        <v>25</v>
      </c>
      <c r="E28" s="1"/>
      <c r="F28" s="1"/>
      <c r="G28" s="1"/>
    </row>
    <row r="29" spans="1:7" x14ac:dyDescent="0.25">
      <c r="A29" s="1"/>
      <c r="B29" s="1"/>
      <c r="C29" s="1"/>
      <c r="D29" s="1" t="s">
        <v>25</v>
      </c>
      <c r="E29" s="1" t="s">
        <v>33</v>
      </c>
      <c r="F29" s="1">
        <v>13500</v>
      </c>
      <c r="G29" s="1"/>
    </row>
    <row r="30" spans="1:7" x14ac:dyDescent="0.25">
      <c r="A30" s="1"/>
      <c r="B30" s="1"/>
      <c r="C30" s="1"/>
      <c r="D30" s="1" t="s">
        <v>25</v>
      </c>
      <c r="E30" s="1" t="s">
        <v>34</v>
      </c>
      <c r="F30" s="1">
        <v>18000</v>
      </c>
      <c r="G30" s="1"/>
    </row>
    <row r="31" spans="1:7" x14ac:dyDescent="0.25">
      <c r="A31" s="1"/>
      <c r="B31" s="1"/>
      <c r="C31" s="1"/>
      <c r="D31" s="1" t="s">
        <v>25</v>
      </c>
      <c r="E31" s="1"/>
      <c r="F31" s="1"/>
      <c r="G31" s="1"/>
    </row>
    <row r="32" spans="1:7" ht="78.75" x14ac:dyDescent="0.25">
      <c r="A32" s="1"/>
      <c r="B32" s="1"/>
      <c r="C32" s="1"/>
      <c r="D32" s="1" t="s">
        <v>25</v>
      </c>
      <c r="E32" s="1" t="s">
        <v>41</v>
      </c>
      <c r="F32" s="1">
        <v>13230</v>
      </c>
      <c r="G32" s="5" t="s">
        <v>43</v>
      </c>
    </row>
    <row r="33" spans="1:7" ht="59.25" customHeight="1" x14ac:dyDescent="0.25">
      <c r="A33" s="1"/>
      <c r="B33" s="1"/>
      <c r="C33" s="1"/>
      <c r="D33" s="1" t="s">
        <v>25</v>
      </c>
      <c r="E33" s="1" t="s">
        <v>35</v>
      </c>
      <c r="F33" s="1">
        <v>6440</v>
      </c>
      <c r="G33" s="5" t="s">
        <v>42</v>
      </c>
    </row>
    <row r="34" spans="1:7" x14ac:dyDescent="0.25">
      <c r="A34" s="6" t="s">
        <v>18</v>
      </c>
      <c r="B34" s="6"/>
      <c r="C34" s="6"/>
      <c r="D34" s="1"/>
      <c r="E34" s="1"/>
      <c r="F34" s="1">
        <f>SUM(F22:F33)</f>
        <v>188870</v>
      </c>
      <c r="G34" s="1"/>
    </row>
    <row r="35" spans="1:7" x14ac:dyDescent="0.25">
      <c r="D35" s="1"/>
      <c r="E35" s="1"/>
      <c r="F35" s="1"/>
      <c r="G35" s="1"/>
    </row>
    <row r="36" spans="1:7" x14ac:dyDescent="0.25">
      <c r="A36" s="6" t="s">
        <v>19</v>
      </c>
      <c r="B36" s="6"/>
      <c r="C36" s="6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</sheetData>
  <mergeCells count="8">
    <mergeCell ref="A36:C36"/>
    <mergeCell ref="A21:G21"/>
    <mergeCell ref="A2:G2"/>
    <mergeCell ref="A1:G1"/>
    <mergeCell ref="A19:C19"/>
    <mergeCell ref="A20:C20"/>
    <mergeCell ref="A34:C34"/>
    <mergeCell ref="G25:G26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江政隆</dc:creator>
  <cp:lastModifiedBy>江政隆</cp:lastModifiedBy>
  <dcterms:created xsi:type="dcterms:W3CDTF">2023-08-26T06:16:32Z</dcterms:created>
  <dcterms:modified xsi:type="dcterms:W3CDTF">2023-08-27T10:07:24Z</dcterms:modified>
</cp:coreProperties>
</file>