
<file path=[Content_Types].xml><?xml version="1.0" encoding="utf-8"?>
<Types xmlns="http://schemas.openxmlformats.org/package/2006/content-types">
  <Default Extension="wdp" ContentType="image/vnd.ms-photo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90"/>
  </bookViews>
  <sheets>
    <sheet name="報價單" sheetId="1" r:id="rId1"/>
  </sheets>
  <definedNames>
    <definedName name="_xlnm.Print_Area" localSheetId="0">報價單!$A$1:$G$35</definedName>
  </definedNames>
  <calcPr calcId="144525"/>
</workbook>
</file>

<file path=xl/sharedStrings.xml><?xml version="1.0" encoding="utf-8"?>
<sst xmlns="http://schemas.openxmlformats.org/spreadsheetml/2006/main" count="43">
  <si>
    <t>品築家具有限公司</t>
  </si>
  <si>
    <t>新北市樹林區三俊街189號</t>
  </si>
  <si>
    <r>
      <rPr>
        <b/>
        <sz val="12"/>
        <rFont val="細明體"/>
        <charset val="136"/>
      </rPr>
      <t>電話：</t>
    </r>
    <r>
      <rPr>
        <b/>
        <sz val="12"/>
        <rFont val="Times New Roman"/>
        <charset val="134"/>
      </rPr>
      <t xml:space="preserve">(02)2297-7700  </t>
    </r>
    <r>
      <rPr>
        <b/>
        <sz val="12"/>
        <rFont val="細明體"/>
        <charset val="136"/>
      </rPr>
      <t>傳真：</t>
    </r>
    <r>
      <rPr>
        <b/>
        <sz val="12"/>
        <rFont val="Times New Roman"/>
        <charset val="134"/>
      </rPr>
      <t>(02)2297-1400</t>
    </r>
  </si>
  <si>
    <t>報價單</t>
  </si>
  <si>
    <t>客戶：</t>
  </si>
  <si>
    <t>新北市三重區五常社區發展協會</t>
  </si>
  <si>
    <t>統編：</t>
  </si>
  <si>
    <t>26164153</t>
  </si>
  <si>
    <t>Email：o0930913993o@365plus.work</t>
  </si>
  <si>
    <t>電話：</t>
  </si>
  <si>
    <t>傳真：</t>
  </si>
  <si>
    <t>手機：</t>
  </si>
  <si>
    <t>0966676757</t>
  </si>
  <si>
    <t>地址：</t>
  </si>
  <si>
    <t>新北市三重區仁義街161號</t>
  </si>
  <si>
    <t>編號</t>
  </si>
  <si>
    <t>品                名</t>
  </si>
  <si>
    <t>數 量</t>
  </si>
  <si>
    <t>單位</t>
  </si>
  <si>
    <t>單價</t>
  </si>
  <si>
    <t>複價</t>
  </si>
  <si>
    <t xml:space="preserve">  備   註</t>
  </si>
  <si>
    <t>掀合式會議桌</t>
  </si>
  <si>
    <t>張</t>
  </si>
  <si>
    <t>會議椅</t>
  </si>
  <si>
    <r>
      <rPr>
        <b/>
        <sz val="12"/>
        <rFont val="細明體"/>
        <charset val="136"/>
      </rPr>
      <t>運費</t>
    </r>
    <r>
      <rPr>
        <b/>
        <sz val="12"/>
        <color rgb="FFFF0000"/>
        <rFont val="細明體"/>
        <charset val="136"/>
      </rPr>
      <t>(1樓或電梯樓層)</t>
    </r>
  </si>
  <si>
    <t>式</t>
  </si>
  <si>
    <t>優惠</t>
  </si>
  <si>
    <t>備註：
若有意訂購，請於右下空白欄簽名並蓋公司發票章，
傳真至 ( 02 )2297-1400，確認同意由本公司承包施作。</t>
  </si>
  <si>
    <t>合計:</t>
  </si>
  <si>
    <t>稅金:</t>
  </si>
  <si>
    <t>總計:</t>
  </si>
  <si>
    <t>1、若買方下訂後逕為取消本承攬，須賠償賣方下料及施工工資之損失。</t>
  </si>
  <si>
    <t>2、賣方承攬完成並交付買方使用三日內無異議視同驗收完成。</t>
  </si>
  <si>
    <t>3、若買方未付清本件承攬款項。買方同意賣方逕行取回本承攬標的物以代物取償。若不足清</t>
  </si>
  <si>
    <t>   償積欠賣方之本件承攬款項仍須負清償之責。</t>
  </si>
  <si>
    <t>商祺</t>
  </si>
  <si>
    <t>備註事項</t>
  </si>
  <si>
    <t>此報價效期為10天</t>
  </si>
  <si>
    <t>不勝感禱</t>
  </si>
  <si>
    <t>承辦：</t>
  </si>
  <si>
    <t>邱曉吟</t>
  </si>
  <si>
    <t>日期：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</si>
</sst>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76" formatCode="_-&quot;$&quot;* #,##0_-;\-&quot;$&quot;* #,##0_-;_-&quot;$&quot;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</numFmts>
  <fonts count="35">
    <font>
      <sz val="12"/>
      <name val="新細明體"/>
      <charset val="136"/>
    </font>
    <font>
      <b/>
      <sz val="12"/>
      <name val="細明體"/>
      <charset val="136"/>
    </font>
    <font>
      <sz val="12"/>
      <name val="細明體"/>
      <charset val="136"/>
    </font>
    <font>
      <b/>
      <sz val="20"/>
      <name val="細明體"/>
      <charset val="136"/>
    </font>
    <font>
      <b/>
      <sz val="12"/>
      <name val="Times New Roman"/>
      <charset val="134"/>
    </font>
    <font>
      <b/>
      <sz val="10"/>
      <name val="Times New Roman"/>
      <charset val="134"/>
    </font>
    <font>
      <b/>
      <u/>
      <sz val="20"/>
      <name val="細明體"/>
      <charset val="136"/>
    </font>
    <font>
      <u/>
      <sz val="12"/>
      <color theme="10"/>
      <name val="新細明體"/>
      <charset val="136"/>
    </font>
    <font>
      <sz val="11"/>
      <color rgb="FF0000CC"/>
      <name val="Calibri"/>
      <charset val="134"/>
    </font>
    <font>
      <b/>
      <sz val="12"/>
      <color rgb="FFFF0000"/>
      <name val="細明體"/>
      <charset val="136"/>
    </font>
    <font>
      <b/>
      <sz val="12"/>
      <name val="新細明體"/>
      <charset val="136"/>
      <scheme val="minor"/>
    </font>
    <font>
      <b/>
      <sz val="20"/>
      <color rgb="FFFF0000"/>
      <name val="新細明體"/>
      <charset val="136"/>
    </font>
    <font>
      <b/>
      <sz val="12"/>
      <color theme="1"/>
      <name val="新細明體"/>
      <charset val="136"/>
    </font>
    <font>
      <b/>
      <sz val="12"/>
      <color theme="1"/>
      <name val="新細明體"/>
      <charset val="136"/>
      <scheme val="minor"/>
    </font>
    <font>
      <b/>
      <sz val="14"/>
      <name val="細明體"/>
      <charset val="136"/>
    </font>
    <font>
      <b/>
      <sz val="11"/>
      <name val="細明體"/>
      <charset val="136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0" fillId="11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0" fontId="17" fillId="2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4" fillId="14" borderId="17" applyNumberFormat="0" applyAlignment="0" applyProtection="0">
      <alignment vertical="center"/>
    </xf>
    <xf numFmtId="0" fontId="34" fillId="32" borderId="22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1" applyBorder="1" applyAlignment="1" applyProtection="1"/>
    <xf numFmtId="0" fontId="8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7" fillId="0" borderId="0" xfId="1" applyAlignment="1" applyProtection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76" fontId="1" fillId="0" borderId="2" xfId="6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76" fontId="9" fillId="0" borderId="2" xfId="6" applyNumberFormat="1" applyFont="1" applyBorder="1" applyAlignment="1">
      <alignment horizontal="center" vertical="center"/>
    </xf>
    <xf numFmtId="176" fontId="1" fillId="0" borderId="4" xfId="6" applyNumberFormat="1" applyFont="1" applyBorder="1" applyAlignment="1">
      <alignment vertical="center"/>
    </xf>
    <xf numFmtId="176" fontId="1" fillId="0" borderId="5" xfId="6" applyNumberFormat="1" applyFont="1" applyBorder="1" applyAlignment="1">
      <alignment vertical="center"/>
    </xf>
    <xf numFmtId="176" fontId="1" fillId="0" borderId="6" xfId="6" applyNumberFormat="1" applyFont="1" applyBorder="1" applyAlignment="1">
      <alignment vertical="center"/>
    </xf>
    <xf numFmtId="176" fontId="1" fillId="0" borderId="7" xfId="6" applyNumberFormat="1" applyFont="1" applyBorder="1" applyAlignment="1">
      <alignment vertical="center"/>
    </xf>
    <xf numFmtId="176" fontId="1" fillId="0" borderId="0" xfId="6" applyNumberFormat="1" applyFont="1" applyBorder="1" applyAlignment="1">
      <alignment vertical="center"/>
    </xf>
    <xf numFmtId="176" fontId="1" fillId="0" borderId="8" xfId="6" applyNumberFormat="1" applyFont="1" applyBorder="1" applyAlignment="1">
      <alignment vertical="center"/>
    </xf>
    <xf numFmtId="176" fontId="1" fillId="0" borderId="9" xfId="6" applyNumberFormat="1" applyFont="1" applyBorder="1" applyAlignment="1">
      <alignment vertical="center"/>
    </xf>
    <xf numFmtId="176" fontId="1" fillId="0" borderId="10" xfId="6" applyNumberFormat="1" applyFont="1" applyBorder="1" applyAlignment="1">
      <alignment vertical="center"/>
    </xf>
    <xf numFmtId="176" fontId="1" fillId="0" borderId="11" xfId="6" applyNumberFormat="1" applyFont="1" applyBorder="1" applyAlignment="1">
      <alignment vertical="center"/>
    </xf>
    <xf numFmtId="0" fontId="10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41" fontId="1" fillId="0" borderId="3" xfId="0" applyNumberFormat="1" applyFont="1" applyBorder="1" applyAlignment="1">
      <alignment horizontal="right" vertical="center"/>
    </xf>
    <xf numFmtId="42" fontId="1" fillId="0" borderId="12" xfId="13" applyFont="1" applyFill="1" applyBorder="1" applyAlignment="1">
      <alignment horizontal="right" vertical="center"/>
    </xf>
    <xf numFmtId="49" fontId="9" fillId="0" borderId="2" xfId="0" applyNumberFormat="1" applyFont="1" applyBorder="1" applyAlignment="1">
      <alignment vertical="center" wrapText="1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7" xfId="0" applyFont="1" applyBorder="1" applyAlignment="1">
      <alignment vertical="center"/>
    </xf>
    <xf numFmtId="0" fontId="0" fillId="0" borderId="0" xfId="0" applyAlignment="1">
      <alignment horizontal="right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/>
    <xf numFmtId="41" fontId="1" fillId="0" borderId="4" xfId="0" applyNumberFormat="1" applyFont="1" applyBorder="1" applyAlignment="1">
      <alignment vertical="center"/>
    </xf>
    <xf numFmtId="41" fontId="1" fillId="0" borderId="5" xfId="0" applyNumberFormat="1" applyFont="1" applyBorder="1" applyAlignment="1">
      <alignment vertical="center"/>
    </xf>
    <xf numFmtId="41" fontId="1" fillId="0" borderId="6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0" fillId="0" borderId="8" xfId="0" applyBorder="1"/>
    <xf numFmtId="0" fontId="12" fillId="0" borderId="9" xfId="0" applyFont="1" applyBorder="1" applyAlignment="1">
      <alignment horizontal="right" vertical="top" wrapText="1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3" fillId="0" borderId="3" xfId="0" applyFont="1" applyBorder="1" applyAlignment="1">
      <alignment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14" fillId="0" borderId="13" xfId="0" applyFont="1" applyBorder="1" applyAlignment="1">
      <alignment horizontal="right" vertical="center"/>
    </xf>
    <xf numFmtId="14" fontId="0" fillId="0" borderId="13" xfId="0" applyNumberFormat="1" applyBorder="1" applyAlignment="1">
      <alignment horizontal="left" vertical="center"/>
    </xf>
    <xf numFmtId="0" fontId="0" fillId="0" borderId="14" xfId="0" applyBorder="1"/>
    <xf numFmtId="0" fontId="1" fillId="0" borderId="5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41" fontId="2" fillId="0" borderId="0" xfId="0" applyNumberFormat="1" applyFont="1"/>
    <xf numFmtId="41" fontId="2" fillId="0" borderId="0" xfId="0" applyNumberFormat="1" applyFont="1" applyAlignment="1">
      <alignment horizontal="right"/>
    </xf>
    <xf numFmtId="42" fontId="15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 quotePrefix="1">
      <alignment horizontal="left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761234</xdr:colOff>
      <xdr:row>0</xdr:row>
      <xdr:rowOff>33376</xdr:rowOff>
    </xdr:from>
    <xdr:to>
      <xdr:col>1</xdr:col>
      <xdr:colOff>1381000</xdr:colOff>
      <xdr:row>2</xdr:row>
      <xdr:rowOff>6641</xdr:rowOff>
    </xdr:to>
    <xdr:pic>
      <xdr:nvPicPr>
        <xdr:cNvPr id="3" name="圖片 2" descr="logo完稿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322070" y="33020"/>
          <a:ext cx="619760" cy="535305"/>
        </a:xfrm>
        <a:prstGeom prst="rect">
          <a:avLst/>
        </a:prstGeom>
      </xdr:spPr>
    </xdr:pic>
    <xdr:clientData/>
  </xdr:twoCellAnchor>
  <xdr:twoCellAnchor editAs="oneCell">
    <xdr:from>
      <xdr:col>4</xdr:col>
      <xdr:colOff>563270</xdr:colOff>
      <xdr:row>29</xdr:row>
      <xdr:rowOff>36575</xdr:rowOff>
    </xdr:from>
    <xdr:to>
      <xdr:col>6</xdr:col>
      <xdr:colOff>470552</xdr:colOff>
      <xdr:row>33</xdr:row>
      <xdr:rowOff>190195</xdr:rowOff>
    </xdr:to>
    <xdr:pic>
      <xdr:nvPicPr>
        <xdr:cNvPr id="7" name="圖片 6"/>
        <xdr:cNvPicPr>
          <a:picLocks noChangeAspect="1"/>
        </xdr:cNvPicPr>
      </xdr:nvPicPr>
      <xdr:blipFill>
        <a:blip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20000"/>
                  </a14:imgEffect>
                  <a14:imgEffect>
                    <a14:colorTemperature colorTemp="4700"/>
                  </a14:imgEffect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6111" b="5174"/>
        <a:stretch>
          <a:fillRect/>
        </a:stretch>
      </xdr:blipFill>
      <xdr:spPr>
        <a:xfrm>
          <a:off x="4788535" y="8399145"/>
          <a:ext cx="2012950" cy="1328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N182"/>
  <sheetViews>
    <sheetView tabSelected="1" view="pageBreakPreview" zoomScaleNormal="100" zoomScaleSheetLayoutView="100" workbookViewId="0">
      <selection activeCell="B16" sqref="B16"/>
    </sheetView>
  </sheetViews>
  <sheetFormatPr defaultColWidth="9" defaultRowHeight="16.5"/>
  <cols>
    <col min="1" max="1" width="7.36666666666667" style="2" customWidth="1"/>
    <col min="2" max="2" width="36" style="3" customWidth="1"/>
    <col min="3" max="3" width="6.45" style="3" customWidth="1"/>
    <col min="4" max="4" width="5.63333333333333" style="2" customWidth="1"/>
    <col min="5" max="6" width="13.8166666666667" style="3" customWidth="1"/>
    <col min="7" max="7" width="13.8166666666667" style="2" customWidth="1"/>
    <col min="8" max="16384" width="9" style="3"/>
  </cols>
  <sheetData>
    <row r="1" ht="27.75" spans="1:7">
      <c r="A1" s="4" t="s">
        <v>0</v>
      </c>
      <c r="B1" s="4"/>
      <c r="C1" s="4"/>
      <c r="D1" s="4"/>
      <c r="E1" s="4"/>
      <c r="F1" s="4"/>
      <c r="G1" s="4"/>
    </row>
    <row r="2" spans="1:7">
      <c r="A2" s="5" t="s">
        <v>1</v>
      </c>
      <c r="B2" s="5"/>
      <c r="C2" s="5"/>
      <c r="D2" s="5"/>
      <c r="E2" s="5"/>
      <c r="F2" s="5"/>
      <c r="G2" s="5"/>
    </row>
    <row r="3" spans="1:7">
      <c r="A3" s="6" t="s">
        <v>2</v>
      </c>
      <c r="B3" s="7"/>
      <c r="C3" s="7"/>
      <c r="D3" s="7"/>
      <c r="E3" s="7"/>
      <c r="F3" s="7"/>
      <c r="G3" s="7"/>
    </row>
    <row r="4" ht="31.5" customHeight="1" spans="1:7">
      <c r="A4" s="8" t="s">
        <v>3</v>
      </c>
      <c r="B4" s="8"/>
      <c r="C4" s="8"/>
      <c r="D4" s="8"/>
      <c r="E4" s="8"/>
      <c r="F4" s="8"/>
      <c r="G4" s="8"/>
    </row>
    <row r="5" s="1" customFormat="1" spans="1:7">
      <c r="A5" s="1" t="s">
        <v>4</v>
      </c>
      <c r="B5" s="1" t="s">
        <v>5</v>
      </c>
      <c r="C5" s="9"/>
      <c r="D5" s="10"/>
      <c r="E5" s="11"/>
      <c r="F5" s="12"/>
      <c r="G5" s="13"/>
    </row>
    <row r="6" s="1" customFormat="1" spans="1:7">
      <c r="A6" s="1" t="s">
        <v>6</v>
      </c>
      <c r="B6" s="14" t="s">
        <v>7</v>
      </c>
      <c r="C6" s="9" t="s">
        <v>8</v>
      </c>
      <c r="D6" s="15"/>
      <c r="E6" s="11"/>
      <c r="F6" s="12"/>
      <c r="G6" s="13"/>
    </row>
    <row r="7" s="1" customFormat="1" spans="1:7">
      <c r="A7" s="12" t="s">
        <v>9</v>
      </c>
      <c r="B7" s="12">
        <v>229866856</v>
      </c>
      <c r="C7" s="1" t="s">
        <v>10</v>
      </c>
      <c r="F7" s="12"/>
      <c r="G7" s="13"/>
    </row>
    <row r="8" s="1" customFormat="1" spans="1:7">
      <c r="A8" s="12" t="s">
        <v>11</v>
      </c>
      <c r="B8" s="81" t="s">
        <v>12</v>
      </c>
      <c r="F8" s="12"/>
      <c r="G8" s="13"/>
    </row>
    <row r="9" s="1" customFormat="1" ht="18.75" customHeight="1" spans="1:7">
      <c r="A9" s="12" t="s">
        <v>13</v>
      </c>
      <c r="B9" s="1" t="s">
        <v>14</v>
      </c>
      <c r="G9" s="13"/>
    </row>
    <row r="10" ht="13" customHeight="1" spans="1:7">
      <c r="A10" s="6"/>
      <c r="B10" s="7"/>
      <c r="C10" s="7"/>
      <c r="D10" s="7"/>
      <c r="E10" s="7"/>
      <c r="F10" s="7"/>
      <c r="G10" s="7"/>
    </row>
    <row r="11" s="1" customFormat="1" ht="24.75" customHeight="1" spans="1:7">
      <c r="A11" s="16" t="s">
        <v>15</v>
      </c>
      <c r="B11" s="16" t="s">
        <v>16</v>
      </c>
      <c r="C11" s="16" t="s">
        <v>17</v>
      </c>
      <c r="D11" s="16" t="s">
        <v>18</v>
      </c>
      <c r="E11" s="17" t="s">
        <v>19</v>
      </c>
      <c r="F11" s="17" t="s">
        <v>20</v>
      </c>
      <c r="G11" s="17" t="s">
        <v>21</v>
      </c>
    </row>
    <row r="12" ht="21" customHeight="1" spans="1:7">
      <c r="A12" s="17">
        <v>1</v>
      </c>
      <c r="B12" s="18" t="s">
        <v>22</v>
      </c>
      <c r="C12" s="17">
        <v>8</v>
      </c>
      <c r="D12" s="17" t="s">
        <v>23</v>
      </c>
      <c r="E12" s="19">
        <v>5800</v>
      </c>
      <c r="F12" s="19">
        <f>SUM(E12*C12)</f>
        <v>46400</v>
      </c>
      <c r="G12" s="20"/>
    </row>
    <row r="13" ht="25" customHeight="1" spans="1:14">
      <c r="A13" s="17">
        <v>2</v>
      </c>
      <c r="B13" s="21" t="s">
        <v>24</v>
      </c>
      <c r="C13" s="17">
        <v>16</v>
      </c>
      <c r="D13" s="17" t="s">
        <v>23</v>
      </c>
      <c r="E13" s="19">
        <v>800</v>
      </c>
      <c r="F13" s="19">
        <f>SUM(E13*C13)</f>
        <v>12800</v>
      </c>
      <c r="G13" s="20"/>
      <c r="J13"/>
      <c r="N13"/>
    </row>
    <row r="14" ht="25" customHeight="1" spans="1:14">
      <c r="A14" s="17">
        <v>3</v>
      </c>
      <c r="B14" s="21" t="s">
        <v>25</v>
      </c>
      <c r="C14" s="17">
        <v>1</v>
      </c>
      <c r="D14" s="17" t="s">
        <v>26</v>
      </c>
      <c r="E14" s="22" t="s">
        <v>27</v>
      </c>
      <c r="F14" s="22" t="s">
        <v>27</v>
      </c>
      <c r="G14" s="20"/>
      <c r="J14"/>
      <c r="N14"/>
    </row>
    <row r="15" ht="25" customHeight="1" spans="1:14">
      <c r="A15" s="17">
        <v>4</v>
      </c>
      <c r="B15" s="23"/>
      <c r="C15" s="24"/>
      <c r="D15" s="24"/>
      <c r="E15" s="24"/>
      <c r="F15" s="24"/>
      <c r="G15" s="25"/>
      <c r="J15"/>
      <c r="N15"/>
    </row>
    <row r="16" ht="25" customHeight="1" spans="1:14">
      <c r="A16" s="17">
        <v>5</v>
      </c>
      <c r="B16" s="26"/>
      <c r="C16" s="27"/>
      <c r="D16" s="27"/>
      <c r="E16" s="27"/>
      <c r="F16" s="27"/>
      <c r="G16" s="28"/>
      <c r="J16"/>
      <c r="N16"/>
    </row>
    <row r="17" ht="25" customHeight="1" spans="1:14">
      <c r="A17" s="17">
        <v>6</v>
      </c>
      <c r="B17" s="26"/>
      <c r="C17" s="27"/>
      <c r="D17" s="27"/>
      <c r="E17" s="27"/>
      <c r="F17" s="27"/>
      <c r="G17" s="28"/>
      <c r="J17"/>
      <c r="N17"/>
    </row>
    <row r="18" ht="24.75" customHeight="1" spans="1:9">
      <c r="A18" s="17">
        <v>7</v>
      </c>
      <c r="B18" s="26"/>
      <c r="C18" s="27"/>
      <c r="D18" s="27"/>
      <c r="E18" s="27"/>
      <c r="F18" s="27"/>
      <c r="G18" s="28"/>
      <c r="H18"/>
      <c r="I18"/>
    </row>
    <row r="19" ht="24.75" customHeight="1" spans="1:10">
      <c r="A19" s="17">
        <v>8</v>
      </c>
      <c r="B19" s="26"/>
      <c r="C19" s="27"/>
      <c r="D19" s="27"/>
      <c r="E19" s="27"/>
      <c r="F19" s="27"/>
      <c r="G19" s="28"/>
      <c r="H19"/>
      <c r="I19"/>
      <c r="J19"/>
    </row>
    <row r="20" ht="24.75" customHeight="1" spans="1:10">
      <c r="A20" s="17">
        <v>9</v>
      </c>
      <c r="B20" s="26"/>
      <c r="C20" s="27"/>
      <c r="D20" s="27"/>
      <c r="E20" s="27"/>
      <c r="F20" s="27"/>
      <c r="G20" s="28"/>
      <c r="H20"/>
      <c r="I20"/>
      <c r="J20"/>
    </row>
    <row r="21" ht="24.75" customHeight="1" spans="1:10">
      <c r="A21" s="17">
        <v>10</v>
      </c>
      <c r="B21" s="26"/>
      <c r="C21" s="27"/>
      <c r="D21" s="27"/>
      <c r="E21" s="27"/>
      <c r="F21" s="27"/>
      <c r="G21" s="28"/>
      <c r="I21"/>
      <c r="J21"/>
    </row>
    <row r="22" ht="24.75" customHeight="1" spans="1:12">
      <c r="A22" s="17">
        <v>11</v>
      </c>
      <c r="B22" s="29"/>
      <c r="C22" s="30"/>
      <c r="D22" s="30"/>
      <c r="E22" s="30"/>
      <c r="F22" s="30"/>
      <c r="G22" s="31"/>
      <c r="H22"/>
      <c r="I22"/>
      <c r="J22"/>
      <c r="L22"/>
    </row>
    <row r="23" ht="24.75" customHeight="1" spans="1:12">
      <c r="A23" s="32" t="s">
        <v>28</v>
      </c>
      <c r="B23" s="33"/>
      <c r="C23" s="33"/>
      <c r="D23" s="34"/>
      <c r="E23" s="35" t="s">
        <v>29</v>
      </c>
      <c r="F23" s="36">
        <f>SUM(F12:F22)</f>
        <v>59200</v>
      </c>
      <c r="G23" s="37"/>
      <c r="H23"/>
      <c r="I23"/>
      <c r="J23"/>
      <c r="K23"/>
      <c r="L23"/>
    </row>
    <row r="24" ht="24.75" customHeight="1" spans="1:12">
      <c r="A24" s="38"/>
      <c r="B24" s="39"/>
      <c r="C24" s="39"/>
      <c r="D24" s="40"/>
      <c r="E24" s="35" t="s">
        <v>30</v>
      </c>
      <c r="F24" s="36">
        <f>SUM(F23*5%)</f>
        <v>2960</v>
      </c>
      <c r="G24" s="37"/>
      <c r="H24"/>
      <c r="I24"/>
      <c r="J24"/>
      <c r="K24"/>
      <c r="L24"/>
    </row>
    <row r="25" ht="24.75" customHeight="1" spans="1:12">
      <c r="A25" s="41"/>
      <c r="B25" s="42"/>
      <c r="C25" s="42"/>
      <c r="D25" s="43"/>
      <c r="E25" s="35" t="s">
        <v>31</v>
      </c>
      <c r="F25" s="36">
        <f>SUM(F23:F24)</f>
        <v>62160</v>
      </c>
      <c r="G25" s="37"/>
      <c r="H25"/>
      <c r="I25"/>
      <c r="J25"/>
      <c r="L25"/>
    </row>
    <row r="26" ht="24.75" customHeight="1" spans="1:12">
      <c r="A26" s="44" t="s">
        <v>32</v>
      </c>
      <c r="B26" s="45"/>
      <c r="C26" s="45"/>
      <c r="D26" s="3"/>
      <c r="E26" s="45"/>
      <c r="F26" s="27"/>
      <c r="G26" s="46"/>
      <c r="H26"/>
      <c r="I26"/>
      <c r="J26"/>
      <c r="L26"/>
    </row>
    <row r="27" ht="25" customHeight="1" spans="1:12">
      <c r="A27" s="44" t="s">
        <v>33</v>
      </c>
      <c r="B27" s="47"/>
      <c r="C27" s="47"/>
      <c r="D27" s="3"/>
      <c r="G27" s="48"/>
      <c r="I27"/>
      <c r="J27"/>
      <c r="L27"/>
    </row>
    <row r="28" ht="25" customHeight="1" spans="1:12">
      <c r="A28" s="44" t="s">
        <v>34</v>
      </c>
      <c r="B28" s="47"/>
      <c r="C28" s="47"/>
      <c r="D28" s="3"/>
      <c r="G28" s="48"/>
      <c r="I28"/>
      <c r="J28"/>
      <c r="L28"/>
    </row>
    <row r="29" ht="25" customHeight="1" spans="1:12">
      <c r="A29" s="49" t="s">
        <v>35</v>
      </c>
      <c r="B29" s="50"/>
      <c r="C29" s="50"/>
      <c r="D29" s="51"/>
      <c r="E29" s="52"/>
      <c r="F29" s="51"/>
      <c r="G29" s="53"/>
      <c r="I29"/>
      <c r="J29"/>
      <c r="L29"/>
    </row>
    <row r="30" ht="25" customHeight="1" spans="1:12">
      <c r="A30" s="54" t="s">
        <v>36</v>
      </c>
      <c r="B30" s="55"/>
      <c r="C30" s="56"/>
      <c r="D30" s="54" t="s">
        <v>37</v>
      </c>
      <c r="E30" s="55"/>
      <c r="F30" s="55"/>
      <c r="G30" s="57"/>
      <c r="I30"/>
      <c r="L30"/>
    </row>
    <row r="31" ht="22.5" customHeight="1" spans="1:12">
      <c r="A31" s="58" t="s">
        <v>38</v>
      </c>
      <c r="B31" s="59"/>
      <c r="C31" s="60"/>
      <c r="D31"/>
      <c r="E31"/>
      <c r="F31"/>
      <c r="G31" s="61"/>
      <c r="I31"/>
      <c r="L31"/>
    </row>
    <row r="32" ht="22.5" customHeight="1" spans="1:7">
      <c r="A32" s="58"/>
      <c r="B32" s="59"/>
      <c r="C32" s="60"/>
      <c r="D32"/>
      <c r="E32"/>
      <c r="F32"/>
      <c r="G32" s="61"/>
    </row>
    <row r="33" ht="22.5" customHeight="1" spans="1:7">
      <c r="A33" s="58"/>
      <c r="B33" s="59"/>
      <c r="C33" s="60"/>
      <c r="D33"/>
      <c r="E33"/>
      <c r="F33"/>
      <c r="G33" s="61"/>
    </row>
    <row r="34" ht="22.5" customHeight="1" spans="1:7">
      <c r="A34" s="62" t="s">
        <v>39</v>
      </c>
      <c r="B34" s="63"/>
      <c r="C34" s="64"/>
      <c r="D34" s="65"/>
      <c r="E34" s="66"/>
      <c r="F34" s="66"/>
      <c r="G34" s="67"/>
    </row>
    <row r="35" ht="38.25" customHeight="1" spans="1:7">
      <c r="A35" s="68" t="s">
        <v>40</v>
      </c>
      <c r="B35" s="69" t="s">
        <v>41</v>
      </c>
      <c r="C35" s="70"/>
      <c r="D35" s="70"/>
      <c r="E35" s="71" t="s">
        <v>42</v>
      </c>
      <c r="F35" s="72">
        <f ca="1">TODAY()</f>
        <v>45057</v>
      </c>
      <c r="G35" s="73"/>
    </row>
    <row r="36" ht="25" customHeight="1" spans="1:7">
      <c r="A36" s="74"/>
      <c r="B36" s="75"/>
      <c r="C36" s="75"/>
      <c r="D36" s="75"/>
      <c r="E36" s="76"/>
      <c r="F36" s="75"/>
      <c r="G36" s="76"/>
    </row>
    <row r="37" ht="25" customHeight="1" spans="5:6">
      <c r="E37" s="77"/>
      <c r="F37" s="77"/>
    </row>
    <row r="38" ht="25" customHeight="1" spans="5:6">
      <c r="E38" s="77"/>
      <c r="F38" s="77"/>
    </row>
    <row r="39" ht="25" customHeight="1" spans="5:6">
      <c r="E39" s="77"/>
      <c r="F39" s="77"/>
    </row>
    <row r="40" ht="25" customHeight="1" spans="5:6">
      <c r="E40" s="77"/>
      <c r="F40" s="77"/>
    </row>
    <row r="41" ht="25" customHeight="1" spans="5:6">
      <c r="E41" s="77"/>
      <c r="F41" s="77"/>
    </row>
    <row r="42" ht="25" customHeight="1" spans="5:6">
      <c r="E42" s="77"/>
      <c r="F42" s="77"/>
    </row>
    <row r="43" ht="25" customHeight="1" spans="5:6">
      <c r="E43" s="77"/>
      <c r="F43" s="77"/>
    </row>
    <row r="44" ht="25" customHeight="1" spans="5:6">
      <c r="E44" s="77"/>
      <c r="F44" s="77"/>
    </row>
    <row r="45" ht="25" customHeight="1" spans="5:6">
      <c r="E45" s="77"/>
      <c r="F45" s="77"/>
    </row>
    <row r="46" ht="25" customHeight="1" spans="5:6">
      <c r="E46" s="77"/>
      <c r="F46" s="77"/>
    </row>
    <row r="47" ht="25" customHeight="1" spans="5:6">
      <c r="E47" s="77"/>
      <c r="F47" s="77"/>
    </row>
    <row r="48" ht="25" customHeight="1" spans="5:6">
      <c r="E48" s="77"/>
      <c r="F48" s="77"/>
    </row>
    <row r="49" ht="25" customHeight="1" spans="5:6">
      <c r="E49" s="77"/>
      <c r="F49" s="77"/>
    </row>
    <row r="50" ht="25" customHeight="1" spans="5:6">
      <c r="E50" s="77"/>
      <c r="F50" s="77"/>
    </row>
    <row r="51" ht="25" customHeight="1" spans="5:6">
      <c r="E51" s="77"/>
      <c r="F51" s="77"/>
    </row>
    <row r="52" ht="25" customHeight="1" spans="5:6">
      <c r="E52" s="77"/>
      <c r="F52" s="77"/>
    </row>
    <row r="53" ht="25" customHeight="1" spans="5:6">
      <c r="E53" s="77"/>
      <c r="F53" s="77"/>
    </row>
    <row r="54" ht="25" customHeight="1" spans="5:6">
      <c r="E54" s="77"/>
      <c r="F54" s="77"/>
    </row>
    <row r="55" ht="25" customHeight="1" spans="5:6">
      <c r="E55" s="77"/>
      <c r="F55" s="77"/>
    </row>
    <row r="56" ht="25" customHeight="1" spans="1:6">
      <c r="A56" s="1"/>
      <c r="E56" s="77"/>
      <c r="F56" s="77"/>
    </row>
    <row r="57" ht="25" customHeight="1" spans="1:6">
      <c r="A57" s="1"/>
      <c r="E57" s="78"/>
      <c r="F57" s="77"/>
    </row>
    <row r="58" ht="25" customHeight="1" spans="6:6">
      <c r="F58" s="79"/>
    </row>
    <row r="59" ht="25" customHeight="1" spans="1:6">
      <c r="A59" s="5"/>
      <c r="E59" s="80"/>
      <c r="F59" s="80"/>
    </row>
    <row r="60" ht="25" customHeight="1" spans="2:6">
      <c r="B60" s="1"/>
      <c r="E60" s="80"/>
      <c r="F60" s="80"/>
    </row>
    <row r="61" ht="25" customHeight="1" spans="5:6">
      <c r="E61" s="80"/>
      <c r="F61" s="80"/>
    </row>
    <row r="62" ht="25" customHeight="1" spans="5:7">
      <c r="E62" s="80"/>
      <c r="F62" s="80"/>
      <c r="G62" s="80"/>
    </row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</sheetData>
  <mergeCells count="15">
    <mergeCell ref="A1:G1"/>
    <mergeCell ref="A2:G2"/>
    <mergeCell ref="A3:G3"/>
    <mergeCell ref="A4:G4"/>
    <mergeCell ref="A30:C30"/>
    <mergeCell ref="D30:G30"/>
    <mergeCell ref="D31:G31"/>
    <mergeCell ref="D32:G32"/>
    <mergeCell ref="D33:G33"/>
    <mergeCell ref="A34:C34"/>
    <mergeCell ref="D34:G34"/>
    <mergeCell ref="E59:F59"/>
    <mergeCell ref="E62:G62"/>
    <mergeCell ref="A31:C33"/>
    <mergeCell ref="A23:D25"/>
  </mergeCells>
  <dataValidations count="1">
    <dataValidation type="list" allowBlank="1" showInputMessage="1" showErrorMessage="1" sqref="B35">
      <formula1>"曾琮皓,邱曉吟,何芝穎,鄭曉蓉,李孟珊"</formula1>
    </dataValidation>
  </dataValidations>
  <pageMargins left="0.393055555555556" right="0.393055555555556" top="0.156944444444444" bottom="0.196527777777778" header="0" footer="0"/>
  <pageSetup paperSize="9" scale="9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報價單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Eddie</cp:lastModifiedBy>
  <dcterms:created xsi:type="dcterms:W3CDTF">1997-01-14T01:50:00Z</dcterms:created>
  <cp:lastPrinted>2022-06-16T06:33:00Z</cp:lastPrinted>
  <dcterms:modified xsi:type="dcterms:W3CDTF">2023-05-11T15:47:11Z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