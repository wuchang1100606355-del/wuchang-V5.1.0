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e9\五常社區總體營造(閉鎖型)股份有限公司 Dropbox\社區產業\齊家物業相關資料\"/>
    </mc:Choice>
  </mc:AlternateContent>
  <xr:revisionPtr revIDLastSave="0" documentId="13_ncr:1_{5341DB9B-0DB1-42C6-AC97-599A0E9D5200}" xr6:coauthVersionLast="36" xr6:coauthVersionMax="47" xr10:uidLastSave="{00000000-0000-0000-0000-000000000000}"/>
  <bookViews>
    <workbookView xWindow="2730" yWindow="0" windowWidth="24470" windowHeight="20370" activeTab="4" xr2:uid="{00000000-000D-0000-FFFF-FFFF00000000}"/>
  </bookViews>
  <sheets>
    <sheet name="終版" sheetId="6" r:id="rId1"/>
    <sheet name="勞健保清單" sheetId="7" r:id="rId2"/>
    <sheet name="員工薪資" sheetId="3" state="hidden" r:id="rId3"/>
    <sheet name="報價單" sheetId="8" r:id="rId4"/>
    <sheet name="工作表1" sheetId="9" r:id="rId5"/>
  </sheets>
  <externalReferences>
    <externalReference r:id="rId6"/>
  </externalReferences>
  <definedNames>
    <definedName name="_xlnm.Print_Area" localSheetId="3">報價單!$A$1:$L$19</definedName>
  </definedNames>
  <calcPr calcId="191029"/>
</workbook>
</file>

<file path=xl/calcChain.xml><?xml version="1.0" encoding="utf-8"?>
<calcChain xmlns="http://schemas.openxmlformats.org/spreadsheetml/2006/main">
  <c r="B3" i="7" l="1"/>
  <c r="I22" i="6" l="1"/>
  <c r="I23" i="6"/>
  <c r="E11" i="6"/>
  <c r="I11" i="6"/>
  <c r="J11" i="6"/>
  <c r="K11" i="6"/>
  <c r="E8" i="6"/>
  <c r="I8" i="6"/>
  <c r="J8" i="6"/>
  <c r="K8" i="6"/>
  <c r="I9" i="8"/>
  <c r="I8" i="8"/>
  <c r="I7" i="8"/>
  <c r="D7" i="8"/>
  <c r="K42" i="9"/>
  <c r="H40" i="9"/>
  <c r="I40" i="9" s="1"/>
  <c r="H39" i="9"/>
  <c r="I39" i="9" s="1"/>
  <c r="H38" i="9"/>
  <c r="I38" i="9" s="1"/>
  <c r="H36" i="9"/>
  <c r="I36" i="9" s="1"/>
  <c r="H35" i="9"/>
  <c r="I35" i="9" s="1"/>
  <c r="H34" i="9"/>
  <c r="I34" i="9" s="1"/>
  <c r="I33" i="9"/>
  <c r="H33" i="9"/>
  <c r="H32" i="9"/>
  <c r="I32" i="9" s="1"/>
  <c r="H31" i="9"/>
  <c r="I31" i="9" s="1"/>
  <c r="I30" i="9"/>
  <c r="H30" i="9"/>
  <c r="H29" i="9"/>
  <c r="I29" i="9" s="1"/>
  <c r="H28" i="9"/>
  <c r="I28" i="9" s="1"/>
  <c r="H27" i="9"/>
  <c r="I27" i="9" s="1"/>
  <c r="H26" i="9"/>
  <c r="I26" i="9" s="1"/>
  <c r="I25" i="9"/>
  <c r="H25" i="9"/>
  <c r="H24" i="9"/>
  <c r="I24" i="9" s="1"/>
  <c r="H23" i="9"/>
  <c r="I23" i="9" s="1"/>
  <c r="I21" i="9"/>
  <c r="H21" i="9"/>
  <c r="H20" i="9"/>
  <c r="I20" i="9" s="1"/>
  <c r="H19" i="9"/>
  <c r="I19" i="9" s="1"/>
  <c r="H18" i="9"/>
  <c r="I18" i="9" s="1"/>
  <c r="H17" i="9"/>
  <c r="I17" i="9" s="1"/>
  <c r="I16" i="9"/>
  <c r="H16" i="9"/>
  <c r="H15" i="9"/>
  <c r="I15" i="9" s="1"/>
  <c r="H14" i="9"/>
  <c r="I14" i="9" s="1"/>
  <c r="H8" i="9"/>
  <c r="E6" i="9"/>
  <c r="E5" i="9"/>
  <c r="E4" i="9"/>
  <c r="E10" i="6"/>
  <c r="E10" i="9" l="1"/>
  <c r="A43" i="9"/>
  <c r="H10" i="9"/>
  <c r="E37" i="9"/>
  <c r="H4" i="9"/>
  <c r="I10" i="6"/>
  <c r="J10" i="6"/>
  <c r="K10" i="6"/>
  <c r="I24" i="6"/>
  <c r="J9" i="8"/>
  <c r="H37" i="9" l="1"/>
  <c r="E41" i="9"/>
  <c r="I21" i="6"/>
  <c r="I20" i="6"/>
  <c r="J8" i="8"/>
  <c r="K9" i="6"/>
  <c r="J9" i="6"/>
  <c r="I9" i="6"/>
  <c r="E9" i="6"/>
  <c r="K7" i="6"/>
  <c r="J7" i="6"/>
  <c r="I7" i="6"/>
  <c r="E7" i="6"/>
  <c r="J7" i="8"/>
  <c r="K2" i="8"/>
  <c r="I6" i="6"/>
  <c r="D42" i="7"/>
  <c r="C42" i="7"/>
  <c r="B42" i="7"/>
  <c r="D41" i="7"/>
  <c r="C41" i="7"/>
  <c r="B41" i="7"/>
  <c r="D40" i="7"/>
  <c r="C40" i="7"/>
  <c r="B40" i="7"/>
  <c r="D39" i="7"/>
  <c r="C39" i="7"/>
  <c r="B39" i="7"/>
  <c r="D38" i="7"/>
  <c r="C38" i="7"/>
  <c r="B38" i="7"/>
  <c r="D37" i="7"/>
  <c r="C37" i="7"/>
  <c r="B37" i="7"/>
  <c r="D36" i="7"/>
  <c r="C36" i="7"/>
  <c r="B36" i="7"/>
  <c r="D35" i="7"/>
  <c r="C35" i="7"/>
  <c r="B35" i="7"/>
  <c r="D34" i="7"/>
  <c r="C34" i="7"/>
  <c r="B34" i="7"/>
  <c r="D33" i="7"/>
  <c r="C33" i="7"/>
  <c r="B33" i="7"/>
  <c r="D32" i="7"/>
  <c r="C32" i="7"/>
  <c r="B32" i="7"/>
  <c r="D31" i="7"/>
  <c r="H8" i="6" s="1"/>
  <c r="C31" i="7"/>
  <c r="G8" i="6" s="1"/>
  <c r="B31" i="7"/>
  <c r="F8" i="6" s="1"/>
  <c r="D30" i="7"/>
  <c r="C30" i="7"/>
  <c r="B30" i="7"/>
  <c r="D29" i="7"/>
  <c r="C29" i="7"/>
  <c r="B29" i="7"/>
  <c r="D28" i="7"/>
  <c r="C28" i="7"/>
  <c r="B28" i="7"/>
  <c r="D27" i="7"/>
  <c r="H11" i="6" s="1"/>
  <c r="C27" i="7"/>
  <c r="G11" i="6" s="1"/>
  <c r="B27" i="7"/>
  <c r="F11" i="6" s="1"/>
  <c r="D26" i="7"/>
  <c r="C26" i="7"/>
  <c r="B26" i="7"/>
  <c r="D25" i="7"/>
  <c r="C25" i="7"/>
  <c r="B25" i="7"/>
  <c r="D24" i="7"/>
  <c r="C24" i="7"/>
  <c r="B24" i="7"/>
  <c r="D23" i="7"/>
  <c r="C23" i="7"/>
  <c r="B23" i="7"/>
  <c r="D22" i="7"/>
  <c r="C22" i="7"/>
  <c r="B22" i="7"/>
  <c r="D21" i="7"/>
  <c r="C21" i="7"/>
  <c r="B21" i="7"/>
  <c r="D20" i="7"/>
  <c r="C20" i="7"/>
  <c r="B20" i="7"/>
  <c r="D19" i="7"/>
  <c r="C19" i="7"/>
  <c r="B19" i="7"/>
  <c r="D18" i="7"/>
  <c r="C18" i="7"/>
  <c r="B18" i="7"/>
  <c r="D17" i="7"/>
  <c r="C17" i="7"/>
  <c r="B17" i="7"/>
  <c r="D16" i="7"/>
  <c r="B16" i="7"/>
  <c r="D15" i="7"/>
  <c r="B15" i="7"/>
  <c r="D14" i="7"/>
  <c r="B14" i="7"/>
  <c r="D13" i="7"/>
  <c r="B13" i="7"/>
  <c r="D12" i="7"/>
  <c r="B12" i="7"/>
  <c r="D11" i="7"/>
  <c r="B11" i="7"/>
  <c r="D10" i="7"/>
  <c r="B10" i="7"/>
  <c r="D9" i="7"/>
  <c r="B9" i="7"/>
  <c r="D8" i="7"/>
  <c r="B8" i="7"/>
  <c r="D7" i="7"/>
  <c r="B7" i="7"/>
  <c r="D6" i="7"/>
  <c r="B6" i="7"/>
  <c r="D5" i="7"/>
  <c r="B5" i="7"/>
  <c r="D4" i="7"/>
  <c r="B4" i="7"/>
  <c r="D3" i="7"/>
  <c r="K6" i="6"/>
  <c r="J6" i="6"/>
  <c r="B4" i="3"/>
  <c r="B5" i="3" s="1"/>
  <c r="M13" i="6"/>
  <c r="M14" i="6" s="1"/>
  <c r="M15" i="6" s="1"/>
  <c r="I16" i="6" s="1"/>
  <c r="L8" i="6" l="1"/>
  <c r="N8" i="6" s="1"/>
  <c r="L11" i="6"/>
  <c r="N11" i="6" s="1"/>
  <c r="I25" i="6"/>
  <c r="J13" i="8"/>
  <c r="J14" i="8" s="1"/>
  <c r="I37" i="9"/>
  <c r="H41" i="9"/>
  <c r="I41" i="9" s="1"/>
  <c r="F10" i="6"/>
  <c r="G7" i="6"/>
  <c r="G10" i="6"/>
  <c r="H10" i="6"/>
  <c r="H9" i="6"/>
  <c r="C2" i="3"/>
  <c r="D2" i="3"/>
  <c r="E2" i="3"/>
  <c r="B7" i="3" a="1"/>
  <c r="B7" i="3" s="1"/>
  <c r="B6" i="3" a="1"/>
  <c r="B6" i="3" s="1"/>
  <c r="G6" i="6"/>
  <c r="J15" i="8"/>
  <c r="K13" i="6"/>
  <c r="G9" i="6"/>
  <c r="I13" i="6"/>
  <c r="F7" i="6"/>
  <c r="H7" i="6"/>
  <c r="F9" i="6"/>
  <c r="J13" i="6"/>
  <c r="E13" i="6"/>
  <c r="F6" i="6"/>
  <c r="G16" i="6"/>
  <c r="H6" i="6"/>
  <c r="D12" i="6" l="1"/>
  <c r="L12" i="6" s="1"/>
  <c r="N12" i="6" s="1"/>
  <c r="D13" i="6"/>
  <c r="J21" i="9"/>
  <c r="D43" i="9"/>
  <c r="H43" i="9" s="1"/>
  <c r="J30" i="9"/>
  <c r="J15" i="9"/>
  <c r="J38" i="9"/>
  <c r="J26" i="9"/>
  <c r="J33" i="9"/>
  <c r="J32" i="9"/>
  <c r="J14" i="9"/>
  <c r="J16" i="9"/>
  <c r="J28" i="9"/>
  <c r="J17" i="9"/>
  <c r="J27" i="9"/>
  <c r="J23" i="9"/>
  <c r="J35" i="9"/>
  <c r="J40" i="9"/>
  <c r="J39" i="9"/>
  <c r="J34" i="9"/>
  <c r="J18" i="9"/>
  <c r="J25" i="9"/>
  <c r="J36" i="9"/>
  <c r="J29" i="9"/>
  <c r="J31" i="9"/>
  <c r="J19" i="9"/>
  <c r="J24" i="9"/>
  <c r="J20" i="9"/>
  <c r="J37" i="9"/>
  <c r="H13" i="6"/>
  <c r="L10" i="6"/>
  <c r="N10" i="6" s="1"/>
  <c r="L9" i="6"/>
  <c r="N9" i="6" s="1"/>
  <c r="L7" i="6"/>
  <c r="N7" i="6" s="1"/>
  <c r="L6" i="6"/>
  <c r="G13" i="6"/>
  <c r="F13" i="6"/>
  <c r="J42" i="9" l="1"/>
  <c r="N6" i="6"/>
  <c r="N13" i="6" s="1"/>
  <c r="L1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I15" authorId="0" shapeId="0" xr:uid="{C300111B-9DF4-4C62-8219-E629370EA7E1}">
      <text>
        <r>
          <rPr>
            <b/>
            <sz val="9"/>
            <color indexed="81"/>
            <rFont val="新細明體"/>
            <family val="1"/>
            <charset val="136"/>
          </rPr>
          <t>Administrator: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<sst xmlns="http://schemas.openxmlformats.org/spreadsheetml/2006/main" count="192" uniqueCount="183">
  <si>
    <t>製 表 日 期</t>
    <phoneticPr fontId="1" type="noConversion"/>
  </si>
  <si>
    <t>NO</t>
    <phoneticPr fontId="1" type="noConversion"/>
  </si>
  <si>
    <t>項   目</t>
    <phoneticPr fontId="1" type="noConversion"/>
  </si>
  <si>
    <t>內  部  成  本  統  計</t>
    <phoneticPr fontId="1" type="noConversion"/>
  </si>
  <si>
    <t>說   明</t>
    <phoneticPr fontId="1" type="noConversion"/>
  </si>
  <si>
    <t>單  價</t>
    <phoneticPr fontId="1" type="noConversion"/>
  </si>
  <si>
    <t>次  數</t>
    <phoneticPr fontId="1" type="noConversion"/>
  </si>
  <si>
    <t>合計金額</t>
    <phoneticPr fontId="1" type="noConversion"/>
  </si>
  <si>
    <t>合 計 金 額</t>
    <phoneticPr fontId="1" type="noConversion"/>
  </si>
  <si>
    <t>總 合 計 費 用 金 額</t>
    <phoneticPr fontId="1" type="noConversion"/>
  </si>
  <si>
    <t>稅  金  (5%)</t>
    <phoneticPr fontId="1" type="noConversion"/>
  </si>
  <si>
    <t>總  合  計  金  額</t>
    <phoneticPr fontId="1" type="noConversion"/>
  </si>
  <si>
    <t>薪資成本(A)</t>
    <phoneticPr fontId="1" type="noConversion"/>
  </si>
  <si>
    <t>勞保費用(B)</t>
    <phoneticPr fontId="1" type="noConversion"/>
  </si>
  <si>
    <t>6%勞退金(D)</t>
    <phoneticPr fontId="1" type="noConversion"/>
  </si>
  <si>
    <t>健保費用（C）</t>
    <phoneticPr fontId="1" type="noConversion"/>
  </si>
  <si>
    <t>批  示</t>
    <phoneticPr fontId="1" type="noConversion"/>
  </si>
  <si>
    <t>合計薪資</t>
  </si>
  <si>
    <t>等級</t>
  </si>
  <si>
    <t>match(B9,'勞健保清單'!A3:A65535,1)</t>
  </si>
  <si>
    <t>由於 27500 &lt; 30000 但 27500 &gt; 25000 , 所以在此案例中是等級 2</t>
  </si>
  <si>
    <t>勞保負擔(公司)</t>
    <phoneticPr fontId="11" type="noConversion"/>
  </si>
  <si>
    <t>index('勞健保清單'!B3:B65535,B11,1)</t>
  </si>
  <si>
    <t>健保負擔(公司)</t>
    <phoneticPr fontId="11" type="noConversion"/>
  </si>
  <si>
    <t>index('勞健保清單'!C3:C65535,B11,1)</t>
  </si>
  <si>
    <t>勞退6%</t>
    <phoneticPr fontId="11" type="noConversion"/>
  </si>
  <si>
    <t>(本表需依勞健保局資料更新, 此檔僅為範例)</t>
  </si>
  <si>
    <t>薪資</t>
  </si>
  <si>
    <t>健保費(公司)</t>
  </si>
  <si>
    <t>級距</t>
    <phoneticPr fontId="1" type="noConversion"/>
  </si>
  <si>
    <t>年節及未休假獎金(E)</t>
    <phoneticPr fontId="1" type="noConversion"/>
  </si>
  <si>
    <t>本案未稅價格：</t>
    <phoneticPr fontId="1" type="noConversion"/>
  </si>
  <si>
    <t>含稅價格：</t>
    <phoneticPr fontId="1" type="noConversion"/>
  </si>
  <si>
    <t>項   目</t>
    <phoneticPr fontId="1" type="noConversion"/>
  </si>
  <si>
    <t>注 意 事 項 備 註 欄</t>
  </si>
  <si>
    <t xml:space="preserve">應報價金額(H)【A+B+C+D+E+F】                        </t>
    <phoneticPr fontId="1" type="noConversion"/>
  </si>
  <si>
    <t>實際報價金額            (G)</t>
    <phoneticPr fontId="1" type="noConversion"/>
  </si>
  <si>
    <t xml:space="preserve">差異金額(J)【H-G】              </t>
    <phoneticPr fontId="1" type="noConversion"/>
  </si>
  <si>
    <t>董事長</t>
    <phoneticPr fontId="1" type="noConversion"/>
  </si>
  <si>
    <t>承 辦</t>
    <phoneticPr fontId="1" type="noConversion"/>
  </si>
  <si>
    <t>利潤5%</t>
    <phoneticPr fontId="1" type="noConversion"/>
  </si>
  <si>
    <t>回 饋 明 細</t>
    <phoneticPr fontId="1" type="noConversion"/>
  </si>
  <si>
    <t>管  理  部</t>
    <phoneticPr fontId="1" type="noConversion"/>
  </si>
  <si>
    <t>備  註</t>
    <phoneticPr fontId="1" type="noConversion"/>
  </si>
  <si>
    <t>管消費用9%(F)</t>
    <phoneticPr fontId="1" type="noConversion"/>
  </si>
  <si>
    <t>勞保費(公司)</t>
    <phoneticPr fontId="11" type="noConversion"/>
  </si>
  <si>
    <t>勞退6%</t>
    <phoneticPr fontId="11" type="noConversion"/>
  </si>
  <si>
    <t>勞保最高</t>
    <phoneticPr fontId="1" type="noConversion"/>
  </si>
  <si>
    <t>健保最低</t>
    <phoneticPr fontId="1" type="noConversion"/>
  </si>
  <si>
    <t>報價單</t>
    <phoneticPr fontId="1" type="noConversion"/>
  </si>
  <si>
    <t>日期：</t>
    <phoneticPr fontId="1" type="noConversion"/>
  </si>
  <si>
    <t>客戶名稱：</t>
    <phoneticPr fontId="1" type="noConversion"/>
  </si>
  <si>
    <t>案場地址：</t>
    <phoneticPr fontId="1" type="noConversion"/>
  </si>
  <si>
    <t>服務報價</t>
    <phoneticPr fontId="1" type="noConversion"/>
  </si>
  <si>
    <t>職務</t>
    <phoneticPr fontId="1" type="noConversion"/>
  </si>
  <si>
    <t>工作內容</t>
    <phoneticPr fontId="1" type="noConversion"/>
  </si>
  <si>
    <t>人力</t>
    <phoneticPr fontId="1" type="noConversion"/>
  </si>
  <si>
    <t>單價</t>
    <phoneticPr fontId="1" type="noConversion"/>
  </si>
  <si>
    <t>總價</t>
    <phoneticPr fontId="1" type="noConversion"/>
  </si>
  <si>
    <t>總計(含稅)</t>
    <phoneticPr fontId="1" type="noConversion"/>
  </si>
  <si>
    <t>說明</t>
    <phoneticPr fontId="1" type="noConversion"/>
  </si>
  <si>
    <t>業主確認章</t>
    <phoneticPr fontId="1" type="noConversion"/>
  </si>
  <si>
    <t>報價確認章</t>
    <phoneticPr fontId="1" type="noConversion"/>
  </si>
  <si>
    <r>
      <t xml:space="preserve">           </t>
    </r>
    <r>
      <rPr>
        <b/>
        <sz val="16"/>
        <rFont val="標楷體"/>
        <family val="4"/>
        <charset val="136"/>
      </rPr>
      <t>齊家公寓大廈管理維護有限公司</t>
    </r>
    <r>
      <rPr>
        <b/>
        <sz val="12"/>
        <rFont val="標楷體"/>
        <family val="4"/>
        <charset val="136"/>
      </rPr>
      <t xml:space="preserve">
</t>
    </r>
    <r>
      <rPr>
        <b/>
        <sz val="12"/>
        <rFont val="Times New Roman"/>
        <family val="1"/>
      </rPr>
      <t xml:space="preserve">HOME START PROPERTY MANAGEMENT COMPANY
Tel.(02)2312-3588  Fax.(02)2312-3900
</t>
    </r>
    <r>
      <rPr>
        <b/>
        <sz val="12"/>
        <rFont val="標楷體"/>
        <family val="4"/>
        <charset val="136"/>
      </rPr>
      <t>地址：台北市中正區中華路一段39號</t>
    </r>
    <r>
      <rPr>
        <b/>
        <sz val="12"/>
        <rFont val="Times New Roman"/>
        <family val="1"/>
      </rPr>
      <t>14F</t>
    </r>
    <phoneticPr fontId="1" type="noConversion"/>
  </si>
  <si>
    <t>回饋事項</t>
    <phoneticPr fontId="1" type="noConversion"/>
  </si>
  <si>
    <t>安全維護</t>
    <phoneticPr fontId="1" type="noConversion"/>
  </si>
  <si>
    <t>物業管理維護</t>
    <phoneticPr fontId="1" type="noConversion"/>
  </si>
  <si>
    <t>稅金</t>
    <phoneticPr fontId="1" type="noConversion"/>
  </si>
  <si>
    <t>未稅</t>
    <phoneticPr fontId="1" type="noConversion"/>
  </si>
  <si>
    <t>聯絡人:黃家駒02-26009931</t>
    <phoneticPr fontId="1" type="noConversion"/>
  </si>
  <si>
    <t>林口區民有街52號</t>
    <phoneticPr fontId="1" type="noConversion"/>
  </si>
  <si>
    <t>環境維護</t>
    <phoneticPr fontId="1" type="noConversion"/>
  </si>
  <si>
    <t xml:space="preserve">1.合約起訖日自109.9.30晚上19:00起至110.9.30晚上19:00止結束。                                                                          2.上述報價皆含人員制服、勞健保、團險、訓練等費用。
3.甲方同意於契約期間內，若政府法令調整基本工資或勞健保費率或稅金費率等，依其成本變動，予以等幅調整契約報價)。                                                                                                         4.本報價單有效期限30天。                                                      5.每年社區環境消毒及清洗水塔2次。                                                  6.每年高壓清洗外圍地坪2次。                                                                7.每年中庭景觀水池清洗2次。                                                                 8.每年一樓大廳挑高玻璃清潔2次。                                                                9.每年2次請園藝公司整理，另派現場人員2次園藝維護。                                              10.影印事務機費用。                                                                      11.區權會會場裝備及人力支援。                                                                         </t>
    <phoneticPr fontId="1" type="noConversion"/>
  </si>
  <si>
    <t>每年社區環境消毒及清洗水塔2次</t>
    <phoneticPr fontId="1" type="noConversion"/>
  </si>
  <si>
    <t>每年高壓清洗外圍地坪2次</t>
    <phoneticPr fontId="1" type="noConversion"/>
  </si>
  <si>
    <t>影印事務機費用</t>
    <phoneticPr fontId="1" type="noConversion"/>
  </si>
  <si>
    <t>區權會會場裝備及人力支援</t>
    <phoneticPr fontId="1" type="noConversion"/>
  </si>
  <si>
    <t>董事長：    　 　執行長：　    　　協理：　  　    　經辦人：1090807</t>
    <phoneticPr fontId="1" type="noConversion"/>
  </si>
  <si>
    <t>玄泰ONE</t>
    <phoneticPr fontId="1" type="noConversion"/>
  </si>
  <si>
    <r>
      <rPr>
        <sz val="20"/>
        <rFont val="新細明體"/>
        <family val="1"/>
        <charset val="136"/>
      </rPr>
      <t>長耀里</t>
    </r>
    <r>
      <rPr>
        <sz val="20"/>
        <rFont val="Times New Roman"/>
        <family val="1"/>
      </rPr>
      <t xml:space="preserve">            </t>
    </r>
    <r>
      <rPr>
        <u/>
        <sz val="20"/>
        <rFont val="標楷體"/>
        <family val="4"/>
        <charset val="136"/>
      </rPr>
      <t>年度預算預估表</t>
    </r>
    <r>
      <rPr>
        <u/>
        <sz val="20"/>
        <rFont val="Times New Roman"/>
        <family val="1"/>
      </rPr>
      <t>(1</t>
    </r>
    <r>
      <rPr>
        <u/>
        <sz val="20"/>
        <rFont val="細明體"/>
        <family val="1"/>
        <charset val="136"/>
      </rPr>
      <t>坪</t>
    </r>
    <r>
      <rPr>
        <u/>
        <sz val="20"/>
        <rFont val="Times New Roman"/>
        <family val="1"/>
      </rPr>
      <t>50</t>
    </r>
    <r>
      <rPr>
        <u/>
        <sz val="20"/>
        <rFont val="細明體"/>
        <family val="1"/>
        <charset val="136"/>
      </rPr>
      <t>元</t>
    </r>
    <r>
      <rPr>
        <u/>
        <sz val="20"/>
        <rFont val="Times New Roman"/>
        <family val="1"/>
      </rPr>
      <t>)</t>
    </r>
    <phoneticPr fontId="1" type="noConversion"/>
  </si>
  <si>
    <r>
      <t>一</t>
    </r>
    <r>
      <rPr>
        <sz val="12"/>
        <rFont val="Times New Roman"/>
        <family val="1"/>
      </rPr>
      <t>.</t>
    </r>
    <r>
      <rPr>
        <sz val="12"/>
        <rFont val="標楷體"/>
        <family val="4"/>
        <charset val="136"/>
      </rPr>
      <t>收入部份</t>
    </r>
    <r>
      <rPr>
        <sz val="12"/>
        <rFont val="Times New Roman"/>
        <family val="1"/>
      </rPr>
      <t>:</t>
    </r>
    <phoneticPr fontId="1" type="noConversion"/>
  </si>
  <si>
    <t xml:space="preserve"> </t>
    <phoneticPr fontId="1" type="noConversion"/>
  </si>
  <si>
    <t>編號</t>
    <phoneticPr fontId="1" type="noConversion"/>
  </si>
  <si>
    <t>科目</t>
    <phoneticPr fontId="1" type="noConversion"/>
  </si>
  <si>
    <t>摘要</t>
    <phoneticPr fontId="1" type="noConversion"/>
  </si>
  <si>
    <t>月收入</t>
    <phoneticPr fontId="1" type="noConversion"/>
  </si>
  <si>
    <t>次數</t>
    <phoneticPr fontId="1" type="noConversion"/>
  </si>
  <si>
    <t>年度收入</t>
    <phoneticPr fontId="1" type="noConversion"/>
  </si>
  <si>
    <t>備註</t>
    <phoneticPr fontId="1" type="noConversion"/>
  </si>
  <si>
    <t>管理費收入</t>
    <phoneticPr fontId="1" type="noConversion"/>
  </si>
  <si>
    <t xml:space="preserve">50元/坪 </t>
    <phoneticPr fontId="1" type="noConversion"/>
  </si>
  <si>
    <r>
      <rPr>
        <b/>
        <sz val="12"/>
        <color rgb="FFFF0000"/>
        <rFont val="新細明體"/>
        <family val="1"/>
        <charset val="136"/>
      </rPr>
      <t>50元</t>
    </r>
    <r>
      <rPr>
        <b/>
        <sz val="12"/>
        <color rgb="FFFF0000"/>
        <rFont val="Times New Roman"/>
        <family val="1"/>
      </rPr>
      <t>/</t>
    </r>
    <r>
      <rPr>
        <b/>
        <sz val="12"/>
        <color rgb="FFFF0000"/>
        <rFont val="新細明體"/>
        <family val="1"/>
        <charset val="136"/>
      </rPr>
      <t>坪</t>
    </r>
    <r>
      <rPr>
        <b/>
        <sz val="12"/>
        <color rgb="FFFF0000"/>
        <rFont val="Times New Roman"/>
        <family val="1"/>
      </rPr>
      <t>*</t>
    </r>
    <r>
      <rPr>
        <b/>
        <sz val="12"/>
        <color rgb="FFFF0000"/>
        <rFont val="新細明體"/>
        <family val="1"/>
        <charset val="136"/>
      </rPr>
      <t>總面積5234.7</t>
    </r>
    <phoneticPr fontId="1" type="noConversion"/>
  </si>
  <si>
    <t>詳細未知</t>
    <phoneticPr fontId="1" type="noConversion"/>
  </si>
  <si>
    <t>汽車位收入</t>
    <phoneticPr fontId="1" type="noConversion"/>
  </si>
  <si>
    <t>170位/$500/月</t>
    <phoneticPr fontId="1" type="noConversion"/>
  </si>
  <si>
    <t>機車位收入</t>
    <phoneticPr fontId="1" type="noConversion"/>
  </si>
  <si>
    <t>157位/$100/月</t>
    <phoneticPr fontId="1" type="noConversion"/>
  </si>
  <si>
    <t>腳踏車位收入</t>
    <phoneticPr fontId="1" type="noConversion"/>
  </si>
  <si>
    <t>未定</t>
    <phoneticPr fontId="1" type="noConversion"/>
  </si>
  <si>
    <t>公共基金</t>
    <phoneticPr fontId="1" type="noConversion"/>
  </si>
  <si>
    <t>利息收入</t>
    <phoneticPr fontId="1" type="noConversion"/>
  </si>
  <si>
    <t>年利率</t>
    <phoneticPr fontId="1" type="noConversion"/>
  </si>
  <si>
    <t>其它收入</t>
    <phoneticPr fontId="1" type="noConversion"/>
  </si>
  <si>
    <t>施工清潔費……</t>
    <phoneticPr fontId="1" type="noConversion"/>
  </si>
  <si>
    <r>
      <t>月收入</t>
    </r>
    <r>
      <rPr>
        <sz val="12"/>
        <rFont val="Times New Roman"/>
        <family val="1"/>
      </rPr>
      <t>(A)</t>
    </r>
    <phoneticPr fontId="1" type="noConversion"/>
  </si>
  <si>
    <r>
      <t>二</t>
    </r>
    <r>
      <rPr>
        <sz val="14"/>
        <rFont val="Times New Roman"/>
        <family val="1"/>
      </rPr>
      <t>.</t>
    </r>
    <r>
      <rPr>
        <sz val="14"/>
        <rFont val="標楷體"/>
        <family val="4"/>
        <charset val="136"/>
      </rPr>
      <t>支出部份</t>
    </r>
    <r>
      <rPr>
        <sz val="14"/>
        <rFont val="Times New Roman"/>
        <family val="1"/>
      </rPr>
      <t>:</t>
    </r>
    <r>
      <rPr>
        <b/>
        <sz val="14"/>
        <color indexed="10"/>
        <rFont val="Times New Roman"/>
        <family val="1"/>
      </rPr>
      <t>(</t>
    </r>
    <r>
      <rPr>
        <b/>
        <sz val="14"/>
        <color indexed="10"/>
        <rFont val="標楷體"/>
        <family val="4"/>
        <charset val="136"/>
      </rPr>
      <t>由社區總預算分配各細項百分比管控社區支出金額</t>
    </r>
    <r>
      <rPr>
        <b/>
        <sz val="14"/>
        <color indexed="10"/>
        <rFont val="Times New Roman"/>
        <family val="1"/>
      </rPr>
      <t>)</t>
    </r>
    <phoneticPr fontId="1" type="noConversion"/>
  </si>
  <si>
    <t>類別</t>
    <phoneticPr fontId="1" type="noConversion"/>
  </si>
  <si>
    <t>經常性</t>
    <phoneticPr fontId="1" type="noConversion"/>
  </si>
  <si>
    <t>月支出%</t>
    <phoneticPr fontId="1" type="noConversion"/>
  </si>
  <si>
    <t>單次支出</t>
    <phoneticPr fontId="1" type="noConversion"/>
  </si>
  <si>
    <t>年度支出</t>
    <phoneticPr fontId="1" type="noConversion"/>
  </si>
  <si>
    <t>平均月支出</t>
    <phoneticPr fontId="1" type="noConversion"/>
  </si>
  <si>
    <t>人事行政</t>
    <phoneticPr fontId="1" type="noConversion"/>
  </si>
  <si>
    <t>物業管理&amp;環境清潔</t>
    <phoneticPr fontId="1" type="noConversion"/>
  </si>
  <si>
    <t xml:space="preserve">社區經理*1=65000                             社區秘書*1-50000                                                                安管員*3(1哨)=135000                                                                       清潔人員*1=40000                     共計290000元                                          （以上未稅）　　　　　　　　　　　　　　　　　　共304500元（含稅）               </t>
    <phoneticPr fontId="1" type="noConversion"/>
  </si>
  <si>
    <t>零用金</t>
    <phoneticPr fontId="1" type="noConversion"/>
  </si>
  <si>
    <t>含電話費/影印費/雜支</t>
    <phoneticPr fontId="1" type="noConversion"/>
  </si>
  <si>
    <r>
      <t>電話費（含</t>
    </r>
    <r>
      <rPr>
        <sz val="12"/>
        <rFont val="Times New Roman"/>
        <family val="1"/>
      </rPr>
      <t>ADSL</t>
    </r>
    <r>
      <rPr>
        <sz val="12"/>
        <rFont val="標楷體"/>
        <family val="4"/>
        <charset val="136"/>
      </rPr>
      <t>）</t>
    </r>
    <phoneticPr fontId="1" type="noConversion"/>
  </si>
  <si>
    <t>泳池救生員費用</t>
    <phoneticPr fontId="1" type="noConversion"/>
  </si>
  <si>
    <r>
      <t>copy</t>
    </r>
    <r>
      <rPr>
        <sz val="12"/>
        <rFont val="標楷體"/>
        <family val="4"/>
        <charset val="136"/>
      </rPr>
      <t>機影印費用</t>
    </r>
    <phoneticPr fontId="1" type="noConversion"/>
  </si>
  <si>
    <t>社區活動</t>
    <phoneticPr fontId="1" type="noConversion"/>
  </si>
  <si>
    <t>中元普渡</t>
    <phoneticPr fontId="1" type="noConversion"/>
  </si>
  <si>
    <t>包含搭帳棚以及桌椅費用,結束後拆除</t>
    <phoneticPr fontId="1" type="noConversion"/>
  </si>
  <si>
    <r>
      <t>元旦</t>
    </r>
    <r>
      <rPr>
        <sz val="12"/>
        <rFont val="Times New Roman"/>
        <family val="1"/>
      </rPr>
      <t>party</t>
    </r>
    <phoneticPr fontId="1" type="noConversion"/>
  </si>
  <si>
    <r>
      <t>農曆新年佈置</t>
    </r>
    <r>
      <rPr>
        <sz val="12"/>
        <rFont val="Times New Roman"/>
        <family val="1"/>
      </rPr>
      <t>+party</t>
    </r>
    <phoneticPr fontId="1" type="noConversion"/>
  </si>
  <si>
    <r>
      <t xml:space="preserve">X'mas </t>
    </r>
    <r>
      <rPr>
        <sz val="12"/>
        <rFont val="標楷體"/>
        <family val="4"/>
        <charset val="136"/>
      </rPr>
      <t>佈置</t>
    </r>
    <r>
      <rPr>
        <sz val="12"/>
        <rFont val="Times New Roman"/>
        <family val="1"/>
      </rPr>
      <t>+party</t>
    </r>
    <phoneticPr fontId="1" type="noConversion"/>
  </si>
  <si>
    <t>中秋節烤肉(晚會)</t>
    <phoneticPr fontId="1" type="noConversion"/>
  </si>
  <si>
    <r>
      <rPr>
        <b/>
        <sz val="12"/>
        <color rgb="FFFF0000"/>
        <rFont val="細明體"/>
        <family val="1"/>
        <charset val="136"/>
      </rPr>
      <t>每戶餐費預計</t>
    </r>
    <r>
      <rPr>
        <b/>
        <sz val="12"/>
        <color rgb="FFFF0000"/>
        <rFont val="Times New Roman"/>
        <family val="1"/>
      </rPr>
      <t>300</t>
    </r>
    <r>
      <rPr>
        <b/>
        <sz val="12"/>
        <color rgb="FFFF0000"/>
        <rFont val="細明體"/>
        <family val="1"/>
        <charset val="136"/>
      </rPr>
      <t>元</t>
    </r>
    <r>
      <rPr>
        <b/>
        <sz val="12"/>
        <color rgb="FFFF0000"/>
        <rFont val="Times New Roman"/>
        <family val="1"/>
        <charset val="136"/>
      </rPr>
      <t>(</t>
    </r>
    <r>
      <rPr>
        <b/>
        <sz val="12"/>
        <color rgb="FFFF0000"/>
        <rFont val="細明體"/>
        <family val="1"/>
        <charset val="136"/>
      </rPr>
      <t>可要可不要</t>
    </r>
    <r>
      <rPr>
        <b/>
        <sz val="12"/>
        <color rgb="FFFF0000"/>
        <rFont val="Times New Roman"/>
        <family val="1"/>
        <charset val="136"/>
      </rPr>
      <t>)</t>
    </r>
    <phoneticPr fontId="1" type="noConversion"/>
  </si>
  <si>
    <t>機電維護</t>
    <phoneticPr fontId="1" type="noConversion"/>
  </si>
  <si>
    <t>消防安全檢查及申報</t>
    <phoneticPr fontId="1" type="noConversion"/>
  </si>
  <si>
    <t>機電巡檢</t>
    <phoneticPr fontId="1" type="noConversion"/>
  </si>
  <si>
    <t>機電耗材</t>
    <phoneticPr fontId="1" type="noConversion"/>
  </si>
  <si>
    <t>燈管類等</t>
    <phoneticPr fontId="1" type="noConversion"/>
  </si>
  <si>
    <t>冷氣保養</t>
    <phoneticPr fontId="1" type="noConversion"/>
  </si>
  <si>
    <t>公共區域</t>
    <phoneticPr fontId="1" type="noConversion"/>
  </si>
  <si>
    <t>游泳池維護費用</t>
    <phoneticPr fontId="1" type="noConversion"/>
  </si>
  <si>
    <t>泳池過濾系統,PH質檢測</t>
    <phoneticPr fontId="1" type="noConversion"/>
  </si>
  <si>
    <t>電梯保養</t>
    <phoneticPr fontId="1" type="noConversion"/>
  </si>
  <si>
    <t>每月保養一次</t>
    <phoneticPr fontId="1" type="noConversion"/>
  </si>
  <si>
    <r>
      <rPr>
        <sz val="12"/>
        <rFont val="細明體"/>
        <family val="1"/>
        <charset val="136"/>
      </rPr>
      <t>共</t>
    </r>
    <r>
      <rPr>
        <sz val="12"/>
        <rFont val="Times New Roman"/>
        <family val="1"/>
      </rPr>
      <t>3</t>
    </r>
    <r>
      <rPr>
        <sz val="12"/>
        <rFont val="細明體"/>
        <family val="1"/>
        <charset val="136"/>
      </rPr>
      <t>部電梯</t>
    </r>
    <phoneticPr fontId="1" type="noConversion"/>
  </si>
  <si>
    <t>清潔維護</t>
    <phoneticPr fontId="1" type="noConversion"/>
  </si>
  <si>
    <t>清潔消毒與耗材</t>
    <phoneticPr fontId="1" type="noConversion"/>
  </si>
  <si>
    <r>
      <t>安全梯</t>
    </r>
    <r>
      <rPr>
        <sz val="12"/>
        <rFont val="Times New Roman"/>
        <family val="1"/>
      </rPr>
      <t>.</t>
    </r>
    <r>
      <rPr>
        <sz val="12"/>
        <rFont val="標楷體"/>
        <family val="4"/>
        <charset val="136"/>
      </rPr>
      <t>消毒</t>
    </r>
    <phoneticPr fontId="1" type="noConversion"/>
  </si>
  <si>
    <t>清洗水塔</t>
    <phoneticPr fontId="1" type="noConversion"/>
  </si>
  <si>
    <t>一年兩次</t>
    <phoneticPr fontId="1" type="noConversion"/>
  </si>
  <si>
    <t>物業管理公司回饋</t>
    <phoneticPr fontId="1" type="noConversion"/>
  </si>
  <si>
    <t>垃圾清運</t>
    <phoneticPr fontId="1" type="noConversion"/>
  </si>
  <si>
    <t>石材保養</t>
    <phoneticPr fontId="1" type="noConversion"/>
  </si>
  <si>
    <t>一年一次</t>
    <phoneticPr fontId="1" type="noConversion"/>
  </si>
  <si>
    <t>園藝</t>
    <phoneticPr fontId="1" type="noConversion"/>
  </si>
  <si>
    <r>
      <t>含修剪</t>
    </r>
    <r>
      <rPr>
        <b/>
        <sz val="12"/>
        <color rgb="FFFF0000"/>
        <rFont val="Times New Roman"/>
        <family val="1"/>
      </rPr>
      <t>.</t>
    </r>
    <r>
      <rPr>
        <b/>
        <sz val="12"/>
        <color rgb="FFFF0000"/>
        <rFont val="標楷體"/>
        <family val="4"/>
        <charset val="136"/>
      </rPr>
      <t>雜草清除</t>
    </r>
    <r>
      <rPr>
        <b/>
        <sz val="12"/>
        <color rgb="FFFF0000"/>
        <rFont val="Times New Roman"/>
        <family val="1"/>
      </rPr>
      <t>.</t>
    </r>
    <r>
      <rPr>
        <b/>
        <sz val="12"/>
        <color rgb="FFFF0000"/>
        <rFont val="標楷體"/>
        <family val="4"/>
        <charset val="136"/>
      </rPr>
      <t>施肥</t>
    </r>
    <r>
      <rPr>
        <b/>
        <sz val="12"/>
        <color rgb="FFFF0000"/>
        <rFont val="Times New Roman"/>
        <family val="1"/>
      </rPr>
      <t>,</t>
    </r>
    <r>
      <rPr>
        <b/>
        <sz val="12"/>
        <color rgb="FFFF0000"/>
        <rFont val="標楷體"/>
        <family val="4"/>
        <charset val="136"/>
      </rPr>
      <t>植草</t>
    </r>
    <phoneticPr fontId="1" type="noConversion"/>
  </si>
  <si>
    <t>兩個月修剪一次</t>
    <phoneticPr fontId="1" type="noConversion"/>
  </si>
  <si>
    <t>清洗泳池</t>
    <phoneticPr fontId="1" type="noConversion"/>
  </si>
  <si>
    <t>外牆清洗</t>
    <phoneticPr fontId="1" type="noConversion"/>
  </si>
  <si>
    <t>每三年清洗一次</t>
    <phoneticPr fontId="1" type="noConversion"/>
  </si>
  <si>
    <t>預計40萬</t>
    <phoneticPr fontId="1" type="noConversion"/>
  </si>
  <si>
    <t>修繕與設備更新準備金</t>
    <phoneticPr fontId="1" type="noConversion"/>
  </si>
  <si>
    <t>預留1%社區預備金</t>
    <phoneticPr fontId="1" type="noConversion"/>
  </si>
  <si>
    <t>其他</t>
    <phoneticPr fontId="1" type="noConversion"/>
  </si>
  <si>
    <t>公共電費</t>
    <phoneticPr fontId="1" type="noConversion"/>
  </si>
  <si>
    <t>公共水費</t>
    <phoneticPr fontId="1" type="noConversion"/>
  </si>
  <si>
    <t>保險</t>
    <phoneticPr fontId="1" type="noConversion"/>
  </si>
  <si>
    <t>公共意外責任險</t>
    <phoneticPr fontId="1" type="noConversion"/>
  </si>
  <si>
    <r>
      <t>正常期月平均支出費用</t>
    </r>
    <r>
      <rPr>
        <sz val="12"/>
        <rFont val="Times New Roman"/>
        <family val="1"/>
      </rPr>
      <t>(B)</t>
    </r>
    <phoneticPr fontId="1" type="noConversion"/>
  </si>
  <si>
    <r>
      <t>正常期月收入</t>
    </r>
    <r>
      <rPr>
        <sz val="11"/>
        <rFont val="Times New Roman"/>
        <family val="1"/>
      </rPr>
      <t>(A)</t>
    </r>
    <phoneticPr fontId="1" type="noConversion"/>
  </si>
  <si>
    <r>
      <t>月平均支出費用</t>
    </r>
    <r>
      <rPr>
        <sz val="12"/>
        <rFont val="Times New Roman"/>
        <family val="1"/>
      </rPr>
      <t>(B)</t>
    </r>
    <phoneticPr fontId="1" type="noConversion"/>
  </si>
  <si>
    <r>
      <t>A - B = C</t>
    </r>
    <r>
      <rPr>
        <sz val="12"/>
        <rFont val="標楷體"/>
        <family val="4"/>
        <charset val="136"/>
      </rPr>
      <t>結餘</t>
    </r>
    <phoneticPr fontId="1" type="noConversion"/>
  </si>
  <si>
    <t>安管</t>
    <phoneticPr fontId="1" type="noConversion"/>
  </si>
  <si>
    <t>保潔1</t>
    <phoneticPr fontId="1" type="noConversion"/>
  </si>
  <si>
    <t>日安管</t>
    <phoneticPr fontId="1" type="noConversion"/>
  </si>
  <si>
    <t>夜安管</t>
    <phoneticPr fontId="1" type="noConversion"/>
  </si>
  <si>
    <t>機動安管</t>
    <phoneticPr fontId="1" type="noConversion"/>
  </si>
  <si>
    <t>保潔</t>
    <phoneticPr fontId="1" type="noConversion"/>
  </si>
  <si>
    <t>社區經理</t>
    <phoneticPr fontId="1" type="noConversion"/>
  </si>
  <si>
    <t>保潔2</t>
  </si>
  <si>
    <t>額度：1000/黑白,100彩色　超過費用社區承擔</t>
    <phoneticPr fontId="1" type="noConversion"/>
  </si>
  <si>
    <t>經理</t>
    <phoneticPr fontId="1" type="noConversion"/>
  </si>
  <si>
    <t>副總經理</t>
    <phoneticPr fontId="1" type="noConversion"/>
  </si>
  <si>
    <t>合約期間管委會有人力增減調配權、人員核准後不得更換、如屬自願離職不在此限</t>
    <phoneticPr fontId="1" type="noConversion"/>
  </si>
  <si>
    <t>大廳拋光晶化</t>
    <phoneticPr fontId="1" type="noConversion"/>
  </si>
  <si>
    <t>【 遠雄未來家-芬蘭區 】成 本 分 析 試 算 表(202戶)</t>
    <phoneticPr fontId="1" type="noConversion"/>
  </si>
  <si>
    <t>111.09.05</t>
    <phoneticPr fontId="1" type="noConversion"/>
  </si>
  <si>
    <t>1110905              簡弘益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</si>
</sst>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;[Red]\-&quot;$&quot;#,##0"/>
    <numFmt numFmtId="43" formatCode="_-* #,##0.00_-;\-* #,##0.00_-;_-* &quot;-&quot;??_-;_-@_-"/>
    <numFmt numFmtId="176" formatCode="&quot;$&quot;#,##0"/>
    <numFmt numFmtId="177" formatCode="#,##0_);[Red]\(#,##0\)"/>
    <numFmt numFmtId="178" formatCode="&quot;$&quot;#,##0_);[Red]\(&quot;$&quot;#,##0\)"/>
    <numFmt numFmtId="179" formatCode="0_ "/>
    <numFmt numFmtId="180" formatCode="#,##0;[Red]#,##0"/>
    <numFmt numFmtId="181" formatCode="&quot;$&quot;#,##0;[Red]&quot;$&quot;#,##0"/>
    <numFmt numFmtId="182" formatCode="[$-404]e&quot;年&quot;m&quot;月&quot;d&quot;日&quot;;@"/>
    <numFmt numFmtId="183" formatCode="0.0%"/>
  </numFmts>
  <fonts count="56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11"/>
      <name val="標楷體"/>
      <family val="4"/>
      <charset val="136"/>
    </font>
    <font>
      <sz val="14"/>
      <name val="華康儷金黑"/>
      <family val="3"/>
      <charset val="136"/>
    </font>
    <font>
      <sz val="16"/>
      <name val="華康儷金黑"/>
      <family val="3"/>
      <charset val="136"/>
    </font>
    <font>
      <b/>
      <sz val="14"/>
      <name val="標楷體"/>
      <family val="4"/>
      <charset val="136"/>
    </font>
    <font>
      <b/>
      <sz val="16"/>
      <name val="標楷體"/>
      <family val="4"/>
      <charset val="136"/>
    </font>
    <font>
      <sz val="10"/>
      <name val="Arial"/>
      <family val="2"/>
    </font>
    <font>
      <sz val="10"/>
      <name val="細明體"/>
      <family val="3"/>
      <charset val="136"/>
    </font>
    <font>
      <sz val="9"/>
      <name val="細明體"/>
      <family val="3"/>
      <charset val="136"/>
    </font>
    <font>
      <sz val="12"/>
      <name val="Arial"/>
      <family val="2"/>
    </font>
    <font>
      <b/>
      <sz val="12"/>
      <name val="標楷體"/>
      <family val="4"/>
      <charset val="136"/>
    </font>
    <font>
      <sz val="12"/>
      <name val="細明體"/>
      <family val="3"/>
      <charset val="136"/>
    </font>
    <font>
      <b/>
      <sz val="16"/>
      <name val="Times New Roman"/>
      <family val="1"/>
    </font>
    <font>
      <b/>
      <sz val="12"/>
      <name val="Times New Roman"/>
      <family val="1"/>
    </font>
    <font>
      <b/>
      <sz val="20"/>
      <name val="標楷體"/>
      <family val="4"/>
      <charset val="136"/>
    </font>
    <font>
      <sz val="14"/>
      <name val="標楷體"/>
      <family val="4"/>
      <charset val="136"/>
    </font>
    <font>
      <b/>
      <sz val="18"/>
      <name val="標楷體"/>
      <family val="4"/>
      <charset val="136"/>
    </font>
    <font>
      <sz val="18"/>
      <name val="標楷體"/>
      <family val="4"/>
      <charset val="136"/>
    </font>
    <font>
      <sz val="18"/>
      <color indexed="8"/>
      <name val="標楷體"/>
      <family val="4"/>
      <charset val="136"/>
    </font>
    <font>
      <b/>
      <sz val="15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rgb="FF0000FF"/>
      <name val="標楷體"/>
      <family val="4"/>
      <charset val="136"/>
    </font>
    <font>
      <b/>
      <sz val="20"/>
      <color rgb="FF0000FF"/>
      <name val="標楷體"/>
      <family val="4"/>
      <charset val="136"/>
    </font>
    <font>
      <sz val="12"/>
      <name val="新細明體"/>
      <family val="1"/>
      <charset val="136"/>
    </font>
    <font>
      <sz val="20"/>
      <name val="Times New Roman"/>
      <family val="1"/>
      <charset val="136"/>
    </font>
    <font>
      <sz val="20"/>
      <name val="新細明體"/>
      <family val="1"/>
      <charset val="136"/>
    </font>
    <font>
      <sz val="20"/>
      <name val="Times New Roman"/>
      <family val="1"/>
    </font>
    <font>
      <u/>
      <sz val="20"/>
      <name val="標楷體"/>
      <family val="4"/>
      <charset val="136"/>
    </font>
    <font>
      <u/>
      <sz val="20"/>
      <name val="Times New Roman"/>
      <family val="1"/>
    </font>
    <font>
      <u/>
      <sz val="20"/>
      <name val="細明體"/>
      <family val="1"/>
      <charset val="136"/>
    </font>
    <font>
      <sz val="12"/>
      <name val="Times New Roman"/>
      <family val="1"/>
    </font>
    <font>
      <b/>
      <sz val="12"/>
      <color rgb="FFFF0000"/>
      <name val="Times New Roman"/>
      <family val="1"/>
      <charset val="136"/>
    </font>
    <font>
      <b/>
      <sz val="12"/>
      <color rgb="FFFF0000"/>
      <name val="新細明體"/>
      <family val="1"/>
      <charset val="136"/>
    </font>
    <font>
      <b/>
      <sz val="12"/>
      <color rgb="FFFF0000"/>
      <name val="Times New Roman"/>
      <family val="1"/>
    </font>
    <font>
      <b/>
      <sz val="12"/>
      <color rgb="FFFF0000"/>
      <name val="細明體"/>
      <family val="1"/>
      <charset val="136"/>
    </font>
    <font>
      <b/>
      <sz val="12"/>
      <color rgb="FFFF0000"/>
      <name val="細明體"/>
      <family val="3"/>
      <charset val="136"/>
    </font>
    <font>
      <sz val="12"/>
      <color rgb="FFFF0000"/>
      <name val="Times New Roman"/>
      <family val="1"/>
    </font>
    <font>
      <sz val="14"/>
      <name val="Times New Roman"/>
      <family val="1"/>
    </font>
    <font>
      <b/>
      <sz val="14"/>
      <color indexed="10"/>
      <name val="Times New Roman"/>
      <family val="1"/>
    </font>
    <font>
      <b/>
      <sz val="14"/>
      <color indexed="10"/>
      <name val="標楷體"/>
      <family val="4"/>
      <charset val="136"/>
    </font>
    <font>
      <b/>
      <sz val="12"/>
      <color indexed="10"/>
      <name val="細明體"/>
      <family val="3"/>
      <charset val="136"/>
    </font>
    <font>
      <sz val="12"/>
      <name val="細明體"/>
      <family val="1"/>
      <charset val="136"/>
    </font>
    <font>
      <sz val="12"/>
      <color theme="1"/>
      <name val="Times New Roman"/>
      <family val="1"/>
    </font>
    <font>
      <sz val="12"/>
      <name val="Times New Roman"/>
      <family val="1"/>
      <charset val="136"/>
    </font>
    <font>
      <b/>
      <sz val="12"/>
      <color theme="1"/>
      <name val="標楷體"/>
      <family val="4"/>
      <charset val="136"/>
    </font>
    <font>
      <b/>
      <sz val="12"/>
      <color theme="1"/>
      <name val="Times New Roman"/>
      <family val="1"/>
    </font>
    <font>
      <b/>
      <sz val="12"/>
      <color theme="1"/>
      <name val="細明體"/>
      <family val="3"/>
      <charset val="136"/>
    </font>
    <font>
      <sz val="11"/>
      <name val="Times New Roman"/>
      <family val="1"/>
    </font>
    <font>
      <b/>
      <sz val="14"/>
      <name val="Times New Roman"/>
      <family val="1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10"/>
        <bgColor indexed="64"/>
      </patternFill>
    </fill>
  </fills>
  <borders count="9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Dashed">
        <color indexed="64"/>
      </top>
      <bottom/>
      <diagonal/>
    </border>
    <border>
      <left style="thin">
        <color indexed="64"/>
      </left>
      <right style="thin">
        <color indexed="64"/>
      </right>
      <top style="mediumDash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Dash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9" fillId="0" borderId="0"/>
    <xf numFmtId="43" fontId="28" fillId="0" borderId="0" applyFont="0" applyFill="0" applyBorder="0" applyAlignment="0" applyProtection="0">
      <alignment vertical="center"/>
    </xf>
  </cellStyleXfs>
  <cellXfs count="413">
    <xf numFmtId="0" fontId="0" fillId="0" borderId="0" xfId="0">
      <alignment vertical="center"/>
    </xf>
    <xf numFmtId="0" fontId="9" fillId="0" borderId="0" xfId="1" applyAlignment="1">
      <alignment wrapText="1"/>
    </xf>
    <xf numFmtId="0" fontId="9" fillId="0" borderId="0" xfId="1"/>
    <xf numFmtId="0" fontId="10" fillId="0" borderId="0" xfId="1" applyFont="1" applyAlignment="1">
      <alignment wrapText="1"/>
    </xf>
    <xf numFmtId="0" fontId="12" fillId="0" borderId="0" xfId="1" applyFont="1" applyAlignment="1">
      <alignment horizontal="center"/>
    </xf>
    <xf numFmtId="0" fontId="9" fillId="0" borderId="0" xfId="1" applyAlignment="1">
      <alignment horizontal="center"/>
    </xf>
    <xf numFmtId="6" fontId="2" fillId="2" borderId="1" xfId="0" applyNumberFormat="1" applyFont="1" applyFill="1" applyBorder="1" applyAlignment="1" applyProtection="1">
      <alignment horizontal="right" vertical="center"/>
      <protection hidden="1"/>
    </xf>
    <xf numFmtId="6" fontId="2" fillId="3" borderId="2" xfId="0" applyNumberFormat="1" applyFont="1" applyFill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3" fillId="2" borderId="2" xfId="0" applyFont="1" applyFill="1" applyBorder="1" applyAlignment="1" applyProtection="1">
      <alignment horizontal="center" vertical="center"/>
      <protection hidden="1"/>
    </xf>
    <xf numFmtId="0" fontId="3" fillId="2" borderId="2" xfId="0" applyFont="1" applyFill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6" fontId="2" fillId="3" borderId="1" xfId="0" applyNumberFormat="1" applyFont="1" applyFill="1" applyBorder="1" applyAlignment="1" applyProtection="1">
      <alignment horizontal="right" vertical="center"/>
      <protection hidden="1"/>
    </xf>
    <xf numFmtId="180" fontId="2" fillId="0" borderId="1" xfId="0" applyNumberFormat="1" applyFont="1" applyBorder="1" applyAlignment="1" applyProtection="1">
      <alignment horizontal="center" vertical="center"/>
      <protection hidden="1"/>
    </xf>
    <xf numFmtId="181" fontId="2" fillId="2" borderId="2" xfId="0" applyNumberFormat="1" applyFont="1" applyFill="1" applyBorder="1" applyAlignment="1" applyProtection="1">
      <alignment horizontal="center" vertical="center"/>
      <protection hidden="1"/>
    </xf>
    <xf numFmtId="6" fontId="2" fillId="2" borderId="2" xfId="0" applyNumberFormat="1" applyFont="1" applyFill="1" applyBorder="1" applyAlignment="1" applyProtection="1">
      <alignment horizontal="right" vertical="center"/>
      <protection hidden="1"/>
    </xf>
    <xf numFmtId="6" fontId="2" fillId="4" borderId="2" xfId="0" applyNumberFormat="1" applyFont="1" applyFill="1" applyBorder="1" applyAlignment="1" applyProtection="1">
      <alignment horizontal="center" vertical="center" wrapText="1"/>
      <protection hidden="1"/>
    </xf>
    <xf numFmtId="6" fontId="2" fillId="5" borderId="2" xfId="0" applyNumberFormat="1" applyFont="1" applyFill="1" applyBorder="1" applyAlignment="1" applyProtection="1">
      <alignment horizontal="center" vertical="center" wrapText="1"/>
      <protection hidden="1"/>
    </xf>
    <xf numFmtId="6" fontId="2" fillId="6" borderId="1" xfId="0" applyNumberFormat="1" applyFont="1" applyFill="1" applyBorder="1" applyAlignment="1" applyProtection="1">
      <alignment horizontal="center" vertical="center" wrapText="1"/>
      <protection hidden="1"/>
    </xf>
    <xf numFmtId="6" fontId="13" fillId="5" borderId="1" xfId="0" applyNumberFormat="1" applyFont="1" applyFill="1" applyBorder="1" applyAlignment="1" applyProtection="1">
      <alignment horizontal="center" vertical="center" wrapText="1"/>
      <protection hidden="1"/>
    </xf>
    <xf numFmtId="6" fontId="2" fillId="6" borderId="4" xfId="0" applyNumberFormat="1" applyFont="1" applyFill="1" applyBorder="1" applyAlignment="1" applyProtection="1">
      <alignment horizontal="center" vertical="center" wrapText="1"/>
      <protection hidden="1"/>
    </xf>
    <xf numFmtId="6" fontId="2" fillId="6" borderId="5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178" fontId="13" fillId="0" borderId="6" xfId="0" applyNumberFormat="1" applyFont="1" applyBorder="1" applyAlignment="1" applyProtection="1">
      <alignment horizontal="left" vertical="center"/>
      <protection hidden="1"/>
    </xf>
    <xf numFmtId="0" fontId="13" fillId="0" borderId="6" xfId="0" applyFont="1" applyBorder="1" applyAlignment="1" applyProtection="1">
      <alignment horizontal="center" vertical="center"/>
      <protection hidden="1"/>
    </xf>
    <xf numFmtId="6" fontId="13" fillId="0" borderId="6" xfId="0" applyNumberFormat="1" applyFont="1" applyBorder="1" applyAlignment="1" applyProtection="1">
      <alignment horizontal="left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0" fontId="2" fillId="0" borderId="1" xfId="0" applyFont="1" applyBorder="1" applyProtection="1">
      <alignment vertical="center"/>
      <protection hidden="1"/>
    </xf>
    <xf numFmtId="0" fontId="23" fillId="0" borderId="2" xfId="0" applyFont="1" applyBorder="1" applyProtection="1">
      <alignment vertical="center"/>
      <protection hidden="1"/>
    </xf>
    <xf numFmtId="179" fontId="23" fillId="0" borderId="1" xfId="0" applyNumberFormat="1" applyFont="1" applyBorder="1" applyAlignment="1" applyProtection="1">
      <alignment horizontal="center" vertical="center"/>
      <protection hidden="1"/>
    </xf>
    <xf numFmtId="0" fontId="2" fillId="0" borderId="2" xfId="0" applyFont="1" applyBorder="1" applyProtection="1">
      <alignment vertical="center"/>
      <protection hidden="1"/>
    </xf>
    <xf numFmtId="179" fontId="24" fillId="7" borderId="8" xfId="0" applyNumberFormat="1" applyFont="1" applyFill="1" applyBorder="1" applyAlignment="1" applyProtection="1">
      <alignment horizontal="center" vertical="center"/>
      <protection hidden="1"/>
    </xf>
    <xf numFmtId="0" fontId="12" fillId="0" borderId="0" xfId="1" applyFont="1" applyAlignment="1">
      <alignment horizontal="center" wrapText="1"/>
    </xf>
    <xf numFmtId="0" fontId="12" fillId="5" borderId="0" xfId="1" applyFont="1" applyFill="1" applyAlignment="1">
      <alignment horizontal="center"/>
    </xf>
    <xf numFmtId="0" fontId="12" fillId="0" borderId="9" xfId="1" applyFont="1" applyBorder="1" applyAlignment="1">
      <alignment horizontal="center" vertical="center" wrapText="1"/>
    </xf>
    <xf numFmtId="0" fontId="14" fillId="0" borderId="9" xfId="1" applyFont="1" applyBorder="1" applyAlignment="1">
      <alignment horizontal="center" vertical="center" wrapText="1"/>
    </xf>
    <xf numFmtId="0" fontId="14" fillId="0" borderId="9" xfId="1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top" wrapText="1"/>
    </xf>
    <xf numFmtId="177" fontId="23" fillId="3" borderId="9" xfId="0" applyNumberFormat="1" applyFont="1" applyFill="1" applyBorder="1" applyAlignment="1">
      <alignment horizontal="right" vertical="top" wrapText="1"/>
    </xf>
    <xf numFmtId="0" fontId="23" fillId="0" borderId="9" xfId="0" applyFont="1" applyBorder="1" applyAlignment="1">
      <alignment horizontal="center" vertical="top" wrapText="1"/>
    </xf>
    <xf numFmtId="0" fontId="14" fillId="0" borderId="10" xfId="1" applyFont="1" applyBorder="1" applyAlignment="1">
      <alignment horizontal="center"/>
    </xf>
    <xf numFmtId="0" fontId="12" fillId="5" borderId="11" xfId="1" applyFont="1" applyFill="1" applyBorder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2" fillId="0" borderId="37" xfId="0" applyFont="1" applyBorder="1" applyAlignment="1">
      <alignment horizontal="right" vertical="center"/>
    </xf>
    <xf numFmtId="0" fontId="15" fillId="0" borderId="36" xfId="0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left" vertical="center" wrapText="1"/>
    </xf>
    <xf numFmtId="0" fontId="2" fillId="0" borderId="39" xfId="0" applyFont="1" applyBorder="1" applyAlignment="1">
      <alignment horizontal="center" vertical="center" wrapText="1"/>
    </xf>
    <xf numFmtId="182" fontId="2" fillId="0" borderId="40" xfId="0" applyNumberFormat="1" applyFont="1" applyBorder="1" applyAlignment="1">
      <alignment horizontal="left" vertical="center" wrapText="1"/>
    </xf>
    <xf numFmtId="0" fontId="18" fillId="0" borderId="0" xfId="0" applyFont="1" applyAlignment="1">
      <alignment horizontal="right" vertical="center"/>
    </xf>
    <xf numFmtId="0" fontId="18" fillId="0" borderId="0" xfId="0" applyFont="1">
      <alignment vertical="center"/>
    </xf>
    <xf numFmtId="0" fontId="18" fillId="0" borderId="0" xfId="0" applyFont="1" applyAlignment="1"/>
    <xf numFmtId="0" fontId="19" fillId="0" borderId="1" xfId="0" applyFont="1" applyBorder="1" applyAlignment="1">
      <alignment horizontal="center" vertical="center"/>
    </xf>
    <xf numFmtId="0" fontId="0" fillId="0" borderId="0" xfId="0" applyAlignment="1"/>
    <xf numFmtId="0" fontId="20" fillId="0" borderId="2" xfId="0" applyFont="1" applyBorder="1" applyAlignment="1">
      <alignment horizontal="center" vertical="center"/>
    </xf>
    <xf numFmtId="3" fontId="21" fillId="0" borderId="2" xfId="0" applyNumberFormat="1" applyFont="1" applyBorder="1" applyAlignment="1">
      <alignment horizontal="right" vertical="center"/>
    </xf>
    <xf numFmtId="0" fontId="20" fillId="0" borderId="1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3" fontId="20" fillId="0" borderId="2" xfId="0" applyNumberFormat="1" applyFont="1" applyBorder="1" applyAlignment="1">
      <alignment horizontal="right" vertical="center"/>
    </xf>
    <xf numFmtId="3" fontId="20" fillId="0" borderId="48" xfId="0" applyNumberFormat="1" applyFont="1" applyBorder="1" applyAlignment="1">
      <alignment horizontal="right" vertical="center"/>
    </xf>
    <xf numFmtId="0" fontId="2" fillId="0" borderId="0" xfId="0" applyFont="1" applyAlignment="1" applyProtection="1">
      <alignment horizontal="left" vertical="center"/>
      <protection hidden="1"/>
    </xf>
    <xf numFmtId="183" fontId="31" fillId="0" borderId="0" xfId="0" applyNumberFormat="1" applyFont="1">
      <alignment vertical="center"/>
    </xf>
    <xf numFmtId="0" fontId="35" fillId="0" borderId="0" xfId="0" applyFont="1">
      <alignment vertical="center"/>
    </xf>
    <xf numFmtId="0" fontId="35" fillId="0" borderId="0" xfId="0" applyFont="1" applyAlignment="1">
      <alignment horizontal="right" vertical="center"/>
    </xf>
    <xf numFmtId="183" fontId="35" fillId="0" borderId="0" xfId="0" applyNumberFormat="1" applyFont="1" applyAlignment="1">
      <alignment horizontal="right" vertical="center"/>
    </xf>
    <xf numFmtId="183" fontId="35" fillId="0" borderId="0" xfId="0" applyNumberFormat="1" applyFont="1">
      <alignment vertical="center"/>
    </xf>
    <xf numFmtId="0" fontId="2" fillId="0" borderId="57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35" fillId="0" borderId="60" xfId="0" applyFont="1" applyBorder="1" applyAlignment="1">
      <alignment horizontal="center" vertical="center"/>
    </xf>
    <xf numFmtId="0" fontId="2" fillId="8" borderId="1" xfId="0" applyFont="1" applyFill="1" applyBorder="1" applyAlignment="1">
      <alignment vertical="center" wrapText="1"/>
    </xf>
    <xf numFmtId="178" fontId="35" fillId="8" borderId="1" xfId="0" applyNumberFormat="1" applyFont="1" applyFill="1" applyBorder="1" applyAlignment="1">
      <alignment horizontal="right" vertical="center"/>
    </xf>
    <xf numFmtId="178" fontId="36" fillId="5" borderId="1" xfId="0" applyNumberFormat="1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178" fontId="35" fillId="0" borderId="1" xfId="0" applyNumberFormat="1" applyFont="1" applyBorder="1" applyAlignment="1">
      <alignment horizontal="right" vertical="center"/>
    </xf>
    <xf numFmtId="0" fontId="40" fillId="5" borderId="1" xfId="0" applyFont="1" applyFill="1" applyBorder="1">
      <alignment vertical="center"/>
    </xf>
    <xf numFmtId="178" fontId="36" fillId="0" borderId="1" xfId="0" applyNumberFormat="1" applyFont="1" applyBorder="1" applyAlignment="1">
      <alignment horizontal="center" vertical="center"/>
    </xf>
    <xf numFmtId="178" fontId="38" fillId="0" borderId="1" xfId="0" applyNumberFormat="1" applyFont="1" applyBorder="1" applyAlignment="1">
      <alignment horizontal="center" vertical="center"/>
    </xf>
    <xf numFmtId="178" fontId="41" fillId="0" borderId="1" xfId="0" applyNumberFormat="1" applyFont="1" applyBorder="1" applyAlignment="1">
      <alignment horizontal="center" vertical="center"/>
    </xf>
    <xf numFmtId="176" fontId="35" fillId="8" borderId="1" xfId="0" applyNumberFormat="1" applyFont="1" applyFill="1" applyBorder="1" applyAlignment="1">
      <alignment horizontal="left" vertical="center"/>
    </xf>
    <xf numFmtId="178" fontId="14" fillId="8" borderId="1" xfId="0" applyNumberFormat="1" applyFont="1" applyFill="1" applyBorder="1" applyAlignment="1">
      <alignment horizontal="right" vertical="center"/>
    </xf>
    <xf numFmtId="178" fontId="2" fillId="0" borderId="2" xfId="0" applyNumberFormat="1" applyFont="1" applyBorder="1" applyAlignment="1">
      <alignment horizontal="right" vertical="center"/>
    </xf>
    <xf numFmtId="183" fontId="35" fillId="0" borderId="14" xfId="0" applyNumberFormat="1" applyFont="1" applyBorder="1" applyAlignment="1">
      <alignment horizontal="left" vertical="center"/>
    </xf>
    <xf numFmtId="0" fontId="35" fillId="5" borderId="60" xfId="0" applyFont="1" applyFill="1" applyBorder="1" applyAlignment="1">
      <alignment horizontal="center" vertical="center"/>
    </xf>
    <xf numFmtId="0" fontId="14" fillId="5" borderId="32" xfId="0" applyFont="1" applyFill="1" applyBorder="1">
      <alignment vertical="center"/>
    </xf>
    <xf numFmtId="178" fontId="35" fillId="5" borderId="32" xfId="0" applyNumberFormat="1" applyFont="1" applyFill="1" applyBorder="1" applyAlignment="1">
      <alignment horizontal="right" vertical="center"/>
    </xf>
    <xf numFmtId="0" fontId="35" fillId="5" borderId="32" xfId="0" applyFont="1" applyFill="1" applyBorder="1" applyAlignment="1">
      <alignment horizontal="center" vertical="center"/>
    </xf>
    <xf numFmtId="178" fontId="35" fillId="5" borderId="1" xfId="0" applyNumberFormat="1" applyFont="1" applyFill="1" applyBorder="1" applyAlignment="1">
      <alignment horizontal="right" vertical="center"/>
    </xf>
    <xf numFmtId="0" fontId="35" fillId="8" borderId="65" xfId="0" applyFont="1" applyFill="1" applyBorder="1" applyAlignment="1">
      <alignment horizontal="center" vertical="center"/>
    </xf>
    <xf numFmtId="0" fontId="35" fillId="8" borderId="67" xfId="0" applyFont="1" applyFill="1" applyBorder="1">
      <alignment vertical="center"/>
    </xf>
    <xf numFmtId="178" fontId="35" fillId="8" borderId="67" xfId="2" applyNumberFormat="1" applyFont="1" applyFill="1" applyBorder="1" applyAlignment="1">
      <alignment vertical="center"/>
    </xf>
    <xf numFmtId="0" fontId="35" fillId="8" borderId="67" xfId="0" applyFont="1" applyFill="1" applyBorder="1" applyAlignment="1">
      <alignment horizontal="center" vertical="center"/>
    </xf>
    <xf numFmtId="178" fontId="16" fillId="8" borderId="67" xfId="0" applyNumberFormat="1" applyFont="1" applyFill="1" applyBorder="1" applyAlignment="1">
      <alignment horizontal="right" vertical="center"/>
    </xf>
    <xf numFmtId="178" fontId="16" fillId="8" borderId="68" xfId="0" applyNumberFormat="1" applyFont="1" applyFill="1" applyBorder="1" applyAlignment="1">
      <alignment horizontal="right" vertical="center"/>
    </xf>
    <xf numFmtId="183" fontId="35" fillId="8" borderId="69" xfId="0" applyNumberFormat="1" applyFont="1" applyFill="1" applyBorder="1">
      <alignment vertical="center"/>
    </xf>
    <xf numFmtId="183" fontId="35" fillId="8" borderId="0" xfId="0" applyNumberFormat="1" applyFont="1" applyFill="1">
      <alignment vertical="center"/>
    </xf>
    <xf numFmtId="0" fontId="35" fillId="8" borderId="0" xfId="0" applyFont="1" applyFill="1">
      <alignment vertical="center"/>
    </xf>
    <xf numFmtId="176" fontId="2" fillId="0" borderId="6" xfId="0" applyNumberFormat="1" applyFont="1" applyBorder="1" applyAlignment="1">
      <alignment horizontal="center" vertical="center"/>
    </xf>
    <xf numFmtId="176" fontId="35" fillId="8" borderId="6" xfId="0" applyNumberFormat="1" applyFont="1" applyFill="1" applyBorder="1" applyAlignment="1">
      <alignment horizontal="center" vertical="center"/>
    </xf>
    <xf numFmtId="176" fontId="35" fillId="8" borderId="6" xfId="0" applyNumberFormat="1" applyFont="1" applyFill="1" applyBorder="1" applyAlignment="1">
      <alignment horizontal="right" vertical="center"/>
    </xf>
    <xf numFmtId="176" fontId="35" fillId="0" borderId="6" xfId="0" applyNumberFormat="1" applyFont="1" applyBorder="1" applyAlignment="1">
      <alignment horizontal="right" vertical="center"/>
    </xf>
    <xf numFmtId="176" fontId="35" fillId="0" borderId="6" xfId="0" applyNumberFormat="1" applyFont="1" applyBorder="1" applyAlignment="1">
      <alignment horizontal="center" vertical="center"/>
    </xf>
    <xf numFmtId="176" fontId="45" fillId="0" borderId="28" xfId="0" applyNumberFormat="1" applyFont="1" applyBorder="1" applyAlignment="1">
      <alignment horizontal="center" vertical="center"/>
    </xf>
    <xf numFmtId="176" fontId="2" fillId="0" borderId="32" xfId="0" applyNumberFormat="1" applyFont="1" applyBorder="1" applyAlignment="1">
      <alignment horizontal="center" vertical="center"/>
    </xf>
    <xf numFmtId="176" fontId="2" fillId="8" borderId="32" xfId="0" applyNumberFormat="1" applyFont="1" applyFill="1" applyBorder="1" applyAlignment="1">
      <alignment horizontal="center" vertical="center"/>
    </xf>
    <xf numFmtId="176" fontId="2" fillId="0" borderId="25" xfId="0" applyNumberFormat="1" applyFont="1" applyBorder="1" applyAlignment="1">
      <alignment horizontal="center" vertical="center"/>
    </xf>
    <xf numFmtId="176" fontId="2" fillId="0" borderId="33" xfId="0" applyNumberFormat="1" applyFont="1" applyBorder="1" applyAlignment="1">
      <alignment horizontal="center" vertical="center"/>
    </xf>
    <xf numFmtId="0" fontId="14" fillId="0" borderId="0" xfId="0" applyFont="1">
      <alignment vertical="center"/>
    </xf>
    <xf numFmtId="3" fontId="35" fillId="0" borderId="9" xfId="0" applyNumberFormat="1" applyFont="1" applyBorder="1" applyAlignment="1">
      <alignment horizontal="center" vertical="center"/>
    </xf>
    <xf numFmtId="176" fontId="25" fillId="5" borderId="6" xfId="0" applyNumberFormat="1" applyFont="1" applyFill="1" applyBorder="1">
      <alignment vertical="center"/>
    </xf>
    <xf numFmtId="176" fontId="25" fillId="5" borderId="6" xfId="0" applyNumberFormat="1" applyFont="1" applyFill="1" applyBorder="1" applyAlignment="1">
      <alignment horizontal="left" vertical="center" wrapText="1"/>
    </xf>
    <xf numFmtId="176" fontId="41" fillId="5" borderId="6" xfId="0" applyNumberFormat="1" applyFont="1" applyFill="1" applyBorder="1" applyAlignment="1">
      <alignment horizontal="right" vertical="center"/>
    </xf>
    <xf numFmtId="176" fontId="25" fillId="5" borderId="6" xfId="0" applyNumberFormat="1" applyFont="1" applyFill="1" applyBorder="1" applyAlignment="1">
      <alignment horizontal="center" vertical="center" wrapText="1"/>
    </xf>
    <xf numFmtId="3" fontId="41" fillId="5" borderId="6" xfId="0" applyNumberFormat="1" applyFont="1" applyFill="1" applyBorder="1" applyAlignment="1">
      <alignment horizontal="center" vertical="center"/>
    </xf>
    <xf numFmtId="10" fontId="41" fillId="5" borderId="28" xfId="0" applyNumberFormat="1" applyFont="1" applyFill="1" applyBorder="1" applyAlignment="1" applyProtection="1">
      <alignment horizontal="center" vertical="center" wrapText="1"/>
      <protection hidden="1"/>
    </xf>
    <xf numFmtId="183" fontId="35" fillId="0" borderId="0" xfId="0" applyNumberFormat="1" applyFont="1" applyAlignment="1" applyProtection="1">
      <alignment horizontal="left" vertical="center" wrapText="1"/>
      <protection hidden="1"/>
    </xf>
    <xf numFmtId="176" fontId="2" fillId="0" borderId="1" xfId="0" applyNumberFormat="1" applyFont="1" applyBorder="1">
      <alignment vertical="center"/>
    </xf>
    <xf numFmtId="176" fontId="2" fillId="8" borderId="1" xfId="0" applyNumberFormat="1" applyFont="1" applyFill="1" applyBorder="1">
      <alignment vertical="center"/>
    </xf>
    <xf numFmtId="176" fontId="35" fillId="0" borderId="1" xfId="0" applyNumberFormat="1" applyFont="1" applyBorder="1" applyAlignment="1">
      <alignment horizontal="right" vertical="center"/>
    </xf>
    <xf numFmtId="3" fontId="35" fillId="0" borderId="1" xfId="0" applyNumberFormat="1" applyFont="1" applyBorder="1" applyAlignment="1">
      <alignment horizontal="center" vertical="center"/>
    </xf>
    <xf numFmtId="176" fontId="35" fillId="8" borderId="1" xfId="0" applyNumberFormat="1" applyFont="1" applyFill="1" applyBorder="1" applyAlignment="1">
      <alignment horizontal="right" vertical="center"/>
    </xf>
    <xf numFmtId="10" fontId="35" fillId="0" borderId="12" xfId="0" applyNumberFormat="1" applyFont="1" applyBorder="1" applyAlignment="1" applyProtection="1">
      <alignment horizontal="center" vertical="center" wrapText="1"/>
      <protection hidden="1"/>
    </xf>
    <xf numFmtId="176" fontId="35" fillId="0" borderId="1" xfId="0" applyNumberFormat="1" applyFont="1" applyBorder="1">
      <alignment vertical="center"/>
    </xf>
    <xf numFmtId="183" fontId="35" fillId="0" borderId="0" xfId="0" applyNumberFormat="1" applyFont="1" applyAlignment="1" applyProtection="1">
      <alignment vertical="center" wrapText="1"/>
      <protection hidden="1"/>
    </xf>
    <xf numFmtId="176" fontId="2" fillId="0" borderId="32" xfId="0" applyNumberFormat="1" applyFont="1" applyBorder="1">
      <alignment vertical="center"/>
    </xf>
    <xf numFmtId="176" fontId="46" fillId="0" borderId="32" xfId="0" applyNumberFormat="1" applyFont="1" applyBorder="1" applyAlignment="1">
      <alignment vertical="center" wrapText="1"/>
    </xf>
    <xf numFmtId="176" fontId="35" fillId="0" borderId="32" xfId="0" applyNumberFormat="1" applyFont="1" applyBorder="1" applyAlignment="1">
      <alignment horizontal="right" vertical="center"/>
    </xf>
    <xf numFmtId="176" fontId="35" fillId="0" borderId="75" xfId="0" applyNumberFormat="1" applyFont="1" applyBorder="1">
      <alignment vertical="center"/>
    </xf>
    <xf numFmtId="176" fontId="35" fillId="0" borderId="75" xfId="0" applyNumberFormat="1" applyFont="1" applyBorder="1" applyAlignment="1">
      <alignment horizontal="right" vertical="center"/>
    </xf>
    <xf numFmtId="3" fontId="35" fillId="0" borderId="75" xfId="0" applyNumberFormat="1" applyFont="1" applyBorder="1" applyAlignment="1">
      <alignment horizontal="center" vertical="center"/>
    </xf>
    <xf numFmtId="10" fontId="35" fillId="0" borderId="76" xfId="0" applyNumberFormat="1" applyFont="1" applyBorder="1" applyAlignment="1" applyProtection="1">
      <alignment horizontal="center" vertical="center" wrapText="1"/>
      <protection hidden="1"/>
    </xf>
    <xf numFmtId="176" fontId="2" fillId="0" borderId="77" xfId="0" applyNumberFormat="1" applyFont="1" applyBorder="1">
      <alignment vertical="center"/>
    </xf>
    <xf numFmtId="176" fontId="35" fillId="0" borderId="77" xfId="0" applyNumberFormat="1" applyFont="1" applyBorder="1">
      <alignment vertical="center"/>
    </xf>
    <xf numFmtId="176" fontId="46" fillId="0" borderId="77" xfId="0" applyNumberFormat="1" applyFont="1" applyBorder="1" applyAlignment="1">
      <alignment horizontal="left" vertical="center"/>
    </xf>
    <xf numFmtId="3" fontId="35" fillId="0" borderId="77" xfId="0" applyNumberFormat="1" applyFont="1" applyBorder="1" applyAlignment="1">
      <alignment horizontal="center" vertical="center"/>
    </xf>
    <xf numFmtId="176" fontId="35" fillId="0" borderId="77" xfId="0" applyNumberFormat="1" applyFont="1" applyBorder="1" applyAlignment="1">
      <alignment horizontal="right" vertical="center"/>
    </xf>
    <xf numFmtId="10" fontId="35" fillId="0" borderId="78" xfId="0" applyNumberFormat="1" applyFont="1" applyBorder="1" applyAlignment="1" applyProtection="1">
      <alignment horizontal="center" vertical="center" wrapText="1"/>
      <protection hidden="1"/>
    </xf>
    <xf numFmtId="176" fontId="25" fillId="5" borderId="32" xfId="0" applyNumberFormat="1" applyFont="1" applyFill="1" applyBorder="1">
      <alignment vertical="center"/>
    </xf>
    <xf numFmtId="176" fontId="38" fillId="5" borderId="32" xfId="0" applyNumberFormat="1" applyFont="1" applyFill="1" applyBorder="1">
      <alignment vertical="center"/>
    </xf>
    <xf numFmtId="176" fontId="38" fillId="5" borderId="32" xfId="0" applyNumberFormat="1" applyFont="1" applyFill="1" applyBorder="1" applyAlignment="1">
      <alignment horizontal="right" vertical="center"/>
    </xf>
    <xf numFmtId="176" fontId="36" fillId="5" borderId="32" xfId="0" applyNumberFormat="1" applyFont="1" applyFill="1" applyBorder="1" applyAlignment="1">
      <alignment horizontal="left" vertical="center"/>
    </xf>
    <xf numFmtId="3" fontId="38" fillId="5" borderId="32" xfId="0" applyNumberFormat="1" applyFont="1" applyFill="1" applyBorder="1" applyAlignment="1">
      <alignment horizontal="center" vertical="center"/>
    </xf>
    <xf numFmtId="10" fontId="38" fillId="5" borderId="33" xfId="0" applyNumberFormat="1" applyFont="1" applyFill="1" applyBorder="1" applyAlignment="1" applyProtection="1">
      <alignment horizontal="center" vertical="center" wrapText="1"/>
      <protection hidden="1"/>
    </xf>
    <xf numFmtId="176" fontId="2" fillId="0" borderId="80" xfId="0" applyNumberFormat="1" applyFont="1" applyBorder="1">
      <alignment vertical="center"/>
    </xf>
    <xf numFmtId="176" fontId="14" fillId="0" borderId="80" xfId="0" applyNumberFormat="1" applyFont="1" applyBorder="1">
      <alignment vertical="center"/>
    </xf>
    <xf numFmtId="176" fontId="35" fillId="0" borderId="80" xfId="0" applyNumberFormat="1" applyFont="1" applyBorder="1" applyAlignment="1">
      <alignment horizontal="right" vertical="center"/>
    </xf>
    <xf numFmtId="3" fontId="35" fillId="0" borderId="80" xfId="0" applyNumberFormat="1" applyFont="1" applyBorder="1" applyAlignment="1">
      <alignment horizontal="center" vertical="center"/>
    </xf>
    <xf numFmtId="10" fontId="35" fillId="0" borderId="81" xfId="0" applyNumberFormat="1" applyFont="1" applyBorder="1" applyAlignment="1" applyProtection="1">
      <alignment horizontal="center" vertical="center" wrapText="1"/>
      <protection hidden="1"/>
    </xf>
    <xf numFmtId="176" fontId="14" fillId="0" borderId="77" xfId="0" applyNumberFormat="1" applyFont="1" applyBorder="1">
      <alignment vertical="center"/>
    </xf>
    <xf numFmtId="176" fontId="23" fillId="0" borderId="32" xfId="0" applyNumberFormat="1" applyFont="1" applyBorder="1">
      <alignment vertical="center"/>
    </xf>
    <xf numFmtId="176" fontId="47" fillId="0" borderId="32" xfId="0" applyNumberFormat="1" applyFont="1" applyBorder="1" applyAlignment="1">
      <alignment horizontal="right" vertical="center"/>
    </xf>
    <xf numFmtId="3" fontId="47" fillId="0" borderId="32" xfId="0" applyNumberFormat="1" applyFont="1" applyBorder="1" applyAlignment="1">
      <alignment horizontal="center" vertical="center"/>
    </xf>
    <xf numFmtId="10" fontId="47" fillId="0" borderId="12" xfId="0" applyNumberFormat="1" applyFont="1" applyBorder="1" applyAlignment="1" applyProtection="1">
      <alignment horizontal="center" vertical="center" wrapText="1"/>
      <protection hidden="1"/>
    </xf>
    <xf numFmtId="176" fontId="2" fillId="0" borderId="75" xfId="0" applyNumberFormat="1" applyFont="1" applyBorder="1">
      <alignment vertical="center"/>
    </xf>
    <xf numFmtId="176" fontId="2" fillId="8" borderId="75" xfId="0" applyNumberFormat="1" applyFont="1" applyFill="1" applyBorder="1">
      <alignment vertical="center"/>
    </xf>
    <xf numFmtId="176" fontId="48" fillId="0" borderId="75" xfId="0" applyNumberFormat="1" applyFont="1" applyBorder="1" applyAlignment="1">
      <alignment horizontal="left" vertical="center"/>
    </xf>
    <xf numFmtId="176" fontId="35" fillId="8" borderId="75" xfId="0" applyNumberFormat="1" applyFont="1" applyFill="1" applyBorder="1" applyAlignment="1">
      <alignment horizontal="right" vertical="center"/>
    </xf>
    <xf numFmtId="183" fontId="35" fillId="0" borderId="0" xfId="0" applyNumberFormat="1" applyFont="1" applyAlignment="1" applyProtection="1">
      <alignment horizontal="left" vertical="center"/>
      <protection hidden="1"/>
    </xf>
    <xf numFmtId="176" fontId="14" fillId="0" borderId="77" xfId="0" applyNumberFormat="1" applyFont="1" applyBorder="1" applyAlignment="1">
      <alignment horizontal="right" vertical="center"/>
    </xf>
    <xf numFmtId="183" fontId="35" fillId="0" borderId="0" xfId="0" applyNumberFormat="1" applyFont="1" applyProtection="1">
      <alignment vertical="center"/>
      <protection hidden="1"/>
    </xf>
    <xf numFmtId="176" fontId="25" fillId="5" borderId="1" xfId="0" applyNumberFormat="1" applyFont="1" applyFill="1" applyBorder="1">
      <alignment vertical="center"/>
    </xf>
    <xf numFmtId="176" fontId="38" fillId="5" borderId="1" xfId="0" applyNumberFormat="1" applyFont="1" applyFill="1" applyBorder="1" applyAlignment="1">
      <alignment horizontal="right" vertical="center"/>
    </xf>
    <xf numFmtId="176" fontId="25" fillId="5" borderId="77" xfId="0" applyNumberFormat="1" applyFont="1" applyFill="1" applyBorder="1" applyAlignment="1">
      <alignment horizontal="left" vertical="center"/>
    </xf>
    <xf numFmtId="3" fontId="38" fillId="5" borderId="1" xfId="0" applyNumberFormat="1" applyFont="1" applyFill="1" applyBorder="1" applyAlignment="1">
      <alignment horizontal="center" vertical="center"/>
    </xf>
    <xf numFmtId="10" fontId="38" fillId="5" borderId="12" xfId="0" applyNumberFormat="1" applyFont="1" applyFill="1" applyBorder="1" applyAlignment="1" applyProtection="1">
      <alignment horizontal="center" vertical="center" wrapText="1"/>
      <protection hidden="1"/>
    </xf>
    <xf numFmtId="176" fontId="38" fillId="5" borderId="1" xfId="0" applyNumberFormat="1" applyFont="1" applyFill="1" applyBorder="1">
      <alignment vertical="center"/>
    </xf>
    <xf numFmtId="176" fontId="36" fillId="5" borderId="1" xfId="0" applyNumberFormat="1" applyFont="1" applyFill="1" applyBorder="1" applyAlignment="1">
      <alignment horizontal="left" vertical="center"/>
    </xf>
    <xf numFmtId="176" fontId="46" fillId="0" borderId="1" xfId="0" applyNumberFormat="1" applyFont="1" applyBorder="1" applyAlignment="1">
      <alignment horizontal="left" vertical="center"/>
    </xf>
    <xf numFmtId="176" fontId="25" fillId="5" borderId="2" xfId="0" applyNumberFormat="1" applyFont="1" applyFill="1" applyBorder="1">
      <alignment vertical="center"/>
    </xf>
    <xf numFmtId="176" fontId="40" fillId="5" borderId="1" xfId="0" applyNumberFormat="1" applyFont="1" applyFill="1" applyBorder="1" applyAlignment="1">
      <alignment horizontal="left" vertical="center"/>
    </xf>
    <xf numFmtId="176" fontId="49" fillId="0" borderId="1" xfId="0" applyNumberFormat="1" applyFont="1" applyBorder="1">
      <alignment vertical="center"/>
    </xf>
    <xf numFmtId="176" fontId="50" fillId="0" borderId="1" xfId="0" applyNumberFormat="1" applyFont="1" applyBorder="1" applyAlignment="1">
      <alignment horizontal="right" vertical="center"/>
    </xf>
    <xf numFmtId="176" fontId="51" fillId="0" borderId="1" xfId="0" applyNumberFormat="1" applyFont="1" applyBorder="1" applyAlignment="1">
      <alignment horizontal="left" vertical="center" wrapText="1"/>
    </xf>
    <xf numFmtId="3" fontId="50" fillId="0" borderId="1" xfId="0" applyNumberFormat="1" applyFont="1" applyBorder="1" applyAlignment="1">
      <alignment horizontal="center" vertical="center"/>
    </xf>
    <xf numFmtId="10" fontId="50" fillId="0" borderId="12" xfId="0" applyNumberFormat="1" applyFont="1" applyBorder="1" applyAlignment="1" applyProtection="1">
      <alignment horizontal="center" vertical="center" wrapText="1"/>
      <protection hidden="1"/>
    </xf>
    <xf numFmtId="176" fontId="39" fillId="5" borderId="1" xfId="0" applyNumberFormat="1" applyFont="1" applyFill="1" applyBorder="1" applyAlignment="1">
      <alignment horizontal="left" vertical="center"/>
    </xf>
    <xf numFmtId="176" fontId="25" fillId="5" borderId="32" xfId="0" applyNumberFormat="1" applyFont="1" applyFill="1" applyBorder="1" applyAlignment="1">
      <alignment horizontal="right" vertical="center"/>
    </xf>
    <xf numFmtId="176" fontId="40" fillId="5" borderId="32" xfId="0" applyNumberFormat="1" applyFont="1" applyFill="1" applyBorder="1" applyAlignment="1">
      <alignment horizontal="left" vertical="center"/>
    </xf>
    <xf numFmtId="176" fontId="35" fillId="8" borderId="80" xfId="0" applyNumberFormat="1" applyFont="1" applyFill="1" applyBorder="1">
      <alignment vertical="center"/>
    </xf>
    <xf numFmtId="176" fontId="35" fillId="8" borderId="1" xfId="0" applyNumberFormat="1" applyFont="1" applyFill="1" applyBorder="1">
      <alignment vertical="center"/>
    </xf>
    <xf numFmtId="176" fontId="35" fillId="8" borderId="82" xfId="0" applyNumberFormat="1" applyFont="1" applyFill="1" applyBorder="1" applyAlignment="1">
      <alignment horizontal="center" vertical="center"/>
    </xf>
    <xf numFmtId="176" fontId="35" fillId="8" borderId="66" xfId="0" applyNumberFormat="1" applyFont="1" applyFill="1" applyBorder="1" applyAlignment="1">
      <alignment horizontal="center" vertical="center"/>
    </xf>
    <xf numFmtId="176" fontId="16" fillId="8" borderId="56" xfId="0" applyNumberFormat="1" applyFont="1" applyFill="1" applyBorder="1" applyAlignment="1">
      <alignment horizontal="right" vertical="center"/>
    </xf>
    <xf numFmtId="3" fontId="35" fillId="8" borderId="56" xfId="0" applyNumberFormat="1" applyFont="1" applyFill="1" applyBorder="1" applyAlignment="1">
      <alignment horizontal="center" vertical="center"/>
    </xf>
    <xf numFmtId="10" fontId="16" fillId="8" borderId="83" xfId="0" applyNumberFormat="1" applyFont="1" applyFill="1" applyBorder="1" applyAlignment="1">
      <alignment horizontal="center" vertical="center"/>
    </xf>
    <xf numFmtId="176" fontId="35" fillId="9" borderId="86" xfId="0" applyNumberFormat="1" applyFont="1" applyFill="1" applyBorder="1" applyAlignment="1">
      <alignment horizontal="center" vertical="center"/>
    </xf>
    <xf numFmtId="176" fontId="35" fillId="9" borderId="86" xfId="0" applyNumberFormat="1" applyFont="1" applyFill="1" applyBorder="1" applyAlignment="1">
      <alignment horizontal="left" vertical="center"/>
    </xf>
    <xf numFmtId="10" fontId="35" fillId="9" borderId="87" xfId="0" applyNumberFormat="1" applyFont="1" applyFill="1" applyBorder="1" applyAlignment="1">
      <alignment horizontal="center" vertical="center"/>
    </xf>
    <xf numFmtId="176" fontId="53" fillId="10" borderId="67" xfId="0" applyNumberFormat="1" applyFont="1" applyFill="1" applyBorder="1" applyAlignment="1">
      <alignment horizontal="center" vertical="center"/>
    </xf>
    <xf numFmtId="176" fontId="35" fillId="0" borderId="68" xfId="0" applyNumberFormat="1" applyFont="1" applyBorder="1" applyAlignment="1">
      <alignment horizontal="center" vertical="center"/>
    </xf>
    <xf numFmtId="176" fontId="35" fillId="0" borderId="91" xfId="0" applyNumberFormat="1" applyFont="1" applyBorder="1" applyAlignment="1">
      <alignment horizontal="center" vertical="center"/>
    </xf>
    <xf numFmtId="183" fontId="16" fillId="0" borderId="0" xfId="0" applyNumberFormat="1" applyFont="1" applyAlignment="1">
      <alignment horizontal="center" vertical="center" shrinkToFit="1"/>
    </xf>
    <xf numFmtId="0" fontId="35" fillId="0" borderId="18" xfId="0" applyFont="1" applyBorder="1" applyAlignment="1"/>
    <xf numFmtId="0" fontId="35" fillId="0" borderId="21" xfId="0" applyFont="1" applyBorder="1" applyAlignment="1"/>
    <xf numFmtId="0" fontId="35" fillId="0" borderId="19" xfId="0" applyFont="1" applyBorder="1" applyAlignment="1"/>
    <xf numFmtId="0" fontId="35" fillId="0" borderId="65" xfId="0" applyFont="1" applyBorder="1" applyAlignment="1"/>
    <xf numFmtId="183" fontId="35" fillId="0" borderId="65" xfId="0" applyNumberFormat="1" applyFont="1" applyBorder="1" applyAlignment="1"/>
    <xf numFmtId="183" fontId="35" fillId="0" borderId="19" xfId="0" applyNumberFormat="1" applyFont="1" applyBorder="1" applyAlignment="1">
      <alignment horizontal="center"/>
    </xf>
    <xf numFmtId="0" fontId="35" fillId="0" borderId="0" xfId="0" applyFont="1" applyAlignment="1">
      <alignment horizontal="right"/>
    </xf>
    <xf numFmtId="183" fontId="35" fillId="0" borderId="0" xfId="0" applyNumberFormat="1" applyFont="1" applyAlignment="1">
      <alignment horizontal="right"/>
    </xf>
    <xf numFmtId="183" fontId="35" fillId="0" borderId="0" xfId="0" applyNumberFormat="1" applyFont="1" applyAlignment="1"/>
    <xf numFmtId="0" fontId="2" fillId="0" borderId="2" xfId="0" applyFont="1" applyBorder="1" applyAlignment="1" applyProtection="1">
      <alignment horizontal="center" vertical="top" wrapText="1"/>
      <protection hidden="1"/>
    </xf>
    <xf numFmtId="0" fontId="2" fillId="0" borderId="13" xfId="0" applyFont="1" applyBorder="1" applyAlignment="1" applyProtection="1">
      <alignment horizontal="center" vertical="top" wrapText="1"/>
      <protection hidden="1"/>
    </xf>
    <xf numFmtId="0" fontId="2" fillId="0" borderId="14" xfId="0" applyFont="1" applyBorder="1" applyAlignment="1" applyProtection="1">
      <alignment horizontal="center" vertical="top" wrapText="1"/>
      <protection hidden="1"/>
    </xf>
    <xf numFmtId="0" fontId="4" fillId="0" borderId="13" xfId="0" applyFont="1" applyBorder="1" applyAlignment="1" applyProtection="1">
      <alignment vertical="center" wrapText="1"/>
      <protection hidden="1"/>
    </xf>
    <xf numFmtId="0" fontId="4" fillId="0" borderId="26" xfId="0" applyFont="1" applyBorder="1" applyAlignment="1" applyProtection="1">
      <alignment vertical="center" wrapText="1"/>
      <protection hidden="1"/>
    </xf>
    <xf numFmtId="0" fontId="7" fillId="0" borderId="12" xfId="0" applyFont="1" applyBorder="1" applyAlignment="1" applyProtection="1">
      <alignment horizontal="center" vertical="center"/>
      <protection hidden="1"/>
    </xf>
    <xf numFmtId="0" fontId="13" fillId="0" borderId="12" xfId="0" applyFont="1" applyBorder="1" applyAlignment="1" applyProtection="1">
      <alignment horizontal="center" vertical="center" wrapText="1"/>
      <protection hidden="1"/>
    </xf>
    <xf numFmtId="0" fontId="13" fillId="0" borderId="27" xfId="0" applyFont="1" applyBorder="1" applyAlignment="1" applyProtection="1">
      <alignment horizontal="center" vertical="center" wrapText="1"/>
      <protection hidden="1"/>
    </xf>
    <xf numFmtId="0" fontId="0" fillId="0" borderId="20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21" xfId="0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 vertical="center"/>
      <protection hidden="1"/>
    </xf>
    <xf numFmtId="0" fontId="0" fillId="0" borderId="16" xfId="0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0" fontId="0" fillId="0" borderId="17" xfId="0" applyBorder="1" applyAlignment="1" applyProtection="1">
      <alignment horizontal="center" vertical="center"/>
      <protection hidden="1"/>
    </xf>
    <xf numFmtId="0" fontId="0" fillId="0" borderId="18" xfId="0" applyBorder="1" applyAlignment="1" applyProtection="1">
      <alignment horizontal="center" vertical="center"/>
      <protection hidden="1"/>
    </xf>
    <xf numFmtId="0" fontId="0" fillId="0" borderId="19" xfId="0" applyBorder="1" applyAlignment="1" applyProtection="1">
      <alignment horizontal="center" vertical="center"/>
      <protection hidden="1"/>
    </xf>
    <xf numFmtId="0" fontId="7" fillId="0" borderId="6" xfId="0" applyFont="1" applyBorder="1" applyAlignment="1" applyProtection="1">
      <alignment horizontal="center" vertical="center"/>
      <protection hidden="1"/>
    </xf>
    <xf numFmtId="0" fontId="7" fillId="0" borderId="28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2" fillId="0" borderId="29" xfId="0" applyFont="1" applyBorder="1" applyAlignment="1" applyProtection="1">
      <alignment horizontal="center" vertical="center"/>
      <protection hidden="1"/>
    </xf>
    <xf numFmtId="0" fontId="0" fillId="0" borderId="30" xfId="0" applyBorder="1" applyProtection="1">
      <alignment vertical="center"/>
      <protection hidden="1"/>
    </xf>
    <xf numFmtId="0" fontId="0" fillId="0" borderId="31" xfId="0" applyBorder="1" applyProtection="1">
      <alignment vertical="center"/>
      <protection hidden="1"/>
    </xf>
    <xf numFmtId="0" fontId="5" fillId="0" borderId="22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24" xfId="0" applyFont="1" applyBorder="1" applyAlignment="1" applyProtection="1">
      <alignment horizontal="center" vertical="center"/>
      <protection hidden="1"/>
    </xf>
    <xf numFmtId="0" fontId="5" fillId="0" borderId="25" xfId="0" applyFont="1" applyBorder="1" applyAlignment="1" applyProtection="1">
      <alignment horizontal="center" vertical="center"/>
      <protection hidden="1"/>
    </xf>
    <xf numFmtId="0" fontId="13" fillId="0" borderId="6" xfId="0" applyFont="1" applyBorder="1" applyAlignment="1" applyProtection="1">
      <alignment horizontal="left" vertical="center"/>
      <protection hidden="1"/>
    </xf>
    <xf numFmtId="0" fontId="2" fillId="0" borderId="32" xfId="0" applyFont="1" applyBorder="1" applyAlignment="1" applyProtection="1">
      <alignment horizontal="center"/>
      <protection hidden="1"/>
    </xf>
    <xf numFmtId="0" fontId="2" fillId="0" borderId="25" xfId="0" applyFont="1" applyBorder="1" applyAlignment="1" applyProtection="1">
      <alignment horizontal="center"/>
      <protection hidden="1"/>
    </xf>
    <xf numFmtId="0" fontId="2" fillId="0" borderId="56" xfId="0" applyFont="1" applyBorder="1" applyAlignment="1" applyProtection="1">
      <alignment horizontal="center"/>
      <protection hidden="1"/>
    </xf>
    <xf numFmtId="0" fontId="7" fillId="0" borderId="20" xfId="0" applyFont="1" applyBorder="1" applyAlignment="1" applyProtection="1">
      <alignment horizontal="center" vertical="center"/>
      <protection hidden="1"/>
    </xf>
    <xf numFmtId="0" fontId="2" fillId="3" borderId="8" xfId="0" applyFont="1" applyFill="1" applyBorder="1" applyAlignment="1" applyProtection="1">
      <alignment horizontal="center" vertical="center"/>
      <protection hidden="1"/>
    </xf>
    <xf numFmtId="0" fontId="0" fillId="3" borderId="8" xfId="0" applyFill="1" applyBorder="1" applyAlignment="1" applyProtection="1">
      <alignment horizontal="center" vertical="center"/>
      <protection hidden="1"/>
    </xf>
    <xf numFmtId="0" fontId="0" fillId="3" borderId="27" xfId="0" applyFill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0" fillId="0" borderId="13" xfId="0" applyBorder="1" applyAlignment="1" applyProtection="1">
      <alignment horizontal="center" vertical="center"/>
      <protection hidden="1"/>
    </xf>
    <xf numFmtId="0" fontId="0" fillId="0" borderId="14" xfId="0" applyBorder="1" applyAlignment="1" applyProtection="1">
      <alignment horizontal="center" vertical="center"/>
      <protection hidden="1"/>
    </xf>
    <xf numFmtId="0" fontId="4" fillId="0" borderId="2" xfId="0" applyFont="1" applyBorder="1" applyAlignment="1" applyProtection="1">
      <alignment horizontal="left" vertical="center" wrapText="1"/>
      <protection hidden="1"/>
    </xf>
    <xf numFmtId="0" fontId="4" fillId="0" borderId="13" xfId="0" applyFont="1" applyBorder="1" applyAlignment="1" applyProtection="1">
      <alignment horizontal="left" vertical="center" wrapText="1"/>
      <protection hidden="1"/>
    </xf>
    <xf numFmtId="0" fontId="4" fillId="0" borderId="26" xfId="0" applyFont="1" applyBorder="1" applyAlignment="1" applyProtection="1">
      <alignment horizontal="left" vertical="center" wrapText="1"/>
      <protection hidden="1"/>
    </xf>
    <xf numFmtId="0" fontId="8" fillId="0" borderId="15" xfId="0" applyFont="1" applyBorder="1" applyAlignment="1" applyProtection="1">
      <alignment horizontal="center" vertical="center" textRotation="255"/>
      <protection hidden="1"/>
    </xf>
    <xf numFmtId="0" fontId="8" fillId="0" borderId="16" xfId="0" applyFont="1" applyBorder="1" applyAlignment="1" applyProtection="1">
      <alignment horizontal="center" vertical="center" textRotation="255"/>
      <protection hidden="1"/>
    </xf>
    <xf numFmtId="0" fontId="8" fillId="0" borderId="7" xfId="0" applyFont="1" applyBorder="1" applyAlignment="1" applyProtection="1">
      <alignment horizontal="center" vertical="center" textRotation="255"/>
      <protection hidden="1"/>
    </xf>
    <xf numFmtId="0" fontId="8" fillId="0" borderId="17" xfId="0" applyFont="1" applyBorder="1" applyAlignment="1" applyProtection="1">
      <alignment horizontal="center" vertical="center" textRotation="255"/>
      <protection hidden="1"/>
    </xf>
    <xf numFmtId="0" fontId="8" fillId="0" borderId="18" xfId="0" applyFont="1" applyBorder="1" applyAlignment="1" applyProtection="1">
      <alignment horizontal="center" vertical="center" textRotation="255"/>
      <protection hidden="1"/>
    </xf>
    <xf numFmtId="0" fontId="8" fillId="0" borderId="19" xfId="0" applyFont="1" applyBorder="1" applyAlignment="1" applyProtection="1">
      <alignment horizontal="center" vertical="center" textRotation="255"/>
      <protection hidden="1"/>
    </xf>
    <xf numFmtId="0" fontId="2" fillId="0" borderId="15" xfId="0" applyFont="1" applyBorder="1" applyAlignment="1" applyProtection="1">
      <alignment horizontal="left" vertical="top" wrapText="1"/>
      <protection hidden="1"/>
    </xf>
    <xf numFmtId="0" fontId="2" fillId="0" borderId="20" xfId="0" applyFont="1" applyBorder="1" applyAlignment="1" applyProtection="1">
      <alignment horizontal="left" vertical="top" wrapText="1"/>
      <protection hidden="1"/>
    </xf>
    <xf numFmtId="0" fontId="2" fillId="0" borderId="16" xfId="0" applyFont="1" applyBorder="1" applyAlignment="1" applyProtection="1">
      <alignment horizontal="left" vertical="top" wrapText="1"/>
      <protection hidden="1"/>
    </xf>
    <xf numFmtId="0" fontId="2" fillId="0" borderId="7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hidden="1"/>
    </xf>
    <xf numFmtId="0" fontId="2" fillId="0" borderId="17" xfId="0" applyFont="1" applyBorder="1" applyAlignment="1" applyProtection="1">
      <alignment horizontal="left" vertical="top" wrapText="1"/>
      <protection hidden="1"/>
    </xf>
    <xf numFmtId="0" fontId="2" fillId="0" borderId="18" xfId="0" applyFont="1" applyBorder="1" applyAlignment="1" applyProtection="1">
      <alignment horizontal="left" vertical="top" wrapText="1"/>
      <protection hidden="1"/>
    </xf>
    <xf numFmtId="0" fontId="2" fillId="0" borderId="21" xfId="0" applyFont="1" applyBorder="1" applyAlignment="1" applyProtection="1">
      <alignment horizontal="left" vertical="top" wrapText="1"/>
      <protection hidden="1"/>
    </xf>
    <xf numFmtId="0" fontId="2" fillId="0" borderId="19" xfId="0" applyFont="1" applyBorder="1" applyAlignment="1" applyProtection="1">
      <alignment horizontal="left" vertical="top" wrapText="1"/>
      <protection hidden="1"/>
    </xf>
    <xf numFmtId="0" fontId="25" fillId="7" borderId="8" xfId="0" applyFont="1" applyFill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 textRotation="255"/>
      <protection hidden="1"/>
    </xf>
    <xf numFmtId="0" fontId="6" fillId="0" borderId="6" xfId="0" applyFont="1" applyBorder="1" applyAlignment="1" applyProtection="1">
      <alignment horizontal="center" vertical="center" textRotation="255"/>
      <protection hidden="1"/>
    </xf>
    <xf numFmtId="0" fontId="6" fillId="0" borderId="3" xfId="0" applyFont="1" applyBorder="1" applyAlignment="1" applyProtection="1">
      <alignment horizontal="center" vertical="center" textRotation="255"/>
      <protection hidden="1"/>
    </xf>
    <xf numFmtId="0" fontId="6" fillId="0" borderId="1" xfId="0" applyFont="1" applyBorder="1" applyAlignment="1" applyProtection="1">
      <alignment horizontal="center" vertical="center" textRotation="255"/>
      <protection hidden="1"/>
    </xf>
    <xf numFmtId="0" fontId="6" fillId="0" borderId="23" xfId="0" applyFont="1" applyBorder="1" applyAlignment="1" applyProtection="1">
      <alignment horizontal="center" vertical="center" textRotation="255"/>
      <protection hidden="1"/>
    </xf>
    <xf numFmtId="0" fontId="6" fillId="0" borderId="8" xfId="0" applyFont="1" applyBorder="1" applyAlignment="1" applyProtection="1">
      <alignment horizontal="center" vertical="center" textRotation="255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2" borderId="22" xfId="0" applyFont="1" applyFill="1" applyBorder="1" applyAlignment="1" applyProtection="1">
      <alignment horizontal="center" vertical="center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2" fillId="2" borderId="6" xfId="0" applyFont="1" applyFill="1" applyBorder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2" borderId="6" xfId="0" applyFont="1" applyFill="1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0" fontId="0" fillId="0" borderId="29" xfId="0" applyBorder="1" applyAlignment="1" applyProtection="1">
      <alignment horizontal="center" vertical="center"/>
      <protection hidden="1"/>
    </xf>
    <xf numFmtId="0" fontId="2" fillId="3" borderId="20" xfId="0" applyFont="1" applyFill="1" applyBorder="1" applyAlignment="1" applyProtection="1">
      <alignment horizontal="center" vertical="center"/>
      <protection hidden="1"/>
    </xf>
    <xf numFmtId="0" fontId="2" fillId="3" borderId="16" xfId="0" applyFont="1" applyFill="1" applyBorder="1" applyAlignment="1" applyProtection="1">
      <alignment horizontal="center" vertical="center"/>
      <protection hidden="1"/>
    </xf>
    <xf numFmtId="0" fontId="2" fillId="3" borderId="37" xfId="0" applyFont="1" applyFill="1" applyBorder="1" applyAlignment="1" applyProtection="1">
      <alignment horizontal="center" vertical="center"/>
      <protection hidden="1"/>
    </xf>
    <xf numFmtId="0" fontId="2" fillId="3" borderId="38" xfId="0" applyFont="1" applyFill="1" applyBorder="1" applyAlignment="1" applyProtection="1">
      <alignment horizontal="center" vertical="center"/>
      <protection hidden="1"/>
    </xf>
    <xf numFmtId="0" fontId="3" fillId="5" borderId="6" xfId="0" applyFont="1" applyFill="1" applyBorder="1" applyAlignment="1" applyProtection="1">
      <alignment horizontal="center" vertical="center" wrapText="1"/>
      <protection hidden="1"/>
    </xf>
    <xf numFmtId="0" fontId="0" fillId="0" borderId="1" xfId="0" applyBorder="1" applyAlignment="1" applyProtection="1">
      <alignment horizontal="center" vertical="center" wrapText="1"/>
      <protection hidden="1"/>
    </xf>
    <xf numFmtId="0" fontId="27" fillId="0" borderId="0" xfId="0" applyFont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left"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3" borderId="1" xfId="0" applyFill="1" applyBorder="1" applyProtection="1">
      <alignment vertical="center"/>
      <protection hidden="1"/>
    </xf>
    <xf numFmtId="0" fontId="0" fillId="3" borderId="12" xfId="0" applyFill="1" applyBorder="1" applyProtection="1">
      <alignment vertical="center"/>
      <protection hidden="1"/>
    </xf>
    <xf numFmtId="0" fontId="25" fillId="0" borderId="1" xfId="0" applyFont="1" applyBorder="1" applyAlignment="1" applyProtection="1">
      <alignment horizontal="left" vertical="center"/>
      <protection hidden="1"/>
    </xf>
    <xf numFmtId="0" fontId="2" fillId="0" borderId="2" xfId="0" applyFont="1" applyBorder="1" applyAlignment="1" applyProtection="1">
      <alignment horizontal="center" vertical="top" wrapText="1"/>
      <protection hidden="1"/>
    </xf>
    <xf numFmtId="0" fontId="2" fillId="0" borderId="13" xfId="0" applyFont="1" applyBorder="1" applyAlignment="1" applyProtection="1">
      <alignment horizontal="center" vertical="top" wrapText="1"/>
      <protection hidden="1"/>
    </xf>
    <xf numFmtId="0" fontId="2" fillId="0" borderId="14" xfId="0" applyFont="1" applyBorder="1" applyAlignment="1" applyProtection="1">
      <alignment horizontal="center" vertical="top" wrapText="1"/>
      <protection hidden="1"/>
    </xf>
    <xf numFmtId="0" fontId="13" fillId="0" borderId="2" xfId="0" applyFont="1" applyBorder="1" applyAlignment="1" applyProtection="1">
      <alignment horizontal="center" vertical="center"/>
      <protection hidden="1"/>
    </xf>
    <xf numFmtId="0" fontId="13" fillId="0" borderId="13" xfId="0" applyFont="1" applyBorder="1" applyAlignment="1" applyProtection="1">
      <alignment horizontal="center" vertical="center"/>
      <protection hidden="1"/>
    </xf>
    <xf numFmtId="0" fontId="13" fillId="0" borderId="14" xfId="0" applyFont="1" applyBorder="1" applyAlignment="1" applyProtection="1">
      <alignment horizontal="center" vertical="center"/>
      <protection hidden="1"/>
    </xf>
    <xf numFmtId="0" fontId="13" fillId="0" borderId="4" xfId="0" applyFont="1" applyBorder="1" applyAlignment="1" applyProtection="1">
      <alignment horizontal="center" vertical="center"/>
      <protection hidden="1"/>
    </xf>
    <xf numFmtId="0" fontId="13" fillId="0" borderId="5" xfId="0" applyFont="1" applyBorder="1" applyAlignment="1" applyProtection="1">
      <alignment horizontal="center" vertical="center"/>
      <protection hidden="1"/>
    </xf>
    <xf numFmtId="0" fontId="13" fillId="0" borderId="92" xfId="0" applyFont="1" applyBorder="1" applyAlignment="1" applyProtection="1">
      <alignment horizontal="center" vertical="center"/>
      <protection hidden="1"/>
    </xf>
    <xf numFmtId="0" fontId="0" fillId="3" borderId="32" xfId="0" applyFill="1" applyBorder="1" applyProtection="1">
      <alignment vertical="center"/>
      <protection hidden="1"/>
    </xf>
    <xf numFmtId="0" fontId="0" fillId="3" borderId="33" xfId="0" applyFill="1" applyBorder="1" applyProtection="1">
      <alignment vertical="center"/>
      <protection hidden="1"/>
    </xf>
    <xf numFmtId="0" fontId="26" fillId="0" borderId="3" xfId="0" applyFont="1" applyBorder="1" applyAlignment="1" applyProtection="1">
      <alignment horizontal="center" vertical="center"/>
      <protection hidden="1"/>
    </xf>
    <xf numFmtId="0" fontId="26" fillId="0" borderId="1" xfId="0" applyFont="1" applyBorder="1" applyAlignment="1" applyProtection="1">
      <alignment horizontal="center" vertical="center"/>
      <protection hidden="1"/>
    </xf>
    <xf numFmtId="0" fontId="0" fillId="0" borderId="30" xfId="0" applyBorder="1" applyAlignment="1" applyProtection="1">
      <alignment horizontal="center" vertical="center"/>
      <protection hidden="1"/>
    </xf>
    <xf numFmtId="0" fontId="0" fillId="0" borderId="31" xfId="0" applyBorder="1" applyAlignment="1" applyProtection="1">
      <alignment horizontal="center" vertical="center"/>
      <protection hidden="1"/>
    </xf>
    <xf numFmtId="0" fontId="26" fillId="6" borderId="34" xfId="0" applyFont="1" applyFill="1" applyBorder="1" applyAlignment="1" applyProtection="1">
      <alignment horizontal="center" vertical="center"/>
      <protection hidden="1"/>
    </xf>
    <xf numFmtId="0" fontId="0" fillId="0" borderId="26" xfId="0" applyBorder="1" applyAlignment="1" applyProtection="1">
      <alignment horizontal="center" vertical="center"/>
      <protection hidden="1"/>
    </xf>
    <xf numFmtId="0" fontId="26" fillId="6" borderId="35" xfId="0" applyFont="1" applyFill="1" applyBorder="1" applyAlignment="1" applyProtection="1">
      <alignment horizontal="center" vertical="center"/>
      <protection hidden="1"/>
    </xf>
    <xf numFmtId="0" fontId="0" fillId="0" borderId="36" xfId="0" applyBorder="1" applyAlignment="1" applyProtection="1">
      <alignment horizontal="center" vertical="center"/>
      <protection hidden="1"/>
    </xf>
    <xf numFmtId="3" fontId="20" fillId="0" borderId="1" xfId="0" applyNumberFormat="1" applyFont="1" applyBorder="1" applyAlignment="1">
      <alignment horizontal="right" vertical="center"/>
    </xf>
    <xf numFmtId="3" fontId="20" fillId="0" borderId="47" xfId="0" applyNumberFormat="1" applyFont="1" applyBorder="1" applyAlignment="1">
      <alignment horizontal="right" vertical="center"/>
    </xf>
    <xf numFmtId="0" fontId="19" fillId="0" borderId="2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15" fillId="0" borderId="0" xfId="0" applyFont="1" applyAlignment="1">
      <alignment horizontal="center" wrapText="1"/>
    </xf>
    <xf numFmtId="0" fontId="17" fillId="0" borderId="37" xfId="0" applyFont="1" applyBorder="1" applyAlignment="1">
      <alignment horizontal="center" vertical="center" wrapText="1"/>
    </xf>
    <xf numFmtId="182" fontId="4" fillId="0" borderId="37" xfId="0" applyNumberFormat="1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47" xfId="0" applyFont="1" applyBorder="1" applyAlignment="1">
      <alignment horizontal="left" vertical="center"/>
    </xf>
    <xf numFmtId="0" fontId="19" fillId="0" borderId="46" xfId="0" applyFont="1" applyBorder="1" applyAlignment="1">
      <alignment horizontal="center" vertical="center" textRotation="255"/>
    </xf>
    <xf numFmtId="0" fontId="19" fillId="0" borderId="1" xfId="0" applyFont="1" applyBorder="1" applyAlignment="1">
      <alignment horizontal="center" vertical="center" textRotation="255"/>
    </xf>
    <xf numFmtId="0" fontId="19" fillId="0" borderId="1" xfId="0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/>
    </xf>
    <xf numFmtId="176" fontId="20" fillId="0" borderId="1" xfId="0" applyNumberFormat="1" applyFont="1" applyBorder="1" applyAlignment="1">
      <alignment horizontal="right" vertical="center"/>
    </xf>
    <xf numFmtId="176" fontId="20" fillId="0" borderId="47" xfId="0" applyNumberFormat="1" applyFont="1" applyBorder="1" applyAlignment="1">
      <alignment horizontal="right" vertical="center"/>
    </xf>
    <xf numFmtId="0" fontId="19" fillId="0" borderId="2" xfId="0" applyFont="1" applyBorder="1" applyAlignment="1">
      <alignment horizontal="right" vertical="center"/>
    </xf>
    <xf numFmtId="0" fontId="19" fillId="0" borderId="13" xfId="0" applyFont="1" applyBorder="1" applyAlignment="1">
      <alignment horizontal="right" vertical="center"/>
    </xf>
    <xf numFmtId="0" fontId="19" fillId="0" borderId="26" xfId="0" applyFont="1" applyBorder="1" applyAlignment="1">
      <alignment horizontal="right" vertical="center"/>
    </xf>
    <xf numFmtId="3" fontId="20" fillId="0" borderId="2" xfId="0" applyNumberFormat="1" applyFont="1" applyBorder="1" applyAlignment="1">
      <alignment horizontal="center" vertical="center"/>
    </xf>
    <xf numFmtId="3" fontId="20" fillId="0" borderId="48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22" fillId="0" borderId="50" xfId="0" applyFont="1" applyBorder="1" applyAlignment="1">
      <alignment horizontal="center" vertical="center" textRotation="255"/>
    </xf>
    <xf numFmtId="0" fontId="22" fillId="0" borderId="39" xfId="0" applyFont="1" applyBorder="1" applyAlignment="1">
      <alignment horizontal="center" vertical="center" textRotation="255"/>
    </xf>
    <xf numFmtId="0" fontId="22" fillId="0" borderId="51" xfId="0" applyFont="1" applyBorder="1" applyAlignment="1">
      <alignment horizontal="center" vertical="center" textRotation="255"/>
    </xf>
    <xf numFmtId="0" fontId="22" fillId="0" borderId="52" xfId="0" applyFont="1" applyBorder="1" applyAlignment="1">
      <alignment horizontal="center" vertical="center" textRotation="255"/>
    </xf>
    <xf numFmtId="0" fontId="22" fillId="0" borderId="53" xfId="0" applyFont="1" applyBorder="1" applyAlignment="1">
      <alignment horizontal="center" vertical="center" textRotation="255"/>
    </xf>
    <xf numFmtId="0" fontId="22" fillId="0" borderId="54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top" wrapText="1"/>
    </xf>
    <xf numFmtId="0" fontId="8" fillId="0" borderId="47" xfId="0" applyFont="1" applyBorder="1" applyAlignment="1">
      <alignment horizontal="left" vertical="top" wrapText="1"/>
    </xf>
    <xf numFmtId="0" fontId="19" fillId="0" borderId="49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176" fontId="4" fillId="9" borderId="35" xfId="0" applyNumberFormat="1" applyFont="1" applyFill="1" applyBorder="1" applyAlignment="1">
      <alignment horizontal="center" vertical="center"/>
    </xf>
    <xf numFmtId="176" fontId="52" fillId="9" borderId="36" xfId="0" applyNumberFormat="1" applyFont="1" applyFill="1" applyBorder="1" applyAlignment="1">
      <alignment horizontal="center" vertical="center"/>
    </xf>
    <xf numFmtId="176" fontId="52" fillId="9" borderId="84" xfId="0" applyNumberFormat="1" applyFont="1" applyFill="1" applyBorder="1" applyAlignment="1">
      <alignment horizontal="center" vertical="center"/>
    </xf>
    <xf numFmtId="176" fontId="2" fillId="9" borderId="63" xfId="0" applyNumberFormat="1" applyFont="1" applyFill="1" applyBorder="1" applyAlignment="1">
      <alignment horizontal="center" vertical="center"/>
    </xf>
    <xf numFmtId="176" fontId="35" fillId="9" borderId="85" xfId="0" applyNumberFormat="1" applyFont="1" applyFill="1" applyBorder="1" applyAlignment="1">
      <alignment horizontal="center" vertical="center"/>
    </xf>
    <xf numFmtId="176" fontId="35" fillId="9" borderId="62" xfId="0" applyNumberFormat="1" applyFont="1" applyFill="1" applyBorder="1" applyAlignment="1">
      <alignment horizontal="center" vertical="center"/>
    </xf>
    <xf numFmtId="176" fontId="35" fillId="0" borderId="88" xfId="0" applyNumberFormat="1" applyFont="1" applyBorder="1" applyAlignment="1">
      <alignment horizontal="center" vertical="center"/>
    </xf>
    <xf numFmtId="176" fontId="35" fillId="0" borderId="89" xfId="0" applyNumberFormat="1" applyFont="1" applyBorder="1" applyAlignment="1"/>
    <xf numFmtId="176" fontId="35" fillId="0" borderId="90" xfId="0" applyNumberFormat="1" applyFont="1" applyBorder="1" applyAlignment="1"/>
    <xf numFmtId="0" fontId="35" fillId="0" borderId="0" xfId="0" applyFont="1" applyAlignment="1">
      <alignment horizontal="center"/>
    </xf>
    <xf numFmtId="176" fontId="35" fillId="0" borderId="32" xfId="0" applyNumberFormat="1" applyFont="1" applyBorder="1" applyAlignment="1">
      <alignment horizontal="right" vertical="center"/>
    </xf>
    <xf numFmtId="176" fontId="35" fillId="0" borderId="77" xfId="0" applyNumberFormat="1" applyFont="1" applyBorder="1" applyAlignment="1">
      <alignment horizontal="right" vertical="center"/>
    </xf>
    <xf numFmtId="10" fontId="35" fillId="0" borderId="33" xfId="0" applyNumberFormat="1" applyFont="1" applyBorder="1" applyAlignment="1" applyProtection="1">
      <alignment horizontal="center" vertical="center" wrapText="1"/>
      <protection hidden="1"/>
    </xf>
    <xf numFmtId="10" fontId="35" fillId="0" borderId="78" xfId="0" applyNumberFormat="1" applyFont="1" applyBorder="1" applyAlignment="1" applyProtection="1">
      <alignment horizontal="center" vertical="center" wrapText="1"/>
      <protection hidden="1"/>
    </xf>
    <xf numFmtId="176" fontId="2" fillId="0" borderId="79" xfId="0" applyNumberFormat="1" applyFont="1" applyBorder="1" applyAlignment="1">
      <alignment horizontal="center" vertical="center" textRotation="255"/>
    </xf>
    <xf numFmtId="176" fontId="2" fillId="0" borderId="24" xfId="0" applyNumberFormat="1" applyFont="1" applyBorder="1" applyAlignment="1">
      <alignment horizontal="center" vertical="center" textRotation="255"/>
    </xf>
    <xf numFmtId="176" fontId="35" fillId="0" borderId="24" xfId="0" applyNumberFormat="1" applyFont="1" applyBorder="1" applyAlignment="1">
      <alignment horizontal="center" vertical="center" textRotation="255"/>
    </xf>
    <xf numFmtId="176" fontId="35" fillId="0" borderId="74" xfId="0" applyNumberFormat="1" applyFont="1" applyBorder="1" applyAlignment="1">
      <alignment horizontal="center" vertical="center" textRotation="255"/>
    </xf>
    <xf numFmtId="3" fontId="35" fillId="0" borderId="32" xfId="0" applyNumberFormat="1" applyFont="1" applyBorder="1" applyAlignment="1">
      <alignment horizontal="center" vertical="center"/>
    </xf>
    <xf numFmtId="3" fontId="35" fillId="0" borderId="77" xfId="0" applyNumberFormat="1" applyFont="1" applyBorder="1" applyAlignment="1">
      <alignment horizontal="center" vertical="center"/>
    </xf>
    <xf numFmtId="176" fontId="2" fillId="8" borderId="56" xfId="0" applyNumberFormat="1" applyFont="1" applyFill="1" applyBorder="1" applyAlignment="1">
      <alignment horizontal="center" vertical="center"/>
    </xf>
    <xf numFmtId="176" fontId="35" fillId="8" borderId="56" xfId="0" applyNumberFormat="1" applyFont="1" applyFill="1" applyBorder="1" applyAlignment="1">
      <alignment horizontal="center" vertical="center"/>
    </xf>
    <xf numFmtId="176" fontId="2" fillId="0" borderId="73" xfId="0" applyNumberFormat="1" applyFont="1" applyBorder="1" applyAlignment="1">
      <alignment horizontal="center" vertical="center" textRotation="255"/>
    </xf>
    <xf numFmtId="176" fontId="2" fillId="0" borderId="72" xfId="0" applyNumberFormat="1" applyFont="1" applyBorder="1" applyAlignment="1">
      <alignment horizontal="center" vertical="center" textRotation="255"/>
    </xf>
    <xf numFmtId="176" fontId="35" fillId="0" borderId="72" xfId="0" applyNumberFormat="1" applyFont="1" applyBorder="1" applyAlignment="1"/>
    <xf numFmtId="176" fontId="35" fillId="0" borderId="32" xfId="0" applyNumberFormat="1" applyFont="1" applyBorder="1" applyAlignment="1">
      <alignment horizontal="center" vertical="center"/>
    </xf>
    <xf numFmtId="176" fontId="35" fillId="0" borderId="77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35" fillId="0" borderId="9" xfId="0" applyNumberFormat="1" applyFont="1" applyBorder="1" applyAlignment="1">
      <alignment horizontal="center" vertical="center"/>
    </xf>
    <xf numFmtId="176" fontId="2" fillId="0" borderId="71" xfId="0" applyNumberFormat="1" applyFont="1" applyBorder="1" applyAlignment="1">
      <alignment horizontal="center" vertical="center"/>
    </xf>
    <xf numFmtId="176" fontId="35" fillId="0" borderId="72" xfId="0" applyNumberFormat="1" applyFont="1" applyBorder="1" applyAlignment="1">
      <alignment horizontal="center" vertical="center"/>
    </xf>
    <xf numFmtId="0" fontId="2" fillId="0" borderId="34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178" fontId="35" fillId="0" borderId="2" xfId="0" applyNumberFormat="1" applyFont="1" applyBorder="1" applyAlignment="1">
      <alignment horizontal="center" vertical="center"/>
    </xf>
    <xf numFmtId="178" fontId="35" fillId="0" borderId="14" xfId="0" applyNumberFormat="1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2" fillId="5" borderId="61" xfId="0" applyFont="1" applyFill="1" applyBorder="1" applyAlignment="1">
      <alignment horizontal="left" vertical="center"/>
    </xf>
    <xf numFmtId="0" fontId="35" fillId="5" borderId="62" xfId="0" applyFont="1" applyFill="1" applyBorder="1" applyAlignment="1">
      <alignment horizontal="left" vertical="center"/>
    </xf>
    <xf numFmtId="178" fontId="10" fillId="5" borderId="63" xfId="0" applyNumberFormat="1" applyFont="1" applyFill="1" applyBorder="1" applyAlignment="1">
      <alignment horizontal="left" vertical="center"/>
    </xf>
    <xf numFmtId="178" fontId="10" fillId="5" borderId="64" xfId="0" applyNumberFormat="1" applyFont="1" applyFill="1" applyBorder="1" applyAlignment="1">
      <alignment horizontal="left" vertical="center"/>
    </xf>
    <xf numFmtId="0" fontId="2" fillId="8" borderId="18" xfId="0" applyFont="1" applyFill="1" applyBorder="1" applyAlignment="1">
      <alignment horizontal="left" vertical="center"/>
    </xf>
    <xf numFmtId="0" fontId="35" fillId="8" borderId="66" xfId="0" applyFont="1" applyFill="1" applyBorder="1" applyAlignment="1">
      <alignment horizontal="left" vertical="center"/>
    </xf>
    <xf numFmtId="176" fontId="18" fillId="0" borderId="10" xfId="0" applyNumberFormat="1" applyFont="1" applyBorder="1" applyAlignment="1">
      <alignment horizontal="left"/>
    </xf>
    <xf numFmtId="176" fontId="18" fillId="0" borderId="70" xfId="0" applyNumberFormat="1" applyFont="1" applyBorder="1" applyAlignment="1">
      <alignment horizontal="left"/>
    </xf>
    <xf numFmtId="176" fontId="18" fillId="0" borderId="11" xfId="0" applyNumberFormat="1" applyFont="1" applyBorder="1" applyAlignment="1">
      <alignment horizontal="left"/>
    </xf>
    <xf numFmtId="0" fontId="29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5" fillId="0" borderId="0" xfId="0" applyFont="1">
      <alignment vertical="center"/>
    </xf>
    <xf numFmtId="0" fontId="2" fillId="0" borderId="58" xfId="0" applyFont="1" applyBorder="1" applyAlignment="1">
      <alignment horizontal="center" vertical="center"/>
    </xf>
    <xf numFmtId="0" fontId="35" fillId="0" borderId="59" xfId="0" applyFont="1" applyBorder="1" applyAlignment="1">
      <alignment horizontal="center" vertical="center"/>
    </xf>
    <xf numFmtId="183" fontId="2" fillId="0" borderId="29" xfId="0" applyNumberFormat="1" applyFont="1" applyBorder="1" applyAlignment="1">
      <alignment horizontal="center" vertical="center"/>
    </xf>
    <xf numFmtId="183" fontId="2" fillId="0" borderId="31" xfId="0" applyNumberFormat="1" applyFont="1" applyBorder="1" applyAlignment="1">
      <alignment horizontal="center" vertical="center"/>
    </xf>
    <xf numFmtId="178" fontId="39" fillId="5" borderId="2" xfId="0" applyNumberFormat="1" applyFont="1" applyFill="1" applyBorder="1" applyAlignment="1">
      <alignment horizontal="center" vertical="center" wrapText="1"/>
    </xf>
    <xf numFmtId="178" fontId="38" fillId="5" borderId="14" xfId="0" applyNumberFormat="1" applyFont="1" applyFill="1" applyBorder="1" applyAlignment="1">
      <alignment horizontal="center" vertical="center" wrapText="1"/>
    </xf>
    <xf numFmtId="0" fontId="2" fillId="0" borderId="0" xfId="1" applyFont="1"/>
  </cellXfs>
  <cellStyles count="3">
    <cellStyle name="一般" xfId="0" builtinId="0"/>
    <cellStyle name="一般 2" xfId="1" xr:uid="{00000000-0005-0000-0000-000001000000}"/>
    <cellStyle name="千分位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88900</xdr:colOff>
          <xdr:row>0</xdr:row>
          <xdr:rowOff>69850</xdr:rowOff>
        </xdr:from>
        <xdr:to>
          <xdr:col>4</xdr:col>
          <xdr:colOff>514350</xdr:colOff>
          <xdr:row>0</xdr:row>
          <xdr:rowOff>412750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/>
            </a:solidFill>
          </xdr:spPr>
        </xdr:sp>
        <xdr:clientData/>
      </xdr:twoCellAnchor>
    </mc:Choice>
    <mc:Fallback/>
  </mc:AlternateContent>
  <xdr:twoCellAnchor editAs="oneCell">
    <xdr:from>
      <xdr:col>10</xdr:col>
      <xdr:colOff>142875</xdr:colOff>
      <xdr:row>18</xdr:row>
      <xdr:rowOff>57150</xdr:rowOff>
    </xdr:from>
    <xdr:to>
      <xdr:col>10</xdr:col>
      <xdr:colOff>752475</xdr:colOff>
      <xdr:row>18</xdr:row>
      <xdr:rowOff>354330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7625" y="14573250"/>
          <a:ext cx="6096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0</xdr:row>
      <xdr:rowOff>76201</xdr:rowOff>
    </xdr:from>
    <xdr:to>
      <xdr:col>2</xdr:col>
      <xdr:colOff>1733550</xdr:colOff>
      <xdr:row>0</xdr:row>
      <xdr:rowOff>342901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6850" y="76201"/>
          <a:ext cx="1066800" cy="266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User\Downloads\&#25088;&#25088;&#38263;&#23433;&#26032;&#25104;&#26412;&#20998;&#26512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成本分析"/>
      <sheetName val="Sheet3"/>
      <sheetName val="勞健保清單"/>
      <sheetName val="員工薪資"/>
    </sheetNames>
    <sheetDataSet>
      <sheetData sheetId="0"/>
      <sheetData sheetId="1"/>
      <sheetData sheetId="2">
        <row r="3">
          <cell r="A3">
            <v>19273</v>
          </cell>
          <cell r="B3">
            <v>1349</v>
          </cell>
          <cell r="C3">
            <v>920</v>
          </cell>
          <cell r="D3">
            <v>1156.3799999999999</v>
          </cell>
        </row>
        <row r="4">
          <cell r="A4">
            <v>20100</v>
          </cell>
          <cell r="B4">
            <v>1407</v>
          </cell>
          <cell r="C4">
            <v>959</v>
          </cell>
          <cell r="D4">
            <v>1206</v>
          </cell>
        </row>
        <row r="5">
          <cell r="A5">
            <v>21000</v>
          </cell>
          <cell r="B5">
            <v>1470</v>
          </cell>
          <cell r="C5">
            <v>1002</v>
          </cell>
          <cell r="D5">
            <v>1260</v>
          </cell>
        </row>
        <row r="6">
          <cell r="A6">
            <v>21900</v>
          </cell>
          <cell r="B6">
            <v>1533</v>
          </cell>
          <cell r="C6">
            <v>1045</v>
          </cell>
          <cell r="D6">
            <v>1314</v>
          </cell>
        </row>
        <row r="7">
          <cell r="A7">
            <v>22800</v>
          </cell>
          <cell r="B7">
            <v>1596</v>
          </cell>
          <cell r="C7">
            <v>1088</v>
          </cell>
          <cell r="D7">
            <v>1368</v>
          </cell>
        </row>
        <row r="8">
          <cell r="A8">
            <v>24000</v>
          </cell>
          <cell r="B8">
            <v>1680</v>
          </cell>
          <cell r="C8">
            <v>1145</v>
          </cell>
          <cell r="D8">
            <v>1440</v>
          </cell>
        </row>
        <row r="9">
          <cell r="A9">
            <v>25200</v>
          </cell>
          <cell r="B9">
            <v>1764</v>
          </cell>
          <cell r="C9">
            <v>1203</v>
          </cell>
          <cell r="D9">
            <v>1512</v>
          </cell>
        </row>
        <row r="10">
          <cell r="A10">
            <v>26400</v>
          </cell>
          <cell r="B10">
            <v>1848</v>
          </cell>
          <cell r="C10">
            <v>1260</v>
          </cell>
          <cell r="D10">
            <v>1584</v>
          </cell>
        </row>
        <row r="11">
          <cell r="A11">
            <v>27600</v>
          </cell>
          <cell r="B11">
            <v>1932</v>
          </cell>
          <cell r="C11">
            <v>1317</v>
          </cell>
          <cell r="D11">
            <v>1656</v>
          </cell>
        </row>
        <row r="12">
          <cell r="A12">
            <v>28800</v>
          </cell>
          <cell r="B12">
            <v>2016</v>
          </cell>
          <cell r="C12">
            <v>1374</v>
          </cell>
          <cell r="D12">
            <v>1728</v>
          </cell>
        </row>
        <row r="13">
          <cell r="A13">
            <v>30300</v>
          </cell>
          <cell r="B13">
            <v>2121</v>
          </cell>
          <cell r="C13">
            <v>1446</v>
          </cell>
          <cell r="D13">
            <v>1818</v>
          </cell>
        </row>
        <row r="14">
          <cell r="A14">
            <v>31800</v>
          </cell>
          <cell r="B14">
            <v>2226</v>
          </cell>
          <cell r="C14">
            <v>1518</v>
          </cell>
          <cell r="D14">
            <v>1908</v>
          </cell>
        </row>
        <row r="15">
          <cell r="A15">
            <v>33300</v>
          </cell>
          <cell r="B15">
            <v>2331</v>
          </cell>
          <cell r="C15">
            <v>1589</v>
          </cell>
          <cell r="D15">
            <v>1998</v>
          </cell>
        </row>
        <row r="16">
          <cell r="A16">
            <v>34800</v>
          </cell>
          <cell r="B16">
            <v>2436</v>
          </cell>
          <cell r="C16">
            <v>1661</v>
          </cell>
          <cell r="D16">
            <v>2088</v>
          </cell>
        </row>
        <row r="17">
          <cell r="A17">
            <v>36300</v>
          </cell>
          <cell r="B17">
            <v>2541</v>
          </cell>
          <cell r="C17">
            <v>1732</v>
          </cell>
          <cell r="D17">
            <v>2178</v>
          </cell>
        </row>
        <row r="18">
          <cell r="A18">
            <v>38200</v>
          </cell>
          <cell r="B18">
            <v>2674</v>
          </cell>
          <cell r="C18">
            <v>1823</v>
          </cell>
          <cell r="D18">
            <v>2292</v>
          </cell>
        </row>
        <row r="19">
          <cell r="A19">
            <v>40100</v>
          </cell>
          <cell r="B19">
            <v>2807</v>
          </cell>
          <cell r="C19">
            <v>1914</v>
          </cell>
          <cell r="D19">
            <v>2406</v>
          </cell>
        </row>
        <row r="20">
          <cell r="A20">
            <v>42000</v>
          </cell>
          <cell r="B20">
            <v>2940</v>
          </cell>
          <cell r="C20">
            <v>2004</v>
          </cell>
          <cell r="D20">
            <v>2520</v>
          </cell>
        </row>
        <row r="21">
          <cell r="A21">
            <v>43900</v>
          </cell>
          <cell r="B21">
            <v>3073</v>
          </cell>
          <cell r="C21">
            <v>2095</v>
          </cell>
          <cell r="D21">
            <v>2634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4"/>
  <sheetViews>
    <sheetView zoomScale="80" zoomScaleNormal="80" workbookViewId="0">
      <selection activeCell="G11" sqref="G11"/>
    </sheetView>
  </sheetViews>
  <sheetFormatPr defaultColWidth="3.36328125" defaultRowHeight="17"/>
  <cols>
    <col min="1" max="2" width="3.36328125" style="9"/>
    <col min="3" max="3" width="8.36328125" style="9" customWidth="1"/>
    <col min="4" max="4" width="14.26953125" style="9" customWidth="1"/>
    <col min="5" max="5" width="8.36328125" style="9" customWidth="1"/>
    <col min="6" max="6" width="11.90625" style="9" customWidth="1"/>
    <col min="7" max="7" width="13.453125" style="9" customWidth="1"/>
    <col min="8" max="8" width="11.26953125" style="9" bestFit="1" customWidth="1"/>
    <col min="9" max="9" width="19" style="9" bestFit="1" customWidth="1"/>
    <col min="10" max="10" width="14.08984375" style="9" bestFit="1" customWidth="1"/>
    <col min="11" max="11" width="10.08984375" style="9" customWidth="1"/>
    <col min="12" max="12" width="17.90625" style="9" customWidth="1"/>
    <col min="13" max="13" width="16.453125" style="9" customWidth="1"/>
    <col min="14" max="14" width="12.90625" style="9" customWidth="1"/>
    <col min="15" max="15" width="12.6328125" style="9" customWidth="1"/>
    <col min="16" max="16" width="11.90625" style="9" customWidth="1"/>
    <col min="17" max="17" width="3.36328125" style="9"/>
    <col min="18" max="18" width="8.90625" style="9" bestFit="1" customWidth="1"/>
    <col min="19" max="16384" width="3.36328125" style="9"/>
  </cols>
  <sheetData>
    <row r="1" spans="1:18" ht="16.5" customHeight="1">
      <c r="A1" s="285" t="s">
        <v>180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71" t="s">
        <v>0</v>
      </c>
      <c r="P1" s="271"/>
    </row>
    <row r="2" spans="1:18" ht="21.75" customHeight="1">
      <c r="A2" s="285"/>
      <c r="B2" s="285"/>
      <c r="C2" s="285"/>
      <c r="D2" s="285"/>
      <c r="E2" s="285"/>
      <c r="F2" s="285"/>
      <c r="G2" s="285"/>
      <c r="H2" s="285"/>
      <c r="I2" s="285"/>
      <c r="J2" s="285"/>
      <c r="K2" s="285"/>
      <c r="L2" s="285"/>
      <c r="M2" s="285"/>
      <c r="N2" s="285"/>
      <c r="O2" s="271" t="s">
        <v>181</v>
      </c>
      <c r="P2" s="271"/>
    </row>
    <row r="3" spans="1:18" ht="4.5" customHeight="1" thickBot="1"/>
    <row r="4" spans="1:18" ht="16.5" customHeight="1">
      <c r="A4" s="272" t="s">
        <v>1</v>
      </c>
      <c r="B4" s="274" t="s">
        <v>2</v>
      </c>
      <c r="C4" s="274"/>
      <c r="D4" s="276" t="s">
        <v>3</v>
      </c>
      <c r="E4" s="277"/>
      <c r="F4" s="277"/>
      <c r="G4" s="277"/>
      <c r="H4" s="277"/>
      <c r="I4" s="277"/>
      <c r="J4" s="277"/>
      <c r="K4" s="277"/>
      <c r="L4" s="278"/>
      <c r="M4" s="287" t="s">
        <v>36</v>
      </c>
      <c r="N4" s="283" t="s">
        <v>37</v>
      </c>
      <c r="O4" s="279" t="s">
        <v>43</v>
      </c>
      <c r="P4" s="280"/>
    </row>
    <row r="5" spans="1:18" ht="26.25" customHeight="1">
      <c r="A5" s="273"/>
      <c r="B5" s="275"/>
      <c r="C5" s="275"/>
      <c r="D5" s="10" t="s">
        <v>12</v>
      </c>
      <c r="E5" s="10" t="s">
        <v>29</v>
      </c>
      <c r="F5" s="10" t="s">
        <v>13</v>
      </c>
      <c r="G5" s="10" t="s">
        <v>15</v>
      </c>
      <c r="H5" s="10" t="s">
        <v>14</v>
      </c>
      <c r="I5" s="11" t="s">
        <v>30</v>
      </c>
      <c r="J5" s="10" t="s">
        <v>44</v>
      </c>
      <c r="K5" s="10" t="s">
        <v>40</v>
      </c>
      <c r="L5" s="12" t="s">
        <v>35</v>
      </c>
      <c r="M5" s="288"/>
      <c r="N5" s="284"/>
      <c r="O5" s="281"/>
      <c r="P5" s="282"/>
    </row>
    <row r="6" spans="1:18">
      <c r="A6" s="13">
        <v>1</v>
      </c>
      <c r="B6" s="286" t="s">
        <v>173</v>
      </c>
      <c r="C6" s="286"/>
      <c r="D6" s="14">
        <v>55000</v>
      </c>
      <c r="E6" s="15">
        <v>30</v>
      </c>
      <c r="F6" s="16">
        <f>IF($B6="清潔員",0,IF(D6=0,0,IF(D6&lt;20008,D6*0.08,INDEX(勞健保清單!$B$3:$B$32,$E6,1))))</f>
        <v>3526.6</v>
      </c>
      <c r="G6" s="16">
        <f>IF($B6="清潔員",0,IF(D6=0,0,IF(D6&lt;20008,D6*0.08,INDEX(勞健保清單!$C$3:$C$32,$E6,1))))</f>
        <v>2074.9873200000002</v>
      </c>
      <c r="H6" s="16">
        <f>IF($B6="清潔員",0,IF(D6=0,0,IF(D6&lt;20008,D6*0.08,INDEX(勞健保清單!$D$3:$D$32,$E6,1))))</f>
        <v>2748</v>
      </c>
      <c r="I6" s="7">
        <f>IF($B6="清潔員",0,IF(D6=0,0,(((D6/30*7)+300+500+6000)/12)))</f>
        <v>1636.1111111111111</v>
      </c>
      <c r="J6" s="6">
        <f>IF($B6="清潔員",0,IF(D6=0,0,M6*0.09))</f>
        <v>6750</v>
      </c>
      <c r="K6" s="17">
        <f t="shared" ref="K6" si="0">IF($B6="清潔員",0,IF(D6=0,0,M6*0.05))</f>
        <v>3750</v>
      </c>
      <c r="L6" s="17">
        <f t="shared" ref="L6" si="1">IF(D6=0,0,SUM(D6,F6,G6,H6,I6,J6,K6))</f>
        <v>75485.698431111115</v>
      </c>
      <c r="M6" s="18">
        <v>75000</v>
      </c>
      <c r="N6" s="19">
        <f t="shared" ref="N6:N12" si="2">SUM(M6-L6)</f>
        <v>-485.6984311111155</v>
      </c>
      <c r="O6" s="289"/>
      <c r="P6" s="290"/>
    </row>
    <row r="7" spans="1:18">
      <c r="A7" s="13">
        <v>3</v>
      </c>
      <c r="B7" s="286" t="s">
        <v>169</v>
      </c>
      <c r="C7" s="286"/>
      <c r="D7" s="14">
        <v>43000</v>
      </c>
      <c r="E7" s="15">
        <f>IF(D7&gt;72800,19,IF(D7&lt;20008,1,MATCH(D7,勞健保清單!$A$3:$A$32,1)+1))</f>
        <v>29</v>
      </c>
      <c r="F7" s="16">
        <f>IF($B7="清潔員",0,IF(D7=0,0,IF(D7&lt;20008,D7*0.08,INDEX(勞健保清單!$B$3:$B$32,$E7,1))))</f>
        <v>3380.2999999999997</v>
      </c>
      <c r="G7" s="16">
        <f>IF($B7="清潔員",0,IF(D7=0,0,IF(D7&lt;20008,D7*0.08,INDEX(勞健保清單!$C$3:$C$32,$E7,1))))</f>
        <v>1988.90706</v>
      </c>
      <c r="H7" s="16">
        <f>IF($B7="清潔員",0,IF(D7=0,0,IF(D7&lt;20008,D7*0.08,INDEX(勞健保清單!$D$3:$D$32,$E7,1))))</f>
        <v>2634</v>
      </c>
      <c r="I7" s="7">
        <f t="shared" ref="I7:I10" si="3">IF($B7="清潔員",0,IF(D7=0,0,(((D7/30*7)+300+500+6000)/12)))</f>
        <v>1402.7777777777776</v>
      </c>
      <c r="J7" s="6">
        <f t="shared" ref="J7:J10" si="4">IF($B7="清潔員",0,IF(D7=0,0,M7*0.09))</f>
        <v>4950</v>
      </c>
      <c r="K7" s="17">
        <f t="shared" ref="K7:K10" si="5">IF($B7="清潔員",0,IF(D7=0,0,M7*0.05))</f>
        <v>2750</v>
      </c>
      <c r="L7" s="17">
        <f t="shared" ref="L7:L10" si="6">IF(D7=0,0,SUM(D7,F7,G7,H7,I7,J7,K7))</f>
        <v>60105.984837777782</v>
      </c>
      <c r="M7" s="18">
        <v>55000</v>
      </c>
      <c r="N7" s="19">
        <f t="shared" si="2"/>
        <v>-5105.9848377777816</v>
      </c>
      <c r="O7" s="289"/>
      <c r="P7" s="290"/>
      <c r="R7" s="66"/>
    </row>
    <row r="8" spans="1:18">
      <c r="A8" s="13">
        <v>4</v>
      </c>
      <c r="B8" s="286" t="s">
        <v>170</v>
      </c>
      <c r="C8" s="286"/>
      <c r="D8" s="14">
        <v>43000</v>
      </c>
      <c r="E8" s="15">
        <f>IF(D8&gt;72800,19,IF(D8&lt;20008,1,MATCH(D8,勞健保清單!$A$3:$A$32,1)+1))</f>
        <v>29</v>
      </c>
      <c r="F8" s="16">
        <f>IF($B8="清潔員",0,IF(D8=0,0,IF(D8&lt;20008,D8*0.08,INDEX(勞健保清單!$B$3:$B$32,$E8,1))))</f>
        <v>3380.2999999999997</v>
      </c>
      <c r="G8" s="16">
        <f>IF($B8="清潔員",0,IF(D8=0,0,IF(D8&lt;20008,D8*0.08,INDEX(勞健保清單!$C$3:$C$32,$E8,1))))</f>
        <v>1988.90706</v>
      </c>
      <c r="H8" s="16">
        <f>IF($B8="清潔員",0,IF(D8=0,0,IF(D8&lt;20008,D8*0.08,INDEX(勞健保清單!$D$3:$D$32,$E8,1))))</f>
        <v>2634</v>
      </c>
      <c r="I8" s="7">
        <f t="shared" ref="I8" si="7">IF($B8="清潔員",0,IF(D8=0,0,(((D8/30*7)+300+500+6000)/12)))</f>
        <v>1402.7777777777776</v>
      </c>
      <c r="J8" s="6">
        <f t="shared" ref="J8" si="8">IF($B8="清潔員",0,IF(D8=0,0,M8*0.09))</f>
        <v>4950</v>
      </c>
      <c r="K8" s="17">
        <f t="shared" ref="K8" si="9">IF($B8="清潔員",0,IF(D8=0,0,M8*0.05))</f>
        <v>2750</v>
      </c>
      <c r="L8" s="17">
        <f t="shared" ref="L8" si="10">IF(D8=0,0,SUM(D8,F8,G8,H8,I8,J8,K8))</f>
        <v>60105.984837777782</v>
      </c>
      <c r="M8" s="18">
        <v>55000</v>
      </c>
      <c r="N8" s="19">
        <f t="shared" ref="N8" si="11">SUM(M8-L8)</f>
        <v>-5105.9848377777816</v>
      </c>
      <c r="O8" s="289"/>
      <c r="P8" s="290"/>
      <c r="R8" s="66"/>
    </row>
    <row r="9" spans="1:18">
      <c r="A9" s="13">
        <v>4</v>
      </c>
      <c r="B9" s="286" t="s">
        <v>171</v>
      </c>
      <c r="C9" s="286"/>
      <c r="D9" s="14">
        <v>25000</v>
      </c>
      <c r="E9" s="15">
        <f>IF(D9&gt;72800,19,IF(D9&lt;20008,1,MATCH(D9,勞健保清單!$A$3:$A$32,1)+1))</f>
        <v>17</v>
      </c>
      <c r="F9" s="16">
        <f>IF($B9="清潔員",0,IF(D9=0,0,IF(D9&lt;20008,D9*0.08,INDEX(勞健保清單!$B$3:$B$32,$E9,1))))</f>
        <v>1940.3999999999999</v>
      </c>
      <c r="G9" s="16">
        <f>IF($B9="清潔員",0,IF(D9=0,0,IF(D9&lt;20008,D9*0.08,INDEX(勞健保清單!$C$3:$C$32,$E9,1))))</f>
        <v>1141.6960799999999</v>
      </c>
      <c r="H9" s="16">
        <f>IF($B9="清潔員",0,IF(D9=0,0,IF(D9&lt;20008,D9*0.08,INDEX(勞健保清單!$D$3:$D$32,$E9,1))))</f>
        <v>1512</v>
      </c>
      <c r="I9" s="7">
        <f t="shared" si="3"/>
        <v>1052.7777777777778</v>
      </c>
      <c r="J9" s="6">
        <f t="shared" si="4"/>
        <v>4950</v>
      </c>
      <c r="K9" s="17">
        <f t="shared" si="5"/>
        <v>2750</v>
      </c>
      <c r="L9" s="17">
        <f t="shared" si="6"/>
        <v>38346.873857777784</v>
      </c>
      <c r="M9" s="18">
        <v>55000</v>
      </c>
      <c r="N9" s="19">
        <f t="shared" si="2"/>
        <v>16653.126142222216</v>
      </c>
      <c r="O9" s="289"/>
      <c r="P9" s="290"/>
    </row>
    <row r="10" spans="1:18">
      <c r="A10" s="13">
        <v>5</v>
      </c>
      <c r="B10" s="286" t="s">
        <v>168</v>
      </c>
      <c r="C10" s="286"/>
      <c r="D10" s="14">
        <v>35000</v>
      </c>
      <c r="E10" s="15">
        <f>IF(D10&gt;72800,19,IF(D10&lt;20008,1,MATCH(D10,勞健保清單!$A$3:$A$32,1)+1))</f>
        <v>25</v>
      </c>
      <c r="F10" s="16">
        <f>IF($B10="清潔員",0,IF(D10=0,0,IF(D10&lt;20008,D10*0.08,INDEX(勞健保清單!$B$3:$B$32,$E10,1))))</f>
        <v>2795.1</v>
      </c>
      <c r="G10" s="16">
        <f>IF($B10="清潔員",0,IF(D10=0,0,IF(D10&lt;20008,D10*0.08,INDEX(勞健保清單!$C$3:$C$32,$E10,1))))</f>
        <v>1644.5860199999997</v>
      </c>
      <c r="H10" s="16">
        <f>IF($B10="清潔員",0,IF(D10=0,0,IF(D10&lt;20008,D10*0.08,INDEX(勞健保清單!$D$3:$D$32,$E10,1))))</f>
        <v>2178</v>
      </c>
      <c r="I10" s="7">
        <f t="shared" si="3"/>
        <v>1247.2222222222224</v>
      </c>
      <c r="J10" s="6">
        <f t="shared" si="4"/>
        <v>4050</v>
      </c>
      <c r="K10" s="17">
        <f t="shared" si="5"/>
        <v>2250</v>
      </c>
      <c r="L10" s="17">
        <f t="shared" si="6"/>
        <v>49164.90824222222</v>
      </c>
      <c r="M10" s="18">
        <v>45000</v>
      </c>
      <c r="N10" s="19">
        <f t="shared" si="2"/>
        <v>-4164.90824222222</v>
      </c>
      <c r="O10" s="289"/>
      <c r="P10" s="290"/>
    </row>
    <row r="11" spans="1:18">
      <c r="A11" s="13">
        <v>6</v>
      </c>
      <c r="B11" s="286" t="s">
        <v>174</v>
      </c>
      <c r="C11" s="286"/>
      <c r="D11" s="14">
        <v>35000</v>
      </c>
      <c r="E11" s="15">
        <f>IF(D11&gt;72800,19,IF(D11&lt;20008,1,MATCH(D11,勞健保清單!$A$3:$A$32,1)+1))</f>
        <v>25</v>
      </c>
      <c r="F11" s="16">
        <f>IF($B11="清潔員",0,IF(D11=0,0,IF(D11&lt;20008,D11*0.08,INDEX(勞健保清單!$B$3:$B$32,$E11,1))))</f>
        <v>2795.1</v>
      </c>
      <c r="G11" s="16">
        <f>IF($B11="清潔員",0,IF(D11=0,0,IF(D11&lt;20008,D11*0.08,INDEX(勞健保清單!$C$3:$C$32,$E11,1))))</f>
        <v>1644.5860199999997</v>
      </c>
      <c r="H11" s="16">
        <f>IF($B11="清潔員",0,IF(D11=0,0,IF(D11&lt;20008,D11*0.08,INDEX(勞健保清單!$D$3:$D$32,$E11,1))))</f>
        <v>2178</v>
      </c>
      <c r="I11" s="7">
        <f t="shared" ref="I11" si="12">IF($B11="清潔員",0,IF(D11=0,0,(((D11/30*7)+300+500+6000)/12)))</f>
        <v>1247.2222222222224</v>
      </c>
      <c r="J11" s="6">
        <f t="shared" ref="J11" si="13">IF($B11="清潔員",0,IF(D11=0,0,M11*0.09))</f>
        <v>4050</v>
      </c>
      <c r="K11" s="17">
        <f t="shared" ref="K11" si="14">IF($B11="清潔員",0,IF(D11=0,0,M11*0.05))</f>
        <v>2250</v>
      </c>
      <c r="L11" s="17">
        <f t="shared" ref="L11" si="15">IF(D11=0,0,SUM(D11,F11,G11,H11,I11,J11,K11))</f>
        <v>49164.90824222222</v>
      </c>
      <c r="M11" s="18">
        <v>45000</v>
      </c>
      <c r="N11" s="19">
        <f t="shared" ref="N11" si="16">SUM(M11-L11)</f>
        <v>-4164.90824222222</v>
      </c>
      <c r="O11" s="289"/>
      <c r="P11" s="290"/>
    </row>
    <row r="12" spans="1:18">
      <c r="A12" s="13"/>
      <c r="B12" s="291" t="s">
        <v>64</v>
      </c>
      <c r="C12" s="291"/>
      <c r="D12" s="14">
        <f>I25/12</f>
        <v>9166.6666666666661</v>
      </c>
      <c r="E12" s="15"/>
      <c r="F12" s="16"/>
      <c r="G12" s="16"/>
      <c r="H12" s="16"/>
      <c r="I12" s="7"/>
      <c r="J12" s="6"/>
      <c r="K12" s="17"/>
      <c r="L12" s="17">
        <f>D12</f>
        <v>9166.6666666666661</v>
      </c>
      <c r="M12" s="18"/>
      <c r="N12" s="19">
        <f t="shared" si="2"/>
        <v>-9166.6666666666661</v>
      </c>
      <c r="O12" s="289"/>
      <c r="P12" s="290"/>
    </row>
    <row r="13" spans="1:18">
      <c r="A13" s="303" t="s">
        <v>7</v>
      </c>
      <c r="B13" s="304"/>
      <c r="C13" s="304"/>
      <c r="D13" s="6">
        <f t="shared" ref="D13:N13" si="17">SUM(D6:D12)</f>
        <v>245166.66666666666</v>
      </c>
      <c r="E13" s="6">
        <f t="shared" si="17"/>
        <v>155</v>
      </c>
      <c r="F13" s="6">
        <f t="shared" si="17"/>
        <v>17817.8</v>
      </c>
      <c r="G13" s="6">
        <f t="shared" si="17"/>
        <v>10483.669559999998</v>
      </c>
      <c r="H13" s="6">
        <f t="shared" si="17"/>
        <v>13884</v>
      </c>
      <c r="I13" s="6">
        <f t="shared" si="17"/>
        <v>7988.8888888888887</v>
      </c>
      <c r="J13" s="6">
        <f t="shared" si="17"/>
        <v>29700</v>
      </c>
      <c r="K13" s="6">
        <f t="shared" si="17"/>
        <v>16500</v>
      </c>
      <c r="L13" s="6">
        <f t="shared" si="17"/>
        <v>341541.02511555562</v>
      </c>
      <c r="M13" s="20">
        <f t="shared" si="17"/>
        <v>330000</v>
      </c>
      <c r="N13" s="21">
        <f t="shared" si="17"/>
        <v>-11541.025115555569</v>
      </c>
      <c r="O13" s="289"/>
      <c r="P13" s="290"/>
    </row>
    <row r="14" spans="1:18">
      <c r="A14" s="307" t="s">
        <v>10</v>
      </c>
      <c r="B14" s="243"/>
      <c r="C14" s="243"/>
      <c r="D14" s="243"/>
      <c r="E14" s="243"/>
      <c r="F14" s="243"/>
      <c r="G14" s="243"/>
      <c r="H14" s="243"/>
      <c r="I14" s="243"/>
      <c r="J14" s="243"/>
      <c r="K14" s="243"/>
      <c r="L14" s="308"/>
      <c r="M14" s="20">
        <f>SUM(M13*0.05)</f>
        <v>16500</v>
      </c>
      <c r="N14" s="20"/>
      <c r="O14" s="289"/>
      <c r="P14" s="290"/>
    </row>
    <row r="15" spans="1:18" ht="17.5" thickBot="1">
      <c r="A15" s="309" t="s">
        <v>11</v>
      </c>
      <c r="B15" s="310"/>
      <c r="C15" s="310"/>
      <c r="D15" s="310"/>
      <c r="E15" s="310"/>
      <c r="F15" s="310"/>
      <c r="G15" s="310"/>
      <c r="H15" s="310"/>
      <c r="I15" s="310"/>
      <c r="J15" s="310"/>
      <c r="K15" s="310"/>
      <c r="L15" s="310"/>
      <c r="M15" s="22">
        <f>SUM(M13:M14)</f>
        <v>346500</v>
      </c>
      <c r="N15" s="23"/>
      <c r="O15" s="301"/>
      <c r="P15" s="302"/>
    </row>
    <row r="16" spans="1:18">
      <c r="A16" s="230" t="s">
        <v>4</v>
      </c>
      <c r="B16" s="231"/>
      <c r="C16" s="231"/>
      <c r="D16" s="24">
        <v>1</v>
      </c>
      <c r="E16" s="234" t="s">
        <v>31</v>
      </c>
      <c r="F16" s="234"/>
      <c r="G16" s="25">
        <f>M13</f>
        <v>330000</v>
      </c>
      <c r="H16" s="26" t="s">
        <v>32</v>
      </c>
      <c r="I16" s="27">
        <f>M15</f>
        <v>346500</v>
      </c>
      <c r="J16" s="227"/>
      <c r="K16" s="228"/>
      <c r="L16" s="228"/>
      <c r="M16" s="228"/>
      <c r="N16" s="228"/>
      <c r="O16" s="228"/>
      <c r="P16" s="229"/>
    </row>
    <row r="17" spans="1:16">
      <c r="A17" s="232"/>
      <c r="B17" s="233"/>
      <c r="C17" s="233"/>
      <c r="D17" s="8">
        <v>2</v>
      </c>
      <c r="E17" s="295" t="s">
        <v>178</v>
      </c>
      <c r="F17" s="296"/>
      <c r="G17" s="296"/>
      <c r="H17" s="296"/>
      <c r="I17" s="296"/>
      <c r="J17" s="296"/>
      <c r="K17" s="296"/>
      <c r="L17" s="296"/>
      <c r="M17" s="296"/>
      <c r="N17" s="296"/>
      <c r="O17" s="296"/>
      <c r="P17" s="297"/>
    </row>
    <row r="18" spans="1:16" ht="17.5" thickBot="1">
      <c r="A18" s="232"/>
      <c r="B18" s="233"/>
      <c r="C18" s="233"/>
      <c r="D18" s="8">
        <v>3</v>
      </c>
      <c r="E18" s="298"/>
      <c r="F18" s="299"/>
      <c r="G18" s="299"/>
      <c r="H18" s="299"/>
      <c r="I18" s="299"/>
      <c r="J18" s="299"/>
      <c r="K18" s="299"/>
      <c r="L18" s="299"/>
      <c r="M18" s="299"/>
      <c r="N18" s="299"/>
      <c r="O18" s="299"/>
      <c r="P18" s="300"/>
    </row>
    <row r="19" spans="1:16" ht="16.5" customHeight="1">
      <c r="A19" s="264" t="s">
        <v>41</v>
      </c>
      <c r="B19" s="265"/>
      <c r="C19" s="24" t="s">
        <v>1</v>
      </c>
      <c r="D19" s="270" t="s">
        <v>33</v>
      </c>
      <c r="E19" s="270"/>
      <c r="F19" s="270"/>
      <c r="G19" s="24" t="s">
        <v>5</v>
      </c>
      <c r="H19" s="24" t="s">
        <v>6</v>
      </c>
      <c r="I19" s="24" t="s">
        <v>8</v>
      </c>
      <c r="J19" s="227" t="s">
        <v>34</v>
      </c>
      <c r="K19" s="305"/>
      <c r="L19" s="305"/>
      <c r="M19" s="305"/>
      <c r="N19" s="305"/>
      <c r="O19" s="305"/>
      <c r="P19" s="306"/>
    </row>
    <row r="20" spans="1:16" ht="20.5" customHeight="1">
      <c r="A20" s="266"/>
      <c r="B20" s="267"/>
      <c r="C20" s="29">
        <v>1</v>
      </c>
      <c r="D20" s="209" t="s">
        <v>73</v>
      </c>
      <c r="E20" s="209"/>
      <c r="F20" s="210"/>
      <c r="G20" s="30">
        <v>8000</v>
      </c>
      <c r="H20" s="31">
        <v>2</v>
      </c>
      <c r="I20" s="32">
        <f t="shared" ref="I20:I24" si="18">G20*H20</f>
        <v>16000</v>
      </c>
      <c r="J20" s="292"/>
      <c r="K20" s="293"/>
      <c r="L20" s="293"/>
      <c r="M20" s="293"/>
      <c r="N20" s="293"/>
      <c r="O20" s="293"/>
      <c r="P20" s="294"/>
    </row>
    <row r="21" spans="1:16" ht="21.65" customHeight="1">
      <c r="A21" s="266"/>
      <c r="B21" s="267"/>
      <c r="C21" s="29">
        <v>2</v>
      </c>
      <c r="D21" s="209" t="s">
        <v>74</v>
      </c>
      <c r="E21" s="209"/>
      <c r="F21" s="210"/>
      <c r="G21" s="30">
        <v>4000</v>
      </c>
      <c r="H21" s="31">
        <v>2</v>
      </c>
      <c r="I21" s="32">
        <f t="shared" si="18"/>
        <v>8000</v>
      </c>
      <c r="J21" s="292"/>
      <c r="K21" s="293"/>
      <c r="L21" s="293"/>
      <c r="M21" s="293"/>
      <c r="N21" s="293"/>
      <c r="O21" s="293"/>
      <c r="P21" s="294"/>
    </row>
    <row r="22" spans="1:16" ht="21.65" customHeight="1">
      <c r="A22" s="266"/>
      <c r="B22" s="267"/>
      <c r="C22" s="29">
        <v>3</v>
      </c>
      <c r="D22" s="245" t="s">
        <v>179</v>
      </c>
      <c r="E22" s="246"/>
      <c r="F22" s="247"/>
      <c r="G22" s="33">
        <v>25000</v>
      </c>
      <c r="H22" s="31">
        <v>2</v>
      </c>
      <c r="I22" s="32">
        <f t="shared" si="18"/>
        <v>50000</v>
      </c>
      <c r="J22" s="206"/>
      <c r="K22" s="207"/>
      <c r="L22" s="207"/>
      <c r="M22" s="207"/>
      <c r="N22" s="207"/>
      <c r="O22" s="207"/>
      <c r="P22" s="208"/>
    </row>
    <row r="23" spans="1:16" ht="21.65" customHeight="1">
      <c r="A23" s="266"/>
      <c r="B23" s="267"/>
      <c r="C23" s="29">
        <v>4</v>
      </c>
      <c r="D23" s="209" t="s">
        <v>75</v>
      </c>
      <c r="E23" s="209"/>
      <c r="F23" s="210"/>
      <c r="G23" s="33">
        <v>2000</v>
      </c>
      <c r="H23" s="31">
        <v>12</v>
      </c>
      <c r="I23" s="32">
        <f t="shared" si="18"/>
        <v>24000</v>
      </c>
      <c r="J23" s="242" t="s">
        <v>175</v>
      </c>
      <c r="K23" s="243"/>
      <c r="L23" s="243"/>
      <c r="M23" s="243"/>
      <c r="N23" s="243"/>
      <c r="O23" s="243"/>
      <c r="P23" s="244"/>
    </row>
    <row r="24" spans="1:16" ht="21.65" customHeight="1">
      <c r="A24" s="266"/>
      <c r="B24" s="267"/>
      <c r="C24" s="29">
        <v>5</v>
      </c>
      <c r="D24" s="209" t="s">
        <v>76</v>
      </c>
      <c r="E24" s="209"/>
      <c r="F24" s="210"/>
      <c r="G24" s="33">
        <v>6000</v>
      </c>
      <c r="H24" s="31">
        <v>2</v>
      </c>
      <c r="I24" s="32">
        <f t="shared" si="18"/>
        <v>12000</v>
      </c>
      <c r="J24" s="242"/>
      <c r="K24" s="243"/>
      <c r="L24" s="243"/>
      <c r="M24" s="243"/>
      <c r="N24" s="243"/>
      <c r="O24" s="243"/>
      <c r="P24" s="244"/>
    </row>
    <row r="25" spans="1:16" ht="52.5" customHeight="1" thickBot="1">
      <c r="A25" s="268"/>
      <c r="B25" s="269"/>
      <c r="C25" s="263" t="s">
        <v>9</v>
      </c>
      <c r="D25" s="263"/>
      <c r="E25" s="263"/>
      <c r="F25" s="263"/>
      <c r="G25" s="263"/>
      <c r="H25" s="263"/>
      <c r="I25" s="34">
        <f>SUM(I20:I24)</f>
        <v>110000</v>
      </c>
      <c r="J25" s="239"/>
      <c r="K25" s="240"/>
      <c r="L25" s="240"/>
      <c r="M25" s="240"/>
      <c r="N25" s="240"/>
      <c r="O25" s="240"/>
      <c r="P25" s="241"/>
    </row>
    <row r="26" spans="1:16" ht="24.75" customHeight="1" thickBot="1">
      <c r="A26" s="28"/>
    </row>
    <row r="27" spans="1:16" ht="16.5" customHeight="1">
      <c r="A27" s="248" t="s">
        <v>16</v>
      </c>
      <c r="B27" s="249"/>
      <c r="C27" s="254"/>
      <c r="D27" s="255"/>
      <c r="E27" s="255"/>
      <c r="F27" s="255"/>
      <c r="G27" s="255"/>
      <c r="H27" s="255"/>
      <c r="I27" s="255"/>
      <c r="J27" s="256"/>
      <c r="K27" s="226" t="s">
        <v>38</v>
      </c>
      <c r="L27" s="218"/>
      <c r="M27" s="238" t="s">
        <v>177</v>
      </c>
      <c r="N27" s="214"/>
      <c r="O27" s="223" t="s">
        <v>42</v>
      </c>
      <c r="P27" s="224"/>
    </row>
    <row r="28" spans="1:16">
      <c r="A28" s="250"/>
      <c r="B28" s="251"/>
      <c r="C28" s="257"/>
      <c r="D28" s="258"/>
      <c r="E28" s="258"/>
      <c r="F28" s="258"/>
      <c r="G28" s="258"/>
      <c r="H28" s="258"/>
      <c r="I28" s="258"/>
      <c r="J28" s="259"/>
      <c r="K28" s="219"/>
      <c r="L28" s="220"/>
      <c r="M28" s="215"/>
      <c r="N28" s="215"/>
      <c r="O28" s="225"/>
      <c r="P28" s="211"/>
    </row>
    <row r="29" spans="1:16">
      <c r="A29" s="250"/>
      <c r="B29" s="251"/>
      <c r="C29" s="257"/>
      <c r="D29" s="258"/>
      <c r="E29" s="258"/>
      <c r="F29" s="258"/>
      <c r="G29" s="258"/>
      <c r="H29" s="258"/>
      <c r="I29" s="258"/>
      <c r="J29" s="259"/>
      <c r="K29" s="219"/>
      <c r="L29" s="220"/>
      <c r="M29" s="215"/>
      <c r="N29" s="215"/>
      <c r="O29" s="225" t="s">
        <v>176</v>
      </c>
      <c r="P29" s="211" t="s">
        <v>39</v>
      </c>
    </row>
    <row r="30" spans="1:16">
      <c r="A30" s="250"/>
      <c r="B30" s="251"/>
      <c r="C30" s="257"/>
      <c r="D30" s="258"/>
      <c r="E30" s="258"/>
      <c r="F30" s="258"/>
      <c r="G30" s="258"/>
      <c r="H30" s="258"/>
      <c r="I30" s="258"/>
      <c r="J30" s="259"/>
      <c r="K30" s="221"/>
      <c r="L30" s="222"/>
      <c r="M30" s="216"/>
      <c r="N30" s="216"/>
      <c r="O30" s="225"/>
      <c r="P30" s="211"/>
    </row>
    <row r="31" spans="1:16">
      <c r="A31" s="250"/>
      <c r="B31" s="251"/>
      <c r="C31" s="257"/>
      <c r="D31" s="258"/>
      <c r="E31" s="258"/>
      <c r="F31" s="258"/>
      <c r="G31" s="258"/>
      <c r="H31" s="258"/>
      <c r="I31" s="258"/>
      <c r="J31" s="259"/>
      <c r="K31" s="217"/>
      <c r="L31" s="218"/>
      <c r="M31" s="214"/>
      <c r="N31" s="214"/>
      <c r="O31" s="235"/>
      <c r="P31" s="212" t="s">
        <v>182</v>
      </c>
    </row>
    <row r="32" spans="1:16">
      <c r="A32" s="250"/>
      <c r="B32" s="251"/>
      <c r="C32" s="257"/>
      <c r="D32" s="258"/>
      <c r="E32" s="258"/>
      <c r="F32" s="258"/>
      <c r="G32" s="258"/>
      <c r="H32" s="258"/>
      <c r="I32" s="258"/>
      <c r="J32" s="259"/>
      <c r="K32" s="219"/>
      <c r="L32" s="220"/>
      <c r="M32" s="215"/>
      <c r="N32" s="215"/>
      <c r="O32" s="236"/>
      <c r="P32" s="212"/>
    </row>
    <row r="33" spans="1:16">
      <c r="A33" s="250"/>
      <c r="B33" s="251"/>
      <c r="C33" s="257"/>
      <c r="D33" s="258"/>
      <c r="E33" s="258"/>
      <c r="F33" s="258"/>
      <c r="G33" s="258"/>
      <c r="H33" s="258"/>
      <c r="I33" s="258"/>
      <c r="J33" s="259"/>
      <c r="K33" s="219"/>
      <c r="L33" s="220"/>
      <c r="M33" s="215"/>
      <c r="N33" s="215"/>
      <c r="O33" s="236"/>
      <c r="P33" s="212"/>
    </row>
    <row r="34" spans="1:16" ht="17.5" thickBot="1">
      <c r="A34" s="252"/>
      <c r="B34" s="253"/>
      <c r="C34" s="260"/>
      <c r="D34" s="261"/>
      <c r="E34" s="261"/>
      <c r="F34" s="261"/>
      <c r="G34" s="261"/>
      <c r="H34" s="261"/>
      <c r="I34" s="261"/>
      <c r="J34" s="262"/>
      <c r="K34" s="221"/>
      <c r="L34" s="222"/>
      <c r="M34" s="216"/>
      <c r="N34" s="216"/>
      <c r="O34" s="237"/>
      <c r="P34" s="213"/>
    </row>
  </sheetData>
  <sheetProtection formatCells="0"/>
  <protectedRanges>
    <protectedRange sqref="A16:IV34" name="範圍7"/>
    <protectedRange sqref="M6:M11 O4:P15" name="範圍6"/>
    <protectedRange sqref="A6:D12" name="範圍4"/>
    <protectedRange sqref="A1:IV3" name="範圍3"/>
    <protectedRange sqref="I5:I11" name="範圍8"/>
  </protectedRanges>
  <mergeCells count="59">
    <mergeCell ref="J19:P19"/>
    <mergeCell ref="O14:P14"/>
    <mergeCell ref="A14:L14"/>
    <mergeCell ref="A15:L15"/>
    <mergeCell ref="E17:P17"/>
    <mergeCell ref="E18:P18"/>
    <mergeCell ref="B8:C8"/>
    <mergeCell ref="O8:P8"/>
    <mergeCell ref="B11:C11"/>
    <mergeCell ref="O10:P10"/>
    <mergeCell ref="O11:P11"/>
    <mergeCell ref="O13:P13"/>
    <mergeCell ref="O15:P15"/>
    <mergeCell ref="A13:C13"/>
    <mergeCell ref="B6:C6"/>
    <mergeCell ref="M4:M5"/>
    <mergeCell ref="O6:P6"/>
    <mergeCell ref="B12:C12"/>
    <mergeCell ref="O12:P12"/>
    <mergeCell ref="B7:C7"/>
    <mergeCell ref="B9:C9"/>
    <mergeCell ref="O7:P7"/>
    <mergeCell ref="O9:P9"/>
    <mergeCell ref="B10:C10"/>
    <mergeCell ref="O1:P1"/>
    <mergeCell ref="O2:P2"/>
    <mergeCell ref="A4:A5"/>
    <mergeCell ref="B4:C5"/>
    <mergeCell ref="D4:L4"/>
    <mergeCell ref="O4:P5"/>
    <mergeCell ref="N4:N5"/>
    <mergeCell ref="A1:N2"/>
    <mergeCell ref="J16:P16"/>
    <mergeCell ref="A16:C18"/>
    <mergeCell ref="E16:F16"/>
    <mergeCell ref="D23:F23"/>
    <mergeCell ref="O31:O34"/>
    <mergeCell ref="M27:N30"/>
    <mergeCell ref="O29:O30"/>
    <mergeCell ref="J25:P25"/>
    <mergeCell ref="J24:P24"/>
    <mergeCell ref="D22:F22"/>
    <mergeCell ref="A27:B34"/>
    <mergeCell ref="C27:J34"/>
    <mergeCell ref="C25:H25"/>
    <mergeCell ref="A19:B25"/>
    <mergeCell ref="D19:F19"/>
    <mergeCell ref="J23:P23"/>
    <mergeCell ref="D20:F20"/>
    <mergeCell ref="D24:F24"/>
    <mergeCell ref="D21:F21"/>
    <mergeCell ref="P29:P30"/>
    <mergeCell ref="P31:P34"/>
    <mergeCell ref="M31:N34"/>
    <mergeCell ref="K31:L34"/>
    <mergeCell ref="O27:P28"/>
    <mergeCell ref="K27:L30"/>
    <mergeCell ref="J20:P20"/>
    <mergeCell ref="J21:P21"/>
  </mergeCells>
  <phoneticPr fontId="1" type="noConversion"/>
  <printOptions horizontalCentered="1" verticalCentered="1"/>
  <pageMargins left="0" right="0" top="0" bottom="0" header="0" footer="0"/>
  <pageSetup paperSize="9" scale="7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4"/>
  <sheetViews>
    <sheetView workbookViewId="0">
      <selection activeCell="D3" sqref="D3"/>
    </sheetView>
  </sheetViews>
  <sheetFormatPr defaultRowHeight="17"/>
  <cols>
    <col min="1" max="1" width="10.36328125" style="4" bestFit="1" customWidth="1"/>
    <col min="2" max="2" width="9" style="4"/>
    <col min="3" max="3" width="9.453125" style="4" bestFit="1" customWidth="1"/>
    <col min="4" max="4" width="9" style="5"/>
    <col min="5" max="5" width="9" style="2"/>
    <col min="6" max="6" width="4.36328125" style="412" customWidth="1"/>
    <col min="7" max="7" width="9" style="2"/>
  </cols>
  <sheetData>
    <row r="1" spans="1:6" ht="78.5" thickBot="1">
      <c r="A1" s="35" t="s">
        <v>26</v>
      </c>
      <c r="B1" s="36">
        <v>0.11</v>
      </c>
      <c r="C1" s="36">
        <v>4.6899999999999997E-2</v>
      </c>
      <c r="D1" s="36">
        <v>0.06</v>
      </c>
    </row>
    <row r="2" spans="1:6" ht="34.5" thickBot="1">
      <c r="A2" s="37" t="s">
        <v>27</v>
      </c>
      <c r="B2" s="38" t="s">
        <v>45</v>
      </c>
      <c r="C2" s="37" t="s">
        <v>28</v>
      </c>
      <c r="D2" s="39" t="s">
        <v>46</v>
      </c>
    </row>
    <row r="3" spans="1:6" ht="17.5" thickBot="1">
      <c r="A3" s="40">
        <v>11100</v>
      </c>
      <c r="B3" s="41">
        <f>SUM(A3*$B$1*0.7)</f>
        <v>854.69999999999993</v>
      </c>
      <c r="C3" s="41">
        <v>1046.5547399999998</v>
      </c>
      <c r="D3" s="41">
        <f t="shared" ref="D3:D18" si="0">SUM(A3*$D$1)</f>
        <v>666</v>
      </c>
      <c r="F3" s="412">
        <v>1</v>
      </c>
    </row>
    <row r="4" spans="1:6" ht="17.5" thickBot="1">
      <c r="A4" s="40">
        <v>12540</v>
      </c>
      <c r="B4" s="41">
        <f t="shared" ref="B3:B14" si="1">SUM(A4*$B$1*0.7)</f>
        <v>965.58</v>
      </c>
      <c r="C4" s="41">
        <v>1046.5547399999998</v>
      </c>
      <c r="D4" s="41">
        <f t="shared" si="0"/>
        <v>752.4</v>
      </c>
      <c r="F4" s="412">
        <v>2</v>
      </c>
    </row>
    <row r="5" spans="1:6" ht="17.5" thickBot="1">
      <c r="A5" s="40">
        <v>13500</v>
      </c>
      <c r="B5" s="41">
        <f t="shared" si="1"/>
        <v>1039.5</v>
      </c>
      <c r="C5" s="41">
        <v>1046.55474</v>
      </c>
      <c r="D5" s="41">
        <f t="shared" si="0"/>
        <v>810</v>
      </c>
      <c r="F5" s="412">
        <v>3</v>
      </c>
    </row>
    <row r="6" spans="1:6" ht="17.5" thickBot="1">
      <c r="A6" s="40">
        <v>15840</v>
      </c>
      <c r="B6" s="41">
        <f t="shared" si="1"/>
        <v>1219.68</v>
      </c>
      <c r="C6" s="41">
        <v>1046.5547399999998</v>
      </c>
      <c r="D6" s="41">
        <f t="shared" si="0"/>
        <v>950.4</v>
      </c>
      <c r="F6" s="412">
        <v>4</v>
      </c>
    </row>
    <row r="7" spans="1:6" ht="17.5" thickBot="1">
      <c r="A7" s="40">
        <v>16500</v>
      </c>
      <c r="B7" s="41">
        <f t="shared" si="1"/>
        <v>1270.5</v>
      </c>
      <c r="C7" s="41">
        <v>1046.5547399999998</v>
      </c>
      <c r="D7" s="41">
        <f t="shared" si="0"/>
        <v>990</v>
      </c>
      <c r="F7" s="412">
        <v>5</v>
      </c>
    </row>
    <row r="8" spans="1:6" ht="17.5" thickBot="1">
      <c r="A8" s="40">
        <v>17280</v>
      </c>
      <c r="B8" s="41">
        <f t="shared" si="1"/>
        <v>1330.56</v>
      </c>
      <c r="C8" s="41">
        <v>1046.5547399999998</v>
      </c>
      <c r="D8" s="41">
        <f t="shared" si="0"/>
        <v>1036.8</v>
      </c>
      <c r="F8" s="412">
        <v>6</v>
      </c>
    </row>
    <row r="9" spans="1:6" ht="17.5" thickBot="1">
      <c r="A9" s="40">
        <v>17880</v>
      </c>
      <c r="B9" s="41">
        <f t="shared" si="1"/>
        <v>1376.76</v>
      </c>
      <c r="C9" s="41">
        <v>1046.5547399999998</v>
      </c>
      <c r="D9" s="41">
        <f t="shared" si="0"/>
        <v>1072.8</v>
      </c>
      <c r="F9" s="412">
        <v>7</v>
      </c>
    </row>
    <row r="10" spans="1:6" ht="17.5" thickBot="1">
      <c r="A10" s="40">
        <v>19047</v>
      </c>
      <c r="B10" s="41">
        <f t="shared" si="1"/>
        <v>1466.6189999999999</v>
      </c>
      <c r="C10" s="41">
        <v>1046.5547399999998</v>
      </c>
      <c r="D10" s="41">
        <f t="shared" si="0"/>
        <v>1142.82</v>
      </c>
      <c r="F10" s="412">
        <v>8</v>
      </c>
    </row>
    <row r="11" spans="1:6" ht="17.5" thickBot="1">
      <c r="A11" s="40">
        <v>20008</v>
      </c>
      <c r="B11" s="41">
        <f t="shared" si="1"/>
        <v>1540.616</v>
      </c>
      <c r="C11" s="41">
        <v>1046.5547399999998</v>
      </c>
      <c r="D11" s="41">
        <f t="shared" si="0"/>
        <v>1200.48</v>
      </c>
      <c r="F11" s="412">
        <v>9</v>
      </c>
    </row>
    <row r="12" spans="1:6" ht="17.5" thickBot="1">
      <c r="A12" s="40">
        <v>20100</v>
      </c>
      <c r="B12" s="41">
        <f t="shared" si="1"/>
        <v>1547.6999999999998</v>
      </c>
      <c r="C12" s="41">
        <v>1046.5547399999998</v>
      </c>
      <c r="D12" s="41">
        <f t="shared" si="0"/>
        <v>1206</v>
      </c>
      <c r="F12" s="412">
        <v>10</v>
      </c>
    </row>
    <row r="13" spans="1:6" ht="17.5" thickBot="1">
      <c r="A13" s="40">
        <v>21000</v>
      </c>
      <c r="B13" s="41">
        <f t="shared" si="1"/>
        <v>1617</v>
      </c>
      <c r="C13" s="41">
        <v>1046.5547399999998</v>
      </c>
      <c r="D13" s="41">
        <f t="shared" si="0"/>
        <v>1260</v>
      </c>
      <c r="F13" s="412">
        <v>11</v>
      </c>
    </row>
    <row r="14" spans="1:6" ht="17.5" thickBot="1">
      <c r="A14" s="40">
        <v>21900</v>
      </c>
      <c r="B14" s="41">
        <f t="shared" si="1"/>
        <v>1686.3</v>
      </c>
      <c r="C14" s="41">
        <v>1046.5547399999998</v>
      </c>
      <c r="D14" s="41">
        <f t="shared" si="0"/>
        <v>1314</v>
      </c>
      <c r="F14" s="412">
        <v>12</v>
      </c>
    </row>
    <row r="15" spans="1:6" ht="17.5" thickBot="1">
      <c r="A15" s="42">
        <v>22000</v>
      </c>
      <c r="B15" s="41">
        <f>SUM(A15*$B$1*0.7)</f>
        <v>1694</v>
      </c>
      <c r="C15" s="41">
        <v>1046.5547399999998</v>
      </c>
      <c r="D15" s="41">
        <f t="shared" si="0"/>
        <v>1320</v>
      </c>
      <c r="F15" s="412">
        <v>13</v>
      </c>
    </row>
    <row r="16" spans="1:6" ht="17.5" thickBot="1">
      <c r="A16" s="42">
        <v>22800</v>
      </c>
      <c r="B16" s="41">
        <f t="shared" ref="B16:B32" si="2">SUM(A16*$B$1*0.7)</f>
        <v>1755.6</v>
      </c>
      <c r="C16" s="41">
        <v>1046.5547399999998</v>
      </c>
      <c r="D16" s="41">
        <f t="shared" si="0"/>
        <v>1368</v>
      </c>
      <c r="F16" s="412">
        <v>14</v>
      </c>
    </row>
    <row r="17" spans="1:6" ht="17.5" thickBot="1">
      <c r="A17" s="42">
        <v>23100</v>
      </c>
      <c r="B17" s="41">
        <f t="shared" si="2"/>
        <v>1778.6999999999998</v>
      </c>
      <c r="C17" s="41">
        <f t="shared" ref="C17:C42" si="3">SUM(A17*$C$1*1.61*0.6)</f>
        <v>1046.5547399999998</v>
      </c>
      <c r="D17" s="41">
        <f t="shared" si="0"/>
        <v>1386</v>
      </c>
      <c r="F17" s="412">
        <v>15</v>
      </c>
    </row>
    <row r="18" spans="1:6" ht="17.5" thickBot="1">
      <c r="A18" s="42">
        <v>24000</v>
      </c>
      <c r="B18" s="41">
        <f t="shared" si="2"/>
        <v>1847.9999999999998</v>
      </c>
      <c r="C18" s="41">
        <f t="shared" si="3"/>
        <v>1087.3295999999998</v>
      </c>
      <c r="D18" s="41">
        <f t="shared" si="0"/>
        <v>1440</v>
      </c>
      <c r="F18" s="412">
        <v>16</v>
      </c>
    </row>
    <row r="19" spans="1:6" ht="17.5" thickBot="1">
      <c r="A19" s="42">
        <v>25200</v>
      </c>
      <c r="B19" s="41">
        <f t="shared" si="2"/>
        <v>1940.3999999999999</v>
      </c>
      <c r="C19" s="41">
        <f t="shared" si="3"/>
        <v>1141.6960799999999</v>
      </c>
      <c r="D19" s="41">
        <f>SUM(A19*$D$1)</f>
        <v>1512</v>
      </c>
      <c r="F19" s="412">
        <v>17</v>
      </c>
    </row>
    <row r="20" spans="1:6" ht="17.5" thickBot="1">
      <c r="A20" s="42">
        <v>26400</v>
      </c>
      <c r="B20" s="41">
        <f t="shared" si="2"/>
        <v>2032.8</v>
      </c>
      <c r="C20" s="41">
        <f t="shared" si="3"/>
        <v>1196.0625599999998</v>
      </c>
      <c r="D20" s="41">
        <f t="shared" ref="D20:D42" si="4">SUM(A20*$D$1)</f>
        <v>1584</v>
      </c>
      <c r="F20" s="412">
        <v>18</v>
      </c>
    </row>
    <row r="21" spans="1:6" ht="17.5" thickBot="1">
      <c r="A21" s="42">
        <v>27600</v>
      </c>
      <c r="B21" s="41">
        <f t="shared" si="2"/>
        <v>2125.1999999999998</v>
      </c>
      <c r="C21" s="41">
        <f t="shared" si="3"/>
        <v>1250.4290399999998</v>
      </c>
      <c r="D21" s="41">
        <f t="shared" si="4"/>
        <v>1656</v>
      </c>
      <c r="F21" s="412">
        <v>19</v>
      </c>
    </row>
    <row r="22" spans="1:6" ht="17.5" thickBot="1">
      <c r="A22" s="42">
        <v>28800</v>
      </c>
      <c r="B22" s="41">
        <f t="shared" si="2"/>
        <v>2217.6</v>
      </c>
      <c r="C22" s="41">
        <f t="shared" si="3"/>
        <v>1304.7955199999999</v>
      </c>
      <c r="D22" s="41">
        <f t="shared" si="4"/>
        <v>1728</v>
      </c>
      <c r="F22" s="412">
        <v>20</v>
      </c>
    </row>
    <row r="23" spans="1:6" ht="17.5" thickBot="1">
      <c r="A23" s="42">
        <v>30300</v>
      </c>
      <c r="B23" s="41">
        <f t="shared" si="2"/>
        <v>2333.1</v>
      </c>
      <c r="C23" s="41">
        <f t="shared" si="3"/>
        <v>1372.75362</v>
      </c>
      <c r="D23" s="41">
        <f t="shared" si="4"/>
        <v>1818</v>
      </c>
      <c r="F23" s="412">
        <v>21</v>
      </c>
    </row>
    <row r="24" spans="1:6" ht="17.5" thickBot="1">
      <c r="A24" s="42">
        <v>31800</v>
      </c>
      <c r="B24" s="41">
        <f t="shared" si="2"/>
        <v>2448.6</v>
      </c>
      <c r="C24" s="41">
        <f t="shared" si="3"/>
        <v>1440.71172</v>
      </c>
      <c r="D24" s="41">
        <f t="shared" si="4"/>
        <v>1908</v>
      </c>
      <c r="F24" s="412">
        <v>22</v>
      </c>
    </row>
    <row r="25" spans="1:6" ht="17.5" thickBot="1">
      <c r="A25" s="42">
        <v>33300</v>
      </c>
      <c r="B25" s="41">
        <f t="shared" si="2"/>
        <v>2564.1</v>
      </c>
      <c r="C25" s="41">
        <f t="shared" si="3"/>
        <v>1508.6698200000001</v>
      </c>
      <c r="D25" s="41">
        <f t="shared" si="4"/>
        <v>1998</v>
      </c>
      <c r="F25" s="412">
        <v>23</v>
      </c>
    </row>
    <row r="26" spans="1:6" ht="17.5" thickBot="1">
      <c r="A26" s="42">
        <v>34800</v>
      </c>
      <c r="B26" s="41">
        <f t="shared" si="2"/>
        <v>2679.6</v>
      </c>
      <c r="C26" s="41">
        <f t="shared" si="3"/>
        <v>1576.6279200000001</v>
      </c>
      <c r="D26" s="41">
        <f t="shared" si="4"/>
        <v>2088</v>
      </c>
      <c r="F26" s="412">
        <v>24</v>
      </c>
    </row>
    <row r="27" spans="1:6" ht="17.5" thickBot="1">
      <c r="A27" s="42">
        <v>36300</v>
      </c>
      <c r="B27" s="41">
        <f t="shared" si="2"/>
        <v>2795.1</v>
      </c>
      <c r="C27" s="41">
        <f t="shared" si="3"/>
        <v>1644.5860199999997</v>
      </c>
      <c r="D27" s="41">
        <f t="shared" si="4"/>
        <v>2178</v>
      </c>
      <c r="F27" s="412">
        <v>25</v>
      </c>
    </row>
    <row r="28" spans="1:6" ht="17.5" thickBot="1">
      <c r="A28" s="42">
        <v>38200</v>
      </c>
      <c r="B28" s="41">
        <f t="shared" si="2"/>
        <v>2941.3999999999996</v>
      </c>
      <c r="C28" s="41">
        <f t="shared" si="3"/>
        <v>1730.6662799999999</v>
      </c>
      <c r="D28" s="41">
        <f t="shared" si="4"/>
        <v>2292</v>
      </c>
      <c r="F28" s="412">
        <v>26</v>
      </c>
    </row>
    <row r="29" spans="1:6" ht="17.5" thickBot="1">
      <c r="A29" s="42">
        <v>40100</v>
      </c>
      <c r="B29" s="41">
        <f t="shared" si="2"/>
        <v>3087.7</v>
      </c>
      <c r="C29" s="41">
        <f t="shared" si="3"/>
        <v>1816.7465399999999</v>
      </c>
      <c r="D29" s="41">
        <f t="shared" si="4"/>
        <v>2406</v>
      </c>
      <c r="F29" s="412">
        <v>27</v>
      </c>
    </row>
    <row r="30" spans="1:6" ht="17.5" thickBot="1">
      <c r="A30" s="42">
        <v>42000</v>
      </c>
      <c r="B30" s="41">
        <f t="shared" si="2"/>
        <v>3234</v>
      </c>
      <c r="C30" s="41">
        <f t="shared" si="3"/>
        <v>1902.8268</v>
      </c>
      <c r="D30" s="41">
        <f t="shared" si="4"/>
        <v>2520</v>
      </c>
      <c r="F30" s="412">
        <v>28</v>
      </c>
    </row>
    <row r="31" spans="1:6" ht="17.5" thickBot="1">
      <c r="A31" s="42">
        <v>43900</v>
      </c>
      <c r="B31" s="41">
        <f t="shared" si="2"/>
        <v>3380.2999999999997</v>
      </c>
      <c r="C31" s="41">
        <f t="shared" si="3"/>
        <v>1988.90706</v>
      </c>
      <c r="D31" s="41">
        <f t="shared" si="4"/>
        <v>2634</v>
      </c>
      <c r="F31" s="412">
        <v>29</v>
      </c>
    </row>
    <row r="32" spans="1:6" ht="17.5" thickBot="1">
      <c r="A32" s="42">
        <v>45800</v>
      </c>
      <c r="B32" s="41">
        <f t="shared" si="2"/>
        <v>3526.6</v>
      </c>
      <c r="C32" s="41">
        <f t="shared" si="3"/>
        <v>2074.9873200000002</v>
      </c>
      <c r="D32" s="41">
        <f t="shared" si="4"/>
        <v>2748</v>
      </c>
      <c r="F32" s="412">
        <v>30</v>
      </c>
    </row>
    <row r="33" spans="1:6" ht="17.5" thickBot="1">
      <c r="A33" s="40">
        <v>48200</v>
      </c>
      <c r="B33" s="41">
        <f t="shared" ref="B33:B42" si="5">SUM($B$44*$B$1*0.7)</f>
        <v>3526.6</v>
      </c>
      <c r="C33" s="41">
        <f t="shared" si="3"/>
        <v>2183.72028</v>
      </c>
      <c r="D33" s="41">
        <f t="shared" si="4"/>
        <v>2892</v>
      </c>
      <c r="F33" s="412">
        <v>31</v>
      </c>
    </row>
    <row r="34" spans="1:6" ht="17.5" thickBot="1">
      <c r="A34" s="40">
        <v>50600</v>
      </c>
      <c r="B34" s="41">
        <f t="shared" si="5"/>
        <v>3526.6</v>
      </c>
      <c r="C34" s="41">
        <f t="shared" si="3"/>
        <v>2292.4532399999998</v>
      </c>
      <c r="D34" s="41">
        <f t="shared" si="4"/>
        <v>3036</v>
      </c>
      <c r="F34" s="412">
        <v>32</v>
      </c>
    </row>
    <row r="35" spans="1:6" ht="17.5" thickBot="1">
      <c r="A35" s="40">
        <v>53000</v>
      </c>
      <c r="B35" s="41">
        <f t="shared" si="5"/>
        <v>3526.6</v>
      </c>
      <c r="C35" s="41">
        <f t="shared" si="3"/>
        <v>2401.1861999999996</v>
      </c>
      <c r="D35" s="41">
        <f t="shared" si="4"/>
        <v>3180</v>
      </c>
      <c r="F35" s="412">
        <v>33</v>
      </c>
    </row>
    <row r="36" spans="1:6" ht="17.5" thickBot="1">
      <c r="A36" s="40">
        <v>55400</v>
      </c>
      <c r="B36" s="41">
        <f t="shared" si="5"/>
        <v>3526.6</v>
      </c>
      <c r="C36" s="41">
        <f t="shared" si="3"/>
        <v>2509.9191599999999</v>
      </c>
      <c r="D36" s="41">
        <f t="shared" si="4"/>
        <v>3324</v>
      </c>
      <c r="F36" s="412">
        <v>34</v>
      </c>
    </row>
    <row r="37" spans="1:6" ht="17.5" thickBot="1">
      <c r="A37" s="40">
        <v>57800</v>
      </c>
      <c r="B37" s="41">
        <f t="shared" si="5"/>
        <v>3526.6</v>
      </c>
      <c r="C37" s="41">
        <f t="shared" si="3"/>
        <v>2618.6521199999997</v>
      </c>
      <c r="D37" s="41">
        <f t="shared" si="4"/>
        <v>3468</v>
      </c>
      <c r="F37" s="412">
        <v>35</v>
      </c>
    </row>
    <row r="38" spans="1:6" ht="17.5" thickBot="1">
      <c r="A38" s="40">
        <v>60800</v>
      </c>
      <c r="B38" s="41">
        <f t="shared" si="5"/>
        <v>3526.6</v>
      </c>
      <c r="C38" s="41">
        <f t="shared" si="3"/>
        <v>2754.5683200000003</v>
      </c>
      <c r="D38" s="41">
        <f t="shared" si="4"/>
        <v>3648</v>
      </c>
      <c r="F38" s="412">
        <v>36</v>
      </c>
    </row>
    <row r="39" spans="1:6" ht="17.5" thickBot="1">
      <c r="A39" s="40">
        <v>63800</v>
      </c>
      <c r="B39" s="41">
        <f t="shared" si="5"/>
        <v>3526.6</v>
      </c>
      <c r="C39" s="41">
        <f t="shared" si="3"/>
        <v>2890.4845199999995</v>
      </c>
      <c r="D39" s="41">
        <f t="shared" si="4"/>
        <v>3828</v>
      </c>
      <c r="F39" s="412">
        <v>37</v>
      </c>
    </row>
    <row r="40" spans="1:6" ht="17.5" thickBot="1">
      <c r="A40" s="40">
        <v>66800</v>
      </c>
      <c r="B40" s="41">
        <f t="shared" si="5"/>
        <v>3526.6</v>
      </c>
      <c r="C40" s="41">
        <f t="shared" si="3"/>
        <v>3026.4007199999996</v>
      </c>
      <c r="D40" s="41">
        <f t="shared" si="4"/>
        <v>4008</v>
      </c>
      <c r="F40" s="412">
        <v>38</v>
      </c>
    </row>
    <row r="41" spans="1:6" ht="17.5" thickBot="1">
      <c r="A41" s="40">
        <v>69800</v>
      </c>
      <c r="B41" s="41">
        <f t="shared" si="5"/>
        <v>3526.6</v>
      </c>
      <c r="C41" s="41">
        <f t="shared" si="3"/>
        <v>3162.3169199999998</v>
      </c>
      <c r="D41" s="41">
        <f t="shared" si="4"/>
        <v>4188</v>
      </c>
      <c r="F41" s="412">
        <v>39</v>
      </c>
    </row>
    <row r="42" spans="1:6" ht="17.5" thickBot="1">
      <c r="A42" s="40">
        <v>72800</v>
      </c>
      <c r="B42" s="41">
        <f t="shared" si="5"/>
        <v>3526.6</v>
      </c>
      <c r="C42" s="41">
        <f t="shared" si="3"/>
        <v>3298.2331199999999</v>
      </c>
      <c r="D42" s="41">
        <f t="shared" si="4"/>
        <v>4368</v>
      </c>
      <c r="F42" s="412">
        <v>40</v>
      </c>
    </row>
    <row r="43" spans="1:6" ht="17.5" thickBot="1"/>
    <row r="44" spans="1:6" ht="17.5" thickBot="1">
      <c r="A44" s="43" t="s">
        <v>47</v>
      </c>
      <c r="B44" s="44">
        <v>45800</v>
      </c>
      <c r="C44" s="43" t="s">
        <v>48</v>
      </c>
      <c r="D44" s="44">
        <v>23100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7"/>
  <sheetViews>
    <sheetView workbookViewId="0">
      <selection activeCell="B15" sqref="B15"/>
    </sheetView>
  </sheetViews>
  <sheetFormatPr defaultRowHeight="17"/>
  <cols>
    <col min="1" max="2" width="9" style="2"/>
    <col min="3" max="3" width="26.7265625" style="2" customWidth="1"/>
    <col min="4" max="7" width="9" style="2"/>
  </cols>
  <sheetData>
    <row r="2" spans="1:5">
      <c r="A2" s="1" t="s">
        <v>17</v>
      </c>
      <c r="B2" s="2">
        <v>22700</v>
      </c>
      <c r="C2" s="2">
        <f>INDEX([1]勞健保清單!B3:B21,B4,1)</f>
        <v>1596</v>
      </c>
      <c r="D2" s="2">
        <f>INDEX([1]勞健保清單!C3:C21,B4,1)</f>
        <v>1088</v>
      </c>
      <c r="E2" s="2">
        <f>INDEX([1]勞健保清單!D3:D21,B4,1)</f>
        <v>1368</v>
      </c>
    </row>
    <row r="4" spans="1:5" ht="100">
      <c r="A4" s="1" t="s">
        <v>18</v>
      </c>
      <c r="B4" s="2">
        <f>MATCH(B2,[1]勞健保清單!A3:A21,1)+1</f>
        <v>5</v>
      </c>
      <c r="C4" s="1" t="s">
        <v>19</v>
      </c>
      <c r="D4" s="1" t="s">
        <v>20</v>
      </c>
    </row>
    <row r="5" spans="1:5" ht="27">
      <c r="A5" s="3" t="s">
        <v>21</v>
      </c>
      <c r="B5" s="2">
        <f>INDEX([1]勞健保清單!B3:B21,B4,1)</f>
        <v>1596</v>
      </c>
      <c r="C5" s="1" t="s">
        <v>22</v>
      </c>
    </row>
    <row r="6" spans="1:5" ht="27">
      <c r="A6" s="3" t="s">
        <v>23</v>
      </c>
      <c r="B6" s="2">
        <f t="array" ref="B6">INDEX([1]勞健保清單!C3:C21,B4,1)</f>
        <v>1088</v>
      </c>
      <c r="C6" s="1" t="s">
        <v>24</v>
      </c>
    </row>
    <row r="7" spans="1:5">
      <c r="A7" s="3" t="s">
        <v>25</v>
      </c>
      <c r="B7" s="2">
        <f t="array" ref="B7">INDEX([1]勞健保清單!D3:D21,B4,1)</f>
        <v>1368</v>
      </c>
      <c r="C7" s="1"/>
    </row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19"/>
  <sheetViews>
    <sheetView zoomScale="80" zoomScaleNormal="80" workbookViewId="0">
      <selection activeCell="F8" sqref="F8:G8"/>
    </sheetView>
  </sheetViews>
  <sheetFormatPr defaultRowHeight="17"/>
  <cols>
    <col min="6" max="7" width="12.6328125" customWidth="1"/>
    <col min="9" max="9" width="14.6328125" customWidth="1"/>
    <col min="10" max="10" width="16.36328125" customWidth="1"/>
    <col min="11" max="11" width="17.453125" customWidth="1"/>
  </cols>
  <sheetData>
    <row r="1" spans="1:16" ht="89.25" customHeight="1">
      <c r="A1" s="319" t="s">
        <v>63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</row>
    <row r="2" spans="1:16" ht="58.5" customHeight="1">
      <c r="A2" s="45"/>
      <c r="B2" s="45"/>
      <c r="C2" s="45"/>
      <c r="D2" s="45"/>
      <c r="E2" s="320" t="s">
        <v>49</v>
      </c>
      <c r="F2" s="320"/>
      <c r="G2" s="320"/>
      <c r="H2" s="320"/>
      <c r="I2" s="320"/>
      <c r="J2" s="46" t="s">
        <v>50</v>
      </c>
      <c r="K2" s="321">
        <f ca="1">TODAY()</f>
        <v>45293</v>
      </c>
      <c r="L2" s="321"/>
    </row>
    <row r="3" spans="1:16" ht="42.75" customHeight="1" thickBot="1">
      <c r="A3" s="47"/>
      <c r="B3" s="48"/>
      <c r="C3" s="48"/>
      <c r="D3" s="48"/>
      <c r="E3" s="48"/>
      <c r="F3" s="49"/>
      <c r="G3" s="49"/>
      <c r="H3" s="49"/>
      <c r="I3" s="49"/>
      <c r="J3" s="50"/>
      <c r="K3" s="51"/>
    </row>
    <row r="4" spans="1:16" ht="46.5" customHeight="1" thickTop="1">
      <c r="A4" s="52"/>
      <c r="B4" s="322" t="s">
        <v>51</v>
      </c>
      <c r="C4" s="323"/>
      <c r="D4" s="324" t="s">
        <v>78</v>
      </c>
      <c r="E4" s="324"/>
      <c r="F4" s="324"/>
      <c r="G4" s="324"/>
      <c r="H4" s="325" t="s">
        <v>69</v>
      </c>
      <c r="I4" s="326"/>
      <c r="J4" s="326"/>
      <c r="K4" s="327"/>
      <c r="L4" s="53"/>
    </row>
    <row r="5" spans="1:16" ht="46.5" customHeight="1">
      <c r="A5" s="54"/>
      <c r="B5" s="328" t="s">
        <v>52</v>
      </c>
      <c r="C5" s="329"/>
      <c r="D5" s="330" t="s">
        <v>70</v>
      </c>
      <c r="E5" s="330"/>
      <c r="F5" s="330"/>
      <c r="G5" s="330"/>
      <c r="H5" s="330"/>
      <c r="I5" s="330"/>
      <c r="J5" s="330"/>
      <c r="K5" s="331"/>
      <c r="L5" s="54"/>
      <c r="P5" s="18">
        <v>62000</v>
      </c>
    </row>
    <row r="6" spans="1:16" ht="42.75" customHeight="1">
      <c r="A6" s="54"/>
      <c r="B6" s="332" t="s">
        <v>53</v>
      </c>
      <c r="C6" s="333"/>
      <c r="D6" s="334" t="s">
        <v>54</v>
      </c>
      <c r="E6" s="334"/>
      <c r="F6" s="334" t="s">
        <v>55</v>
      </c>
      <c r="G6" s="334"/>
      <c r="H6" s="55" t="s">
        <v>56</v>
      </c>
      <c r="I6" s="55" t="s">
        <v>57</v>
      </c>
      <c r="J6" s="334" t="s">
        <v>58</v>
      </c>
      <c r="K6" s="335"/>
      <c r="L6" s="54"/>
      <c r="P6" s="18">
        <v>43000</v>
      </c>
    </row>
    <row r="7" spans="1:16" ht="42.75" customHeight="1">
      <c r="A7" s="56"/>
      <c r="B7" s="332"/>
      <c r="C7" s="333"/>
      <c r="D7" s="315" t="str">
        <f>終版!B6</f>
        <v>社區經理</v>
      </c>
      <c r="E7" s="316"/>
      <c r="F7" s="313" t="s">
        <v>66</v>
      </c>
      <c r="G7" s="314"/>
      <c r="H7" s="57">
        <v>1</v>
      </c>
      <c r="I7" s="58">
        <f>終版!M6</f>
        <v>75000</v>
      </c>
      <c r="J7" s="311">
        <f>I7*H7</f>
        <v>75000</v>
      </c>
      <c r="K7" s="312"/>
      <c r="L7" s="56"/>
      <c r="P7" s="18">
        <v>43000</v>
      </c>
    </row>
    <row r="8" spans="1:16" ht="42.75" customHeight="1">
      <c r="A8" s="56"/>
      <c r="B8" s="332"/>
      <c r="C8" s="333"/>
      <c r="D8" s="315" t="s">
        <v>167</v>
      </c>
      <c r="E8" s="316"/>
      <c r="F8" s="313" t="s">
        <v>65</v>
      </c>
      <c r="G8" s="314"/>
      <c r="H8" s="57">
        <v>3</v>
      </c>
      <c r="I8" s="58" t="e">
        <f>終版!#REF!</f>
        <v>#REF!</v>
      </c>
      <c r="J8" s="311" t="e">
        <f>I8*H8</f>
        <v>#REF!</v>
      </c>
      <c r="K8" s="312"/>
      <c r="L8" s="56"/>
      <c r="P8" s="18">
        <v>43000</v>
      </c>
    </row>
    <row r="9" spans="1:16" ht="42.75" customHeight="1">
      <c r="A9" s="56"/>
      <c r="B9" s="332"/>
      <c r="C9" s="333"/>
      <c r="D9" s="315" t="s">
        <v>172</v>
      </c>
      <c r="E9" s="316"/>
      <c r="F9" s="313" t="s">
        <v>71</v>
      </c>
      <c r="G9" s="314"/>
      <c r="H9" s="57">
        <v>2</v>
      </c>
      <c r="I9" s="58">
        <f>終版!M10</f>
        <v>45000</v>
      </c>
      <c r="J9" s="311">
        <f>I9*H9</f>
        <v>90000</v>
      </c>
      <c r="K9" s="312"/>
      <c r="L9" s="56"/>
      <c r="P9" s="18">
        <v>38000</v>
      </c>
    </row>
    <row r="10" spans="1:16" ht="42.75" customHeight="1">
      <c r="A10" s="56"/>
      <c r="B10" s="332"/>
      <c r="C10" s="333"/>
      <c r="D10" s="61"/>
      <c r="E10" s="60"/>
      <c r="F10" s="62"/>
      <c r="G10" s="63"/>
      <c r="H10" s="57"/>
      <c r="I10" s="58"/>
      <c r="J10" s="64"/>
      <c r="K10" s="65"/>
      <c r="L10" s="56"/>
    </row>
    <row r="11" spans="1:16" ht="42.75" customHeight="1">
      <c r="A11" s="56"/>
      <c r="B11" s="332"/>
      <c r="C11" s="333"/>
      <c r="D11" s="315"/>
      <c r="E11" s="316"/>
      <c r="F11" s="317"/>
      <c r="G11" s="318"/>
      <c r="H11" s="57"/>
      <c r="I11" s="58"/>
      <c r="J11" s="341"/>
      <c r="K11" s="342"/>
      <c r="L11" s="56"/>
    </row>
    <row r="12" spans="1:16" ht="42.75" customHeight="1">
      <c r="A12" s="56"/>
      <c r="B12" s="332"/>
      <c r="C12" s="333"/>
      <c r="D12" s="315"/>
      <c r="E12" s="316"/>
      <c r="F12" s="343"/>
      <c r="G12" s="344"/>
      <c r="H12" s="57"/>
      <c r="I12" s="58"/>
      <c r="J12" s="341"/>
      <c r="K12" s="342"/>
      <c r="L12" s="56"/>
    </row>
    <row r="13" spans="1:16" ht="42.75" customHeight="1">
      <c r="A13" s="56"/>
      <c r="B13" s="332"/>
      <c r="C13" s="333"/>
      <c r="D13" s="338" t="s">
        <v>68</v>
      </c>
      <c r="E13" s="339"/>
      <c r="F13" s="339"/>
      <c r="G13" s="340"/>
      <c r="H13" s="57"/>
      <c r="I13" s="57"/>
      <c r="J13" s="336" t="e">
        <f>SUM(J7:J12)</f>
        <v>#REF!</v>
      </c>
      <c r="K13" s="337"/>
      <c r="L13" s="56"/>
    </row>
    <row r="14" spans="1:16" ht="42.75" customHeight="1">
      <c r="A14" s="56"/>
      <c r="B14" s="332"/>
      <c r="C14" s="333"/>
      <c r="D14" s="338" t="s">
        <v>67</v>
      </c>
      <c r="E14" s="339"/>
      <c r="F14" s="339"/>
      <c r="G14" s="340"/>
      <c r="H14" s="57"/>
      <c r="I14" s="57"/>
      <c r="J14" s="336" t="e">
        <f>J13*0.05</f>
        <v>#REF!</v>
      </c>
      <c r="K14" s="337"/>
      <c r="L14" s="56"/>
    </row>
    <row r="15" spans="1:16" ht="42.75" customHeight="1">
      <c r="A15" s="56"/>
      <c r="B15" s="332"/>
      <c r="C15" s="333"/>
      <c r="D15" s="351" t="s">
        <v>59</v>
      </c>
      <c r="E15" s="351"/>
      <c r="F15" s="351"/>
      <c r="G15" s="351"/>
      <c r="H15" s="59"/>
      <c r="I15" s="59"/>
      <c r="J15" s="336" t="e">
        <f>J13+J14</f>
        <v>#REF!</v>
      </c>
      <c r="K15" s="337"/>
      <c r="L15" s="56"/>
    </row>
    <row r="16" spans="1:16" ht="293.5" customHeight="1">
      <c r="A16" s="56"/>
      <c r="B16" s="332" t="s">
        <v>60</v>
      </c>
      <c r="C16" s="333"/>
      <c r="D16" s="352" t="s">
        <v>72</v>
      </c>
      <c r="E16" s="352"/>
      <c r="F16" s="352"/>
      <c r="G16" s="352"/>
      <c r="H16" s="352"/>
      <c r="I16" s="352"/>
      <c r="J16" s="352"/>
      <c r="K16" s="353"/>
      <c r="L16" s="56"/>
    </row>
    <row r="17" spans="1:12" ht="45" customHeight="1">
      <c r="B17" s="354" t="s">
        <v>61</v>
      </c>
      <c r="C17" s="355"/>
      <c r="D17" s="355"/>
      <c r="E17" s="355"/>
      <c r="F17" s="355"/>
      <c r="G17" s="316"/>
      <c r="H17" s="315" t="s">
        <v>62</v>
      </c>
      <c r="I17" s="355"/>
      <c r="J17" s="355"/>
      <c r="K17" s="356"/>
    </row>
    <row r="18" spans="1:12" ht="94.9" customHeight="1" thickBot="1">
      <c r="B18" s="345"/>
      <c r="C18" s="346"/>
      <c r="D18" s="346"/>
      <c r="E18" s="346"/>
      <c r="F18" s="346"/>
      <c r="G18" s="347"/>
      <c r="H18" s="348"/>
      <c r="I18" s="346"/>
      <c r="J18" s="346"/>
      <c r="K18" s="349"/>
    </row>
    <row r="19" spans="1:12" ht="32.25" customHeight="1" thickTop="1">
      <c r="A19" s="56"/>
      <c r="B19" s="350" t="s">
        <v>77</v>
      </c>
      <c r="C19" s="350"/>
      <c r="D19" s="350"/>
      <c r="E19" s="350"/>
      <c r="F19" s="350"/>
      <c r="G19" s="350"/>
      <c r="H19" s="350"/>
      <c r="I19" s="350"/>
      <c r="J19" s="350"/>
      <c r="K19" s="350"/>
      <c r="L19" s="56"/>
    </row>
  </sheetData>
  <protectedRanges>
    <protectedRange sqref="P5:P9" name="範圍6"/>
  </protectedRanges>
  <mergeCells count="40">
    <mergeCell ref="B18:G18"/>
    <mergeCell ref="H18:K18"/>
    <mergeCell ref="B19:K19"/>
    <mergeCell ref="D15:G15"/>
    <mergeCell ref="J15:K15"/>
    <mergeCell ref="B16:C16"/>
    <mergeCell ref="D16:K16"/>
    <mergeCell ref="B17:G17"/>
    <mergeCell ref="H17:K17"/>
    <mergeCell ref="B5:C5"/>
    <mergeCell ref="D5:K5"/>
    <mergeCell ref="B6:C15"/>
    <mergeCell ref="D6:E6"/>
    <mergeCell ref="F6:G6"/>
    <mergeCell ref="J6:K6"/>
    <mergeCell ref="D7:E7"/>
    <mergeCell ref="J14:K14"/>
    <mergeCell ref="D13:G13"/>
    <mergeCell ref="J11:K11"/>
    <mergeCell ref="J12:K12"/>
    <mergeCell ref="J13:K13"/>
    <mergeCell ref="D14:G14"/>
    <mergeCell ref="F7:G7"/>
    <mergeCell ref="D12:E12"/>
    <mergeCell ref="F12:G12"/>
    <mergeCell ref="A1:L1"/>
    <mergeCell ref="E2:I2"/>
    <mergeCell ref="K2:L2"/>
    <mergeCell ref="B4:C4"/>
    <mergeCell ref="D4:G4"/>
    <mergeCell ref="H4:K4"/>
    <mergeCell ref="J7:K7"/>
    <mergeCell ref="F8:G8"/>
    <mergeCell ref="D11:E11"/>
    <mergeCell ref="F11:G11"/>
    <mergeCell ref="J8:K8"/>
    <mergeCell ref="J9:K9"/>
    <mergeCell ref="D8:E8"/>
    <mergeCell ref="D9:E9"/>
    <mergeCell ref="F9:G9"/>
  </mergeCells>
  <phoneticPr fontId="1" type="noConversion"/>
  <printOptions horizontalCentered="1"/>
  <pageMargins left="0.31496062992125984" right="0.31496062992125984" top="0.35433070866141736" bottom="0.15748031496062992" header="0.31496062992125984" footer="0.31496062992125984"/>
  <pageSetup paperSize="9" scale="70" orientation="portrait" r:id="rId1"/>
  <drawing r:id="rId2"/>
  <legacyDrawing r:id="rId3"/>
  <oleObjects>
    <mc:AlternateContent xmlns:mc="http://schemas.openxmlformats.org/markup-compatibility/2006">
      <mc:Choice Requires="x14">
        <oleObject progId="Word.Picture.8" shapeId="1025" r:id="rId4">
          <objectPr defaultSize="0" autoPict="0" r:id="rId5">
            <anchor moveWithCells="1" sizeWithCells="1">
              <from>
                <xdr:col>4</xdr:col>
                <xdr:colOff>88900</xdr:colOff>
                <xdr:row>0</xdr:row>
                <xdr:rowOff>69850</xdr:rowOff>
              </from>
              <to>
                <xdr:col>4</xdr:col>
                <xdr:colOff>514350</xdr:colOff>
                <xdr:row>0</xdr:row>
                <xdr:rowOff>412750</xdr:rowOff>
              </to>
            </anchor>
          </objectPr>
        </oleObject>
      </mc:Choice>
      <mc:Fallback>
        <oleObject progId="Word.Picture.8" shapeId="1025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AFC6-FF5F-4C2C-A15B-460E712C9F52}">
  <dimension ref="A1:O46"/>
  <sheetViews>
    <sheetView tabSelected="1" topLeftCell="A10" zoomScale="72" workbookViewId="0">
      <selection activeCell="A11" sqref="A11:J11"/>
    </sheetView>
  </sheetViews>
  <sheetFormatPr defaultColWidth="9" defaultRowHeight="15.5"/>
  <cols>
    <col min="1" max="2" width="5.26953125" style="68" customWidth="1"/>
    <col min="3" max="3" width="24.90625" style="68" customWidth="1"/>
    <col min="4" max="4" width="32.7265625" style="68" customWidth="1"/>
    <col min="5" max="5" width="16.453125" style="203" customWidth="1"/>
    <col min="6" max="6" width="41" style="203" customWidth="1"/>
    <col min="7" max="7" width="5.90625" style="203" customWidth="1"/>
    <col min="8" max="8" width="19.6328125" style="203" customWidth="1"/>
    <col min="9" max="9" width="13.7265625" style="203" customWidth="1"/>
    <col min="10" max="10" width="14.26953125" style="204" customWidth="1"/>
    <col min="11" max="11" width="7.6328125" style="71" hidden="1" customWidth="1"/>
    <col min="12" max="12" width="9" style="68"/>
    <col min="13" max="13" width="11.6328125" style="68" customWidth="1"/>
    <col min="14" max="14" width="4" style="68" customWidth="1"/>
    <col min="15" max="16384" width="9" style="68"/>
  </cols>
  <sheetData>
    <row r="1" spans="1:13" ht="30.75" customHeight="1">
      <c r="A1" s="402" t="s">
        <v>79</v>
      </c>
      <c r="B1" s="403"/>
      <c r="C1" s="403"/>
      <c r="D1" s="403"/>
      <c r="E1" s="403"/>
      <c r="F1" s="403"/>
      <c r="G1" s="403"/>
      <c r="H1" s="403"/>
      <c r="I1" s="403"/>
      <c r="J1" s="403"/>
      <c r="K1" s="67"/>
    </row>
    <row r="2" spans="1:13" ht="24" customHeight="1" thickBot="1">
      <c r="A2" s="404" t="s">
        <v>80</v>
      </c>
      <c r="B2" s="405"/>
      <c r="C2" s="405"/>
      <c r="E2" s="69" t="s">
        <v>81</v>
      </c>
      <c r="F2" s="69"/>
      <c r="G2" s="69"/>
      <c r="H2" s="69"/>
      <c r="I2" s="69"/>
      <c r="J2" s="70"/>
    </row>
    <row r="3" spans="1:13" ht="33" customHeight="1">
      <c r="A3" s="72" t="s">
        <v>82</v>
      </c>
      <c r="B3" s="406" t="s">
        <v>83</v>
      </c>
      <c r="C3" s="407"/>
      <c r="D3" s="73" t="s">
        <v>84</v>
      </c>
      <c r="E3" s="73" t="s">
        <v>85</v>
      </c>
      <c r="F3" s="73" t="s">
        <v>60</v>
      </c>
      <c r="G3" s="73" t="s">
        <v>86</v>
      </c>
      <c r="H3" s="73" t="s">
        <v>87</v>
      </c>
      <c r="I3" s="408" t="s">
        <v>88</v>
      </c>
      <c r="J3" s="409"/>
    </row>
    <row r="4" spans="1:13" ht="33" customHeight="1">
      <c r="A4" s="74">
        <v>1</v>
      </c>
      <c r="B4" s="388" t="s">
        <v>89</v>
      </c>
      <c r="C4" s="389"/>
      <c r="D4" s="75" t="s">
        <v>90</v>
      </c>
      <c r="E4" s="76">
        <f>5234.7*50</f>
        <v>261735</v>
      </c>
      <c r="F4" s="77" t="s">
        <v>91</v>
      </c>
      <c r="G4" s="78">
        <v>12</v>
      </c>
      <c r="H4" s="79">
        <f>E4*G4</f>
        <v>3140820</v>
      </c>
      <c r="I4" s="410" t="s">
        <v>92</v>
      </c>
      <c r="J4" s="411"/>
    </row>
    <row r="5" spans="1:13" ht="33" customHeight="1">
      <c r="A5" s="74">
        <v>2</v>
      </c>
      <c r="B5" s="388" t="s">
        <v>93</v>
      </c>
      <c r="C5" s="389"/>
      <c r="D5" s="80" t="s">
        <v>94</v>
      </c>
      <c r="E5" s="76">
        <f>170*500</f>
        <v>85000</v>
      </c>
      <c r="F5" s="81"/>
      <c r="G5" s="78">
        <v>12</v>
      </c>
      <c r="H5" s="79">
        <v>0</v>
      </c>
      <c r="I5" s="390"/>
      <c r="J5" s="391"/>
    </row>
    <row r="6" spans="1:13" ht="33" customHeight="1">
      <c r="A6" s="74">
        <v>3</v>
      </c>
      <c r="B6" s="388" t="s">
        <v>95</v>
      </c>
      <c r="C6" s="389"/>
      <c r="D6" s="80" t="s">
        <v>96</v>
      </c>
      <c r="E6" s="79">
        <f>157*100</f>
        <v>15700</v>
      </c>
      <c r="F6" s="82"/>
      <c r="G6" s="78">
        <v>12</v>
      </c>
      <c r="H6" s="79">
        <v>0</v>
      </c>
      <c r="I6" s="390"/>
      <c r="J6" s="391"/>
    </row>
    <row r="7" spans="1:13" ht="33" customHeight="1">
      <c r="A7" s="74">
        <v>4</v>
      </c>
      <c r="B7" s="388" t="s">
        <v>97</v>
      </c>
      <c r="C7" s="392"/>
      <c r="D7" s="80" t="s">
        <v>98</v>
      </c>
      <c r="E7" s="79">
        <v>0</v>
      </c>
      <c r="F7" s="83"/>
      <c r="G7" s="78">
        <v>12</v>
      </c>
      <c r="H7" s="79">
        <v>0</v>
      </c>
      <c r="I7" s="390"/>
      <c r="J7" s="391"/>
    </row>
    <row r="8" spans="1:13" ht="33" customHeight="1">
      <c r="A8" s="74">
        <v>5</v>
      </c>
      <c r="B8" s="388" t="s">
        <v>99</v>
      </c>
      <c r="C8" s="389"/>
      <c r="D8" s="84"/>
      <c r="E8" s="79"/>
      <c r="F8" s="85" t="s">
        <v>100</v>
      </c>
      <c r="G8" s="78">
        <v>12</v>
      </c>
      <c r="H8" s="76">
        <f>SUM(D8*J8)</f>
        <v>0</v>
      </c>
      <c r="I8" s="86" t="s">
        <v>101</v>
      </c>
      <c r="J8" s="87">
        <v>0.01</v>
      </c>
    </row>
    <row r="9" spans="1:13" ht="33" customHeight="1" thickBot="1">
      <c r="A9" s="88">
        <v>6</v>
      </c>
      <c r="B9" s="393" t="s">
        <v>102</v>
      </c>
      <c r="C9" s="394"/>
      <c r="D9" s="89"/>
      <c r="E9" s="90"/>
      <c r="F9" s="90"/>
      <c r="G9" s="91">
        <v>12</v>
      </c>
      <c r="H9" s="92">
        <v>0</v>
      </c>
      <c r="I9" s="395" t="s">
        <v>103</v>
      </c>
      <c r="J9" s="396"/>
    </row>
    <row r="10" spans="1:13" s="101" customFormat="1" ht="33" customHeight="1" thickTop="1" thickBot="1">
      <c r="A10" s="93"/>
      <c r="B10" s="397" t="s">
        <v>104</v>
      </c>
      <c r="C10" s="398"/>
      <c r="D10" s="94"/>
      <c r="E10" s="95">
        <f>SUM(E3:E9)</f>
        <v>362435</v>
      </c>
      <c r="F10" s="95"/>
      <c r="G10" s="96">
        <v>12</v>
      </c>
      <c r="H10" s="97">
        <f>+E10*G10</f>
        <v>4349220</v>
      </c>
      <c r="I10" s="98"/>
      <c r="J10" s="99"/>
      <c r="K10" s="100"/>
    </row>
    <row r="11" spans="1:13" ht="24.75" customHeight="1" thickBot="1">
      <c r="A11" s="399" t="s">
        <v>105</v>
      </c>
      <c r="B11" s="400"/>
      <c r="C11" s="400"/>
      <c r="D11" s="400"/>
      <c r="E11" s="400"/>
      <c r="F11" s="400"/>
      <c r="G11" s="400"/>
      <c r="H11" s="400"/>
      <c r="I11" s="400"/>
      <c r="J11" s="401"/>
    </row>
    <row r="12" spans="1:13" ht="19.5" customHeight="1" thickBot="1">
      <c r="A12" s="384" t="s">
        <v>82</v>
      </c>
      <c r="B12" s="386" t="s">
        <v>106</v>
      </c>
      <c r="C12" s="102" t="s">
        <v>107</v>
      </c>
      <c r="D12" s="103"/>
      <c r="E12" s="104"/>
      <c r="F12" s="104"/>
      <c r="G12" s="105"/>
      <c r="H12" s="105"/>
      <c r="I12" s="106"/>
      <c r="J12" s="107" t="s">
        <v>108</v>
      </c>
    </row>
    <row r="13" spans="1:13" ht="19.5" customHeight="1" thickBot="1">
      <c r="A13" s="385"/>
      <c r="B13" s="387"/>
      <c r="C13" s="108" t="s">
        <v>83</v>
      </c>
      <c r="D13" s="109" t="s">
        <v>84</v>
      </c>
      <c r="E13" s="109" t="s">
        <v>109</v>
      </c>
      <c r="F13" s="109" t="s">
        <v>60</v>
      </c>
      <c r="G13" s="108" t="s">
        <v>86</v>
      </c>
      <c r="H13" s="108" t="s">
        <v>110</v>
      </c>
      <c r="I13" s="110" t="s">
        <v>111</v>
      </c>
      <c r="J13" s="111" t="s">
        <v>88</v>
      </c>
      <c r="M13" s="112"/>
    </row>
    <row r="14" spans="1:13" ht="153.75" customHeight="1" thickBot="1">
      <c r="A14" s="113">
        <v>1</v>
      </c>
      <c r="B14" s="379" t="s">
        <v>112</v>
      </c>
      <c r="C14" s="114" t="s">
        <v>113</v>
      </c>
      <c r="D14" s="115" t="s">
        <v>114</v>
      </c>
      <c r="E14" s="116">
        <v>304500</v>
      </c>
      <c r="F14" s="117"/>
      <c r="G14" s="118">
        <v>12</v>
      </c>
      <c r="H14" s="116">
        <f t="shared" ref="H14:H40" si="0">E14*G14</f>
        <v>3654000</v>
      </c>
      <c r="I14" s="116">
        <f t="shared" ref="I14:I41" si="1">H14/12</f>
        <v>304500</v>
      </c>
      <c r="J14" s="119">
        <f>I14/I41</f>
        <v>0.61479876142446355</v>
      </c>
      <c r="K14" s="120">
        <v>0.65</v>
      </c>
      <c r="M14" s="112"/>
    </row>
    <row r="15" spans="1:13" ht="28.5" customHeight="1" thickBot="1">
      <c r="A15" s="113">
        <v>2</v>
      </c>
      <c r="B15" s="373"/>
      <c r="C15" s="121" t="s">
        <v>115</v>
      </c>
      <c r="D15" s="122" t="s">
        <v>116</v>
      </c>
      <c r="E15" s="123">
        <v>5000</v>
      </c>
      <c r="F15" s="123"/>
      <c r="G15" s="124">
        <v>12</v>
      </c>
      <c r="H15" s="123">
        <f t="shared" si="0"/>
        <v>60000</v>
      </c>
      <c r="I15" s="125">
        <f t="shared" si="1"/>
        <v>5000</v>
      </c>
      <c r="J15" s="126">
        <f>I15/I41</f>
        <v>1.0095217757380353E-2</v>
      </c>
      <c r="K15" s="120">
        <v>0.04</v>
      </c>
      <c r="M15" s="112"/>
    </row>
    <row r="16" spans="1:13" ht="28.5" customHeight="1" thickBot="1">
      <c r="A16" s="113">
        <v>3</v>
      </c>
      <c r="B16" s="373"/>
      <c r="C16" s="121" t="s">
        <v>117</v>
      </c>
      <c r="D16" s="127"/>
      <c r="E16" s="123">
        <v>3000</v>
      </c>
      <c r="F16" s="123"/>
      <c r="G16" s="124">
        <v>12</v>
      </c>
      <c r="H16" s="123">
        <f t="shared" si="0"/>
        <v>36000</v>
      </c>
      <c r="I16" s="123">
        <f t="shared" si="1"/>
        <v>3000</v>
      </c>
      <c r="J16" s="126">
        <f>I16/I41</f>
        <v>6.0571306544282121E-3</v>
      </c>
      <c r="K16" s="128"/>
      <c r="M16" s="112"/>
    </row>
    <row r="17" spans="1:13" ht="26.25" customHeight="1" thickBot="1">
      <c r="A17" s="113">
        <v>4</v>
      </c>
      <c r="B17" s="373"/>
      <c r="C17" s="129" t="s">
        <v>118</v>
      </c>
      <c r="D17" s="130"/>
      <c r="E17" s="131">
        <v>0</v>
      </c>
      <c r="F17" s="130"/>
      <c r="G17" s="124">
        <v>0</v>
      </c>
      <c r="H17" s="123">
        <f t="shared" si="0"/>
        <v>0</v>
      </c>
      <c r="I17" s="123">
        <f t="shared" si="1"/>
        <v>0</v>
      </c>
      <c r="J17" s="126">
        <f>I17/I41</f>
        <v>0</v>
      </c>
      <c r="K17" s="128"/>
      <c r="M17" s="112"/>
    </row>
    <row r="18" spans="1:13" ht="28.5" customHeight="1" thickBot="1">
      <c r="A18" s="113">
        <v>5</v>
      </c>
      <c r="B18" s="374"/>
      <c r="C18" s="132" t="s">
        <v>119</v>
      </c>
      <c r="D18" s="132"/>
      <c r="E18" s="133">
        <v>2000</v>
      </c>
      <c r="F18" s="133"/>
      <c r="G18" s="134">
        <v>12</v>
      </c>
      <c r="H18" s="133">
        <f t="shared" si="0"/>
        <v>24000</v>
      </c>
      <c r="I18" s="133">
        <f t="shared" si="1"/>
        <v>2000</v>
      </c>
      <c r="J18" s="135">
        <f>I18/I41</f>
        <v>4.0380871029521408E-3</v>
      </c>
      <c r="K18" s="128"/>
    </row>
    <row r="19" spans="1:13" ht="28.5" customHeight="1" thickBot="1">
      <c r="A19" s="113">
        <v>6</v>
      </c>
      <c r="B19" s="380" t="s">
        <v>120</v>
      </c>
      <c r="C19" s="136" t="s">
        <v>121</v>
      </c>
      <c r="D19" s="137"/>
      <c r="E19" s="123">
        <v>20000</v>
      </c>
      <c r="F19" s="138" t="s">
        <v>122</v>
      </c>
      <c r="G19" s="139">
        <v>1</v>
      </c>
      <c r="H19" s="140">
        <f t="shared" si="0"/>
        <v>20000</v>
      </c>
      <c r="I19" s="140">
        <f t="shared" si="1"/>
        <v>1666.6666666666667</v>
      </c>
      <c r="J19" s="141">
        <f>I19/I41</f>
        <v>3.3650725857934513E-3</v>
      </c>
      <c r="K19" s="128"/>
    </row>
    <row r="20" spans="1:13" ht="28.5" customHeight="1" thickBot="1">
      <c r="A20" s="113">
        <v>7</v>
      </c>
      <c r="B20" s="381"/>
      <c r="C20" s="121" t="s">
        <v>123</v>
      </c>
      <c r="D20" s="127"/>
      <c r="E20" s="123">
        <v>5000</v>
      </c>
      <c r="F20" s="123"/>
      <c r="G20" s="124">
        <v>1</v>
      </c>
      <c r="H20" s="123">
        <f t="shared" si="0"/>
        <v>5000</v>
      </c>
      <c r="I20" s="123">
        <f t="shared" si="1"/>
        <v>416.66666666666669</v>
      </c>
      <c r="J20" s="126">
        <f>I20/I41</f>
        <v>8.4126814644836282E-4</v>
      </c>
      <c r="K20" s="128"/>
    </row>
    <row r="21" spans="1:13" ht="28.5" customHeight="1" thickBot="1">
      <c r="A21" s="113">
        <v>8</v>
      </c>
      <c r="B21" s="381"/>
      <c r="C21" s="121" t="s">
        <v>124</v>
      </c>
      <c r="D21" s="382"/>
      <c r="E21" s="367">
        <v>10000</v>
      </c>
      <c r="F21" s="131"/>
      <c r="G21" s="375">
        <v>1</v>
      </c>
      <c r="H21" s="367">
        <f t="shared" si="0"/>
        <v>10000</v>
      </c>
      <c r="I21" s="367">
        <f t="shared" si="1"/>
        <v>833.33333333333337</v>
      </c>
      <c r="J21" s="369">
        <f>I21/I41</f>
        <v>1.6825362928967256E-3</v>
      </c>
      <c r="K21" s="120">
        <v>0.04</v>
      </c>
    </row>
    <row r="22" spans="1:13" ht="28.5" customHeight="1" thickBot="1">
      <c r="A22" s="113">
        <v>9</v>
      </c>
      <c r="B22" s="381"/>
      <c r="C22" s="127" t="s">
        <v>125</v>
      </c>
      <c r="D22" s="383"/>
      <c r="E22" s="368"/>
      <c r="F22" s="140"/>
      <c r="G22" s="376"/>
      <c r="H22" s="368"/>
      <c r="I22" s="368"/>
      <c r="J22" s="370"/>
      <c r="K22" s="128"/>
    </row>
    <row r="23" spans="1:13" ht="28.5" customHeight="1" thickBot="1">
      <c r="A23" s="113">
        <v>10</v>
      </c>
      <c r="B23" s="381"/>
      <c r="C23" s="142" t="s">
        <v>126</v>
      </c>
      <c r="D23" s="143"/>
      <c r="E23" s="144">
        <v>97000</v>
      </c>
      <c r="F23" s="145" t="s">
        <v>127</v>
      </c>
      <c r="G23" s="146">
        <v>1</v>
      </c>
      <c r="H23" s="144">
        <f t="shared" si="0"/>
        <v>97000</v>
      </c>
      <c r="I23" s="144">
        <f t="shared" si="1"/>
        <v>8083.333333333333</v>
      </c>
      <c r="J23" s="147">
        <f>I23/I41</f>
        <v>1.6320602041098236E-2</v>
      </c>
      <c r="K23" s="128"/>
    </row>
    <row r="24" spans="1:13" ht="28.5" customHeight="1" thickBot="1">
      <c r="A24" s="113">
        <v>11</v>
      </c>
      <c r="B24" s="371" t="s">
        <v>128</v>
      </c>
      <c r="C24" s="148" t="s">
        <v>129</v>
      </c>
      <c r="D24" s="149"/>
      <c r="E24" s="150">
        <v>30000</v>
      </c>
      <c r="F24" s="150"/>
      <c r="G24" s="151">
        <v>1</v>
      </c>
      <c r="H24" s="150">
        <f t="shared" si="0"/>
        <v>30000</v>
      </c>
      <c r="I24" s="150">
        <f t="shared" si="1"/>
        <v>2500</v>
      </c>
      <c r="J24" s="152">
        <f>I24/I41</f>
        <v>5.0476088786901765E-3</v>
      </c>
      <c r="K24" s="120">
        <v>0.09</v>
      </c>
    </row>
    <row r="25" spans="1:13" ht="28.5" customHeight="1" thickBot="1">
      <c r="A25" s="113">
        <v>12</v>
      </c>
      <c r="B25" s="372"/>
      <c r="C25" s="136" t="s">
        <v>130</v>
      </c>
      <c r="D25" s="153"/>
      <c r="E25" s="140">
        <v>10000</v>
      </c>
      <c r="F25" s="140"/>
      <c r="G25" s="139">
        <v>12</v>
      </c>
      <c r="H25" s="140">
        <f t="shared" si="0"/>
        <v>120000</v>
      </c>
      <c r="I25" s="140">
        <f t="shared" si="1"/>
        <v>10000</v>
      </c>
      <c r="J25" s="152">
        <f>I25/I41</f>
        <v>2.0190435514760706E-2</v>
      </c>
      <c r="K25" s="120"/>
    </row>
    <row r="26" spans="1:13" ht="28.5" customHeight="1" thickBot="1">
      <c r="A26" s="113">
        <v>13</v>
      </c>
      <c r="B26" s="373"/>
      <c r="C26" s="121" t="s">
        <v>131</v>
      </c>
      <c r="D26" s="121" t="s">
        <v>132</v>
      </c>
      <c r="E26" s="123">
        <v>10000</v>
      </c>
      <c r="F26" s="123"/>
      <c r="G26" s="124">
        <v>12</v>
      </c>
      <c r="H26" s="123">
        <f t="shared" si="0"/>
        <v>120000</v>
      </c>
      <c r="I26" s="123">
        <f t="shared" si="1"/>
        <v>10000</v>
      </c>
      <c r="J26" s="126">
        <f>I26/I41</f>
        <v>2.0190435514760706E-2</v>
      </c>
      <c r="K26" s="120">
        <v>0.01</v>
      </c>
    </row>
    <row r="27" spans="1:13" ht="28.5" customHeight="1" thickBot="1">
      <c r="A27" s="113">
        <v>14</v>
      </c>
      <c r="B27" s="373"/>
      <c r="C27" s="121" t="s">
        <v>133</v>
      </c>
      <c r="D27" s="121" t="s">
        <v>134</v>
      </c>
      <c r="E27" s="123">
        <v>50000</v>
      </c>
      <c r="F27" s="123"/>
      <c r="G27" s="124">
        <v>1</v>
      </c>
      <c r="H27" s="123">
        <f t="shared" si="0"/>
        <v>50000</v>
      </c>
      <c r="I27" s="123">
        <f t="shared" si="1"/>
        <v>4166.666666666667</v>
      </c>
      <c r="J27" s="126">
        <f>I27/I41</f>
        <v>8.4126814644836286E-3</v>
      </c>
      <c r="K27" s="120"/>
    </row>
    <row r="28" spans="1:13" ht="28.5" customHeight="1" thickBot="1">
      <c r="A28" s="113">
        <v>15</v>
      </c>
      <c r="B28" s="373"/>
      <c r="C28" s="154" t="s">
        <v>135</v>
      </c>
      <c r="D28" s="154" t="s">
        <v>136</v>
      </c>
      <c r="E28" s="155">
        <v>0</v>
      </c>
      <c r="F28" s="155"/>
      <c r="G28" s="156">
        <v>12</v>
      </c>
      <c r="H28" s="155">
        <f t="shared" si="0"/>
        <v>0</v>
      </c>
      <c r="I28" s="155">
        <f t="shared" si="1"/>
        <v>0</v>
      </c>
      <c r="J28" s="157">
        <f>I28/I41</f>
        <v>0</v>
      </c>
      <c r="K28" s="120"/>
    </row>
    <row r="29" spans="1:13" ht="28.5" customHeight="1" thickBot="1">
      <c r="A29" s="113">
        <v>16</v>
      </c>
      <c r="B29" s="374"/>
      <c r="C29" s="158" t="s">
        <v>137</v>
      </c>
      <c r="D29" s="159" t="s">
        <v>138</v>
      </c>
      <c r="E29" s="133">
        <v>25000</v>
      </c>
      <c r="F29" s="160" t="s">
        <v>139</v>
      </c>
      <c r="G29" s="134">
        <v>12</v>
      </c>
      <c r="H29" s="133">
        <f>E29*G29</f>
        <v>300000</v>
      </c>
      <c r="I29" s="161">
        <f>H29/12</f>
        <v>25000</v>
      </c>
      <c r="J29" s="135">
        <f>I29/I41</f>
        <v>5.0476088786901768E-2</v>
      </c>
      <c r="K29" s="162">
        <v>0.05</v>
      </c>
    </row>
    <row r="30" spans="1:13" ht="28.5" customHeight="1" thickBot="1">
      <c r="A30" s="113">
        <v>17</v>
      </c>
      <c r="B30" s="372" t="s">
        <v>140</v>
      </c>
      <c r="C30" s="136" t="s">
        <v>141</v>
      </c>
      <c r="D30" s="136" t="s">
        <v>142</v>
      </c>
      <c r="E30" s="140">
        <v>5000</v>
      </c>
      <c r="F30" s="163"/>
      <c r="G30" s="139">
        <v>12</v>
      </c>
      <c r="H30" s="140">
        <f t="shared" si="0"/>
        <v>60000</v>
      </c>
      <c r="I30" s="140">
        <f t="shared" si="1"/>
        <v>5000</v>
      </c>
      <c r="J30" s="141">
        <f>I30/I41</f>
        <v>1.0095217757380353E-2</v>
      </c>
      <c r="K30" s="164"/>
    </row>
    <row r="31" spans="1:13" ht="28.5" customHeight="1" thickBot="1">
      <c r="A31" s="113">
        <v>18</v>
      </c>
      <c r="B31" s="373"/>
      <c r="C31" s="165" t="s">
        <v>143</v>
      </c>
      <c r="D31" s="165" t="s">
        <v>144</v>
      </c>
      <c r="E31" s="166">
        <v>0</v>
      </c>
      <c r="F31" s="167" t="s">
        <v>145</v>
      </c>
      <c r="G31" s="168">
        <v>2</v>
      </c>
      <c r="H31" s="166">
        <f>E31*G31</f>
        <v>0</v>
      </c>
      <c r="I31" s="166">
        <f t="shared" si="1"/>
        <v>0</v>
      </c>
      <c r="J31" s="169">
        <f>I31/I41</f>
        <v>0</v>
      </c>
      <c r="K31" s="162">
        <v>0.1</v>
      </c>
    </row>
    <row r="32" spans="1:13" ht="28.5" customHeight="1" thickBot="1">
      <c r="A32" s="113">
        <v>19</v>
      </c>
      <c r="B32" s="373"/>
      <c r="C32" s="165" t="s">
        <v>146</v>
      </c>
      <c r="D32" s="170"/>
      <c r="E32" s="166">
        <v>70000</v>
      </c>
      <c r="F32" s="171"/>
      <c r="G32" s="168">
        <v>12</v>
      </c>
      <c r="H32" s="166">
        <f t="shared" si="0"/>
        <v>840000</v>
      </c>
      <c r="I32" s="166">
        <f t="shared" si="1"/>
        <v>70000</v>
      </c>
      <c r="J32" s="169">
        <f>I32/I41</f>
        <v>0.14133304860332493</v>
      </c>
      <c r="K32" s="164"/>
    </row>
    <row r="33" spans="1:15" ht="28.5" customHeight="1" thickBot="1">
      <c r="A33" s="113">
        <v>20</v>
      </c>
      <c r="B33" s="373"/>
      <c r="C33" s="121" t="s">
        <v>147</v>
      </c>
      <c r="D33" s="123"/>
      <c r="E33" s="123">
        <v>50000</v>
      </c>
      <c r="F33" s="172" t="s">
        <v>148</v>
      </c>
      <c r="G33" s="124">
        <v>1</v>
      </c>
      <c r="H33" s="123">
        <f t="shared" si="0"/>
        <v>50000</v>
      </c>
      <c r="I33" s="123">
        <f t="shared" si="1"/>
        <v>4166.666666666667</v>
      </c>
      <c r="J33" s="126">
        <f>I33/I41</f>
        <v>8.4126814644836286E-3</v>
      </c>
      <c r="K33" s="164"/>
    </row>
    <row r="34" spans="1:15" ht="28.5" customHeight="1" thickBot="1">
      <c r="A34" s="113">
        <v>21</v>
      </c>
      <c r="B34" s="373"/>
      <c r="C34" s="165" t="s">
        <v>149</v>
      </c>
      <c r="D34" s="173" t="s">
        <v>150</v>
      </c>
      <c r="E34" s="166">
        <v>30000</v>
      </c>
      <c r="F34" s="174" t="s">
        <v>151</v>
      </c>
      <c r="G34" s="168">
        <v>6</v>
      </c>
      <c r="H34" s="166">
        <f t="shared" si="0"/>
        <v>180000</v>
      </c>
      <c r="I34" s="166">
        <f t="shared" si="1"/>
        <v>15000</v>
      </c>
      <c r="J34" s="169">
        <f>I34/I41</f>
        <v>3.0285653272141059E-2</v>
      </c>
      <c r="K34" s="164"/>
    </row>
    <row r="35" spans="1:15" ht="40.5" customHeight="1" thickBot="1">
      <c r="A35" s="113">
        <v>22</v>
      </c>
      <c r="B35" s="373"/>
      <c r="C35" s="175" t="s">
        <v>152</v>
      </c>
      <c r="D35" s="175"/>
      <c r="E35" s="176">
        <v>0</v>
      </c>
      <c r="F35" s="177"/>
      <c r="G35" s="178">
        <v>1</v>
      </c>
      <c r="H35" s="176">
        <f t="shared" si="0"/>
        <v>0</v>
      </c>
      <c r="I35" s="176">
        <f t="shared" si="1"/>
        <v>0</v>
      </c>
      <c r="J35" s="179">
        <f>I35/I41</f>
        <v>0</v>
      </c>
      <c r="K35" s="164"/>
    </row>
    <row r="36" spans="1:15" ht="28.5" customHeight="1" thickBot="1">
      <c r="A36" s="113">
        <v>23</v>
      </c>
      <c r="B36" s="373"/>
      <c r="C36" s="165" t="s">
        <v>153</v>
      </c>
      <c r="D36" s="180" t="s">
        <v>154</v>
      </c>
      <c r="E36" s="166">
        <v>140000</v>
      </c>
      <c r="F36" s="174" t="s">
        <v>155</v>
      </c>
      <c r="G36" s="168">
        <v>1</v>
      </c>
      <c r="H36" s="166">
        <f t="shared" si="0"/>
        <v>140000</v>
      </c>
      <c r="I36" s="166">
        <f t="shared" si="1"/>
        <v>11666.666666666666</v>
      </c>
      <c r="J36" s="169">
        <f>I36/I41</f>
        <v>2.3555508100554155E-2</v>
      </c>
      <c r="K36" s="164"/>
    </row>
    <row r="37" spans="1:15" ht="28.5" customHeight="1" thickBot="1">
      <c r="A37" s="113">
        <v>24</v>
      </c>
      <c r="B37" s="373"/>
      <c r="C37" s="142" t="s">
        <v>156</v>
      </c>
      <c r="D37" s="181"/>
      <c r="E37" s="144">
        <f>E4*0.01</f>
        <v>2617.35</v>
      </c>
      <c r="F37" s="182" t="s">
        <v>157</v>
      </c>
      <c r="G37" s="146">
        <v>12</v>
      </c>
      <c r="H37" s="144">
        <f t="shared" si="0"/>
        <v>31408.199999999997</v>
      </c>
      <c r="I37" s="144">
        <f t="shared" si="1"/>
        <v>2617.35</v>
      </c>
      <c r="J37" s="147">
        <f>I37/I41</f>
        <v>5.2845436394558928E-3</v>
      </c>
      <c r="K37" s="162">
        <v>0.05</v>
      </c>
    </row>
    <row r="38" spans="1:15" ht="28.5" customHeight="1" thickBot="1">
      <c r="A38" s="113">
        <v>25</v>
      </c>
      <c r="B38" s="371" t="s">
        <v>158</v>
      </c>
      <c r="C38" s="148" t="s">
        <v>159</v>
      </c>
      <c r="D38" s="183"/>
      <c r="E38" s="150">
        <v>5000</v>
      </c>
      <c r="F38" s="150"/>
      <c r="G38" s="151">
        <v>12</v>
      </c>
      <c r="H38" s="150">
        <f t="shared" si="0"/>
        <v>60000</v>
      </c>
      <c r="I38" s="150">
        <f t="shared" si="1"/>
        <v>5000</v>
      </c>
      <c r="J38" s="152">
        <f>I38/I41</f>
        <v>1.0095217757380353E-2</v>
      </c>
      <c r="K38" s="162">
        <v>0.05</v>
      </c>
    </row>
    <row r="39" spans="1:15" ht="28.5" customHeight="1" thickBot="1">
      <c r="A39" s="113">
        <v>26</v>
      </c>
      <c r="B39" s="373"/>
      <c r="C39" s="121" t="s">
        <v>160</v>
      </c>
      <c r="D39" s="184"/>
      <c r="E39" s="123">
        <v>3000</v>
      </c>
      <c r="F39" s="123"/>
      <c r="G39" s="124">
        <v>12</v>
      </c>
      <c r="H39" s="123">
        <f t="shared" si="0"/>
        <v>36000</v>
      </c>
      <c r="I39" s="123">
        <f t="shared" si="1"/>
        <v>3000</v>
      </c>
      <c r="J39" s="126">
        <f>I39/I41</f>
        <v>6.0571306544282121E-3</v>
      </c>
      <c r="K39" s="162">
        <v>0.01</v>
      </c>
    </row>
    <row r="40" spans="1:15" ht="28.5" customHeight="1" thickBot="1">
      <c r="A40" s="113">
        <v>27</v>
      </c>
      <c r="B40" s="374"/>
      <c r="C40" s="158" t="s">
        <v>161</v>
      </c>
      <c r="D40" s="159" t="s">
        <v>162</v>
      </c>
      <c r="E40" s="133">
        <v>20000</v>
      </c>
      <c r="F40" s="133"/>
      <c r="G40" s="134">
        <v>1</v>
      </c>
      <c r="H40" s="133">
        <f t="shared" si="0"/>
        <v>20000</v>
      </c>
      <c r="I40" s="133">
        <f t="shared" si="1"/>
        <v>1666.6666666666667</v>
      </c>
      <c r="J40" s="135">
        <f>I40/I41</f>
        <v>3.3650725857934513E-3</v>
      </c>
      <c r="K40" s="162">
        <v>0.06</v>
      </c>
      <c r="O40" s="101"/>
    </row>
    <row r="41" spans="1:15" s="101" customFormat="1" ht="28.5" customHeight="1" thickBot="1">
      <c r="A41" s="185" t="s">
        <v>81</v>
      </c>
      <c r="B41" s="186"/>
      <c r="C41" s="377" t="s">
        <v>163</v>
      </c>
      <c r="D41" s="378"/>
      <c r="E41" s="187">
        <f>SUM(E14:E40)</f>
        <v>897117.35</v>
      </c>
      <c r="F41" s="187"/>
      <c r="G41" s="188"/>
      <c r="H41" s="187">
        <f>SUM(H14:H40)</f>
        <v>5943408.2000000002</v>
      </c>
      <c r="I41" s="187">
        <f t="shared" si="1"/>
        <v>495284.01666666666</v>
      </c>
      <c r="J41" s="189"/>
      <c r="K41" s="164"/>
      <c r="O41" s="68"/>
    </row>
    <row r="42" spans="1:15" ht="28.5" customHeight="1" thickBot="1">
      <c r="A42" s="357" t="s">
        <v>164</v>
      </c>
      <c r="B42" s="358"/>
      <c r="C42" s="359"/>
      <c r="D42" s="360" t="s">
        <v>165</v>
      </c>
      <c r="E42" s="361"/>
      <c r="F42" s="361"/>
      <c r="G42" s="362"/>
      <c r="H42" s="190" t="s">
        <v>166</v>
      </c>
      <c r="I42" s="191"/>
      <c r="J42" s="192">
        <f>SUM(J14:J41)</f>
        <v>1</v>
      </c>
      <c r="K42" s="162">
        <f>SUM(K14:K41)</f>
        <v>1.1500000000000001</v>
      </c>
    </row>
    <row r="43" spans="1:15" ht="28.5" customHeight="1" thickTop="1" thickBot="1">
      <c r="A43" s="363">
        <f>E10</f>
        <v>362435</v>
      </c>
      <c r="B43" s="364"/>
      <c r="C43" s="365"/>
      <c r="D43" s="363">
        <f>I41</f>
        <v>495284.01666666666</v>
      </c>
      <c r="E43" s="364"/>
      <c r="F43" s="364"/>
      <c r="G43" s="365"/>
      <c r="H43" s="193">
        <f>A43-D43</f>
        <v>-132849.01666666666</v>
      </c>
      <c r="I43" s="194"/>
      <c r="J43" s="195"/>
      <c r="K43" s="196"/>
    </row>
    <row r="44" spans="1:15" ht="21.75" customHeight="1" thickBot="1">
      <c r="A44" s="197"/>
      <c r="B44" s="198"/>
      <c r="C44" s="199"/>
      <c r="D44" s="197"/>
      <c r="E44" s="198"/>
      <c r="F44" s="198"/>
      <c r="G44" s="199"/>
      <c r="H44" s="200"/>
      <c r="I44" s="200"/>
      <c r="J44" s="201"/>
      <c r="K44" s="202"/>
    </row>
    <row r="45" spans="1:15">
      <c r="K45" s="205"/>
    </row>
    <row r="46" spans="1:15">
      <c r="A46" s="366"/>
      <c r="B46" s="366"/>
      <c r="C46" s="366"/>
      <c r="D46" s="366"/>
      <c r="E46" s="366"/>
      <c r="F46" s="366"/>
      <c r="G46" s="366"/>
      <c r="H46" s="366"/>
      <c r="I46" s="366"/>
      <c r="J46" s="366"/>
      <c r="K46" s="366"/>
    </row>
  </sheetData>
  <mergeCells count="36">
    <mergeCell ref="A1:J1"/>
    <mergeCell ref="A2:C2"/>
    <mergeCell ref="B3:C3"/>
    <mergeCell ref="I3:J3"/>
    <mergeCell ref="B4:C4"/>
    <mergeCell ref="I4:J4"/>
    <mergeCell ref="A12:A13"/>
    <mergeCell ref="B12:B13"/>
    <mergeCell ref="B5:C5"/>
    <mergeCell ref="I5:J5"/>
    <mergeCell ref="B6:C6"/>
    <mergeCell ref="I6:J6"/>
    <mergeCell ref="B7:C7"/>
    <mergeCell ref="I7:J7"/>
    <mergeCell ref="B8:C8"/>
    <mergeCell ref="B9:C9"/>
    <mergeCell ref="I9:J9"/>
    <mergeCell ref="B10:C10"/>
    <mergeCell ref="A11:J11"/>
    <mergeCell ref="C41:D41"/>
    <mergeCell ref="B14:B18"/>
    <mergeCell ref="B19:B23"/>
    <mergeCell ref="D21:D22"/>
    <mergeCell ref="E21:E22"/>
    <mergeCell ref="I21:I22"/>
    <mergeCell ref="J21:J22"/>
    <mergeCell ref="B24:B29"/>
    <mergeCell ref="B30:B37"/>
    <mergeCell ref="B38:B40"/>
    <mergeCell ref="G21:G22"/>
    <mergeCell ref="H21:H22"/>
    <mergeCell ref="A42:C42"/>
    <mergeCell ref="D42:G42"/>
    <mergeCell ref="A43:C43"/>
    <mergeCell ref="D43:G43"/>
    <mergeCell ref="A46:K46"/>
  </mergeCells>
  <phoneticPr fontId="1" type="noConversion"/>
  <pageMargins left="0.7" right="0.7" top="0.75" bottom="0.75" header="0.3" footer="0.3"/>
  <pageSetup paperSize="9" orientation="portrait" horizontalDpi="4294967293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1</vt:i4>
      </vt:variant>
    </vt:vector>
  </HeadingPairs>
  <TitlesOfParts>
    <vt:vector size="6" baseType="lpstr">
      <vt:lpstr>終版</vt:lpstr>
      <vt:lpstr>勞健保清單</vt:lpstr>
      <vt:lpstr>員工薪資</vt:lpstr>
      <vt:lpstr>報價單</vt:lpstr>
      <vt:lpstr>工作表1</vt:lpstr>
      <vt:lpstr>報價單!Print_Area</vt:lpstr>
    </vt:vector>
  </TitlesOfParts>
  <Company>Hollings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Hsu22</dc:creator>
  <cp:lastModifiedBy>江珞甄</cp:lastModifiedBy>
  <cp:lastPrinted>2020-07-17T09:18:28Z</cp:lastPrinted>
  <dcterms:created xsi:type="dcterms:W3CDTF">2014-09-26T02:33:00Z</dcterms:created>
  <dcterms:modified xsi:type="dcterms:W3CDTF">2024-01-02T06:07:53Z</dcterms:modified>
</cp:coreProperties>
</file>