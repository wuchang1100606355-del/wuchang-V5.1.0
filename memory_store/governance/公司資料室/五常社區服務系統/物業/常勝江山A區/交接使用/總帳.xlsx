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0930\Dropbox\公司資料室\五常社區服務系統\物業\常勝江山A區\交接使用\"/>
    </mc:Choice>
  </mc:AlternateContent>
  <xr:revisionPtr revIDLastSave="0" documentId="13_ncr:1_{67CF14BC-C503-405D-A35C-AFFB5205AC85}" xr6:coauthVersionLast="47" xr6:coauthVersionMax="47" xr10:uidLastSave="{00000000-0000-0000-0000-000000000000}"/>
  <bookViews>
    <workbookView xWindow="-108" yWindow="-108" windowWidth="23256" windowHeight="13896" xr2:uid="{15D0D3B2-EEA6-48C4-9154-8605E52401EA}"/>
  </bookViews>
  <sheets>
    <sheet name="工作表1" sheetId="1" r:id="rId1"/>
    <sheet name="工作表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H39" i="1"/>
  <c r="H40" i="1" s="1"/>
  <c r="J40" i="1" s="1"/>
  <c r="H36" i="1"/>
  <c r="J17" i="1"/>
  <c r="G40" i="1"/>
  <c r="H16" i="1"/>
  <c r="J16" i="1"/>
  <c r="J15" i="1"/>
  <c r="J38" i="1"/>
  <c r="H38" i="1"/>
  <c r="G38" i="1"/>
  <c r="G16" i="1"/>
  <c r="G15" i="1"/>
  <c r="G36" i="1"/>
  <c r="H13" i="1"/>
  <c r="G13" i="1"/>
  <c r="J39" i="1" l="1"/>
  <c r="H37" i="1"/>
  <c r="H14" i="1"/>
</calcChain>
</file>

<file path=xl/sharedStrings.xml><?xml version="1.0" encoding="utf-8"?>
<sst xmlns="http://schemas.openxmlformats.org/spreadsheetml/2006/main" count="190" uniqueCount="80">
  <si>
    <t>條</t>
    <phoneticPr fontId="2" type="noConversion"/>
  </si>
  <si>
    <t>目</t>
    <phoneticPr fontId="2" type="noConversion"/>
  </si>
  <si>
    <t>款</t>
    <phoneticPr fontId="2" type="noConversion"/>
  </si>
  <si>
    <t>單據類型</t>
    <phoneticPr fontId="2" type="noConversion"/>
  </si>
  <si>
    <t>管理費</t>
    <phoneticPr fontId="2" type="noConversion"/>
  </si>
  <si>
    <t>法定業內收入</t>
    <phoneticPr fontId="2" type="noConversion"/>
  </si>
  <si>
    <t>收據</t>
    <phoneticPr fontId="2" type="noConversion"/>
  </si>
  <si>
    <t>項目</t>
    <phoneticPr fontId="2" type="noConversion"/>
  </si>
  <si>
    <t>標的</t>
    <phoneticPr fontId="2" type="noConversion"/>
  </si>
  <si>
    <t>經手人</t>
    <phoneticPr fontId="2" type="noConversion"/>
  </si>
  <si>
    <t>江政隆</t>
    <phoneticPr fontId="2" type="noConversion"/>
  </si>
  <si>
    <t>借方金額</t>
    <phoneticPr fontId="2" type="noConversion"/>
  </si>
  <si>
    <t>貸方金額</t>
    <phoneticPr fontId="2" type="noConversion"/>
  </si>
  <si>
    <t>消防申報</t>
    <phoneticPr fontId="2" type="noConversion"/>
  </si>
  <si>
    <t>糞管滲漏</t>
    <phoneticPr fontId="2" type="noConversion"/>
  </si>
  <si>
    <t>影印資料</t>
    <phoneticPr fontId="2" type="noConversion"/>
  </si>
  <si>
    <t>固定會議、規約範本</t>
    <phoneticPr fontId="2" type="noConversion"/>
  </si>
  <si>
    <t>申訴案件主委</t>
    <phoneticPr fontId="2" type="noConversion"/>
  </si>
  <si>
    <t>領據</t>
    <phoneticPr fontId="2" type="noConversion"/>
  </si>
  <si>
    <t>憑證編號</t>
    <phoneticPr fontId="2" type="noConversion"/>
  </si>
  <si>
    <t>1120702-1</t>
    <phoneticPr fontId="2" type="noConversion"/>
  </si>
  <si>
    <t>1120708-1</t>
    <phoneticPr fontId="2" type="noConversion"/>
  </si>
  <si>
    <t>1120714-1</t>
    <phoneticPr fontId="2" type="noConversion"/>
  </si>
  <si>
    <t>1120904-1</t>
    <phoneticPr fontId="2" type="noConversion"/>
  </si>
  <si>
    <t>1121001-1</t>
    <phoneticPr fontId="2" type="noConversion"/>
  </si>
  <si>
    <t>1121001-2</t>
    <phoneticPr fontId="2" type="noConversion"/>
  </si>
  <si>
    <t>1121011-1</t>
    <phoneticPr fontId="2" type="noConversion"/>
  </si>
  <si>
    <t>1121220-1</t>
    <phoneticPr fontId="2" type="noConversion"/>
  </si>
  <si>
    <t>1121001-3</t>
    <phoneticPr fontId="2" type="noConversion"/>
  </si>
  <si>
    <t>借貸小計</t>
    <phoneticPr fontId="2" type="noConversion"/>
  </si>
  <si>
    <t>借貸餘</t>
    <phoneticPr fontId="2" type="noConversion"/>
  </si>
  <si>
    <t>法定業務主委</t>
    <phoneticPr fontId="2" type="noConversion"/>
  </si>
  <si>
    <t>貸餘</t>
    <phoneticPr fontId="2" type="noConversion"/>
  </si>
  <si>
    <t>消毒作業</t>
    <phoneticPr fontId="2" type="noConversion"/>
  </si>
  <si>
    <t>1130101-1</t>
    <phoneticPr fontId="2" type="noConversion"/>
  </si>
  <si>
    <t>上期轉入</t>
    <phoneticPr fontId="2" type="noConversion"/>
  </si>
  <si>
    <t>112年度</t>
    <phoneticPr fontId="2" type="noConversion"/>
  </si>
  <si>
    <t>1130301-1</t>
    <phoneticPr fontId="2" type="noConversion"/>
  </si>
  <si>
    <t>1130301-2</t>
    <phoneticPr fontId="2" type="noConversion"/>
  </si>
  <si>
    <t>第11梯</t>
    <phoneticPr fontId="2" type="noConversion"/>
  </si>
  <si>
    <t>借餘</t>
    <phoneticPr fontId="2" type="noConversion"/>
  </si>
  <si>
    <t>利息收入</t>
    <phoneticPr fontId="2" type="noConversion"/>
  </si>
  <si>
    <t>活期利息</t>
    <phoneticPr fontId="2" type="noConversion"/>
  </si>
  <si>
    <t>存戶年度利息</t>
    <phoneticPr fontId="2" type="noConversion"/>
  </si>
  <si>
    <t>存戶內頁</t>
    <phoneticPr fontId="2" type="noConversion"/>
  </si>
  <si>
    <t>經辦</t>
    <phoneticPr fontId="2" type="noConversion"/>
  </si>
  <si>
    <t>出納</t>
    <phoneticPr fontId="2" type="noConversion"/>
  </si>
  <si>
    <t>主管</t>
    <phoneticPr fontId="2" type="noConversion"/>
  </si>
  <si>
    <t>主委</t>
    <phoneticPr fontId="2" type="noConversion"/>
  </si>
  <si>
    <t>檢測費</t>
    <phoneticPr fontId="2" type="noConversion"/>
  </si>
  <si>
    <t>業務費</t>
    <phoneticPr fontId="2" type="noConversion"/>
  </si>
  <si>
    <t>維修費</t>
    <phoneticPr fontId="2" type="noConversion"/>
  </si>
  <si>
    <t>水電技工工資</t>
    <phoneticPr fontId="2" type="noConversion"/>
  </si>
  <si>
    <t>水電材料費用</t>
    <phoneticPr fontId="2" type="noConversion"/>
  </si>
  <si>
    <t>消防設備維修</t>
    <phoneticPr fontId="2" type="noConversion"/>
  </si>
  <si>
    <t>113年度總幹事保管金帳務日記帳</t>
    <phoneticPr fontId="2" type="noConversion"/>
  </si>
  <si>
    <t>112年度總幹事保管金帳務日記帳</t>
    <phoneticPr fontId="2" type="noConversion"/>
  </si>
  <si>
    <t>第10梯</t>
    <phoneticPr fontId="2" type="noConversion"/>
  </si>
  <si>
    <t>第5梯</t>
    <phoneticPr fontId="2" type="noConversion"/>
  </si>
  <si>
    <t>第8梯</t>
    <phoneticPr fontId="2" type="noConversion"/>
  </si>
  <si>
    <t>1130815-1</t>
    <phoneticPr fontId="2" type="noConversion"/>
  </si>
  <si>
    <t>1130806-1</t>
    <phoneticPr fontId="2" type="noConversion"/>
  </si>
  <si>
    <t>1130802-1</t>
    <phoneticPr fontId="2" type="noConversion"/>
  </si>
  <si>
    <t>1130720-1</t>
    <phoneticPr fontId="2" type="noConversion"/>
  </si>
  <si>
    <t>1130719-1</t>
    <phoneticPr fontId="2" type="noConversion"/>
  </si>
  <si>
    <t>1130628-1</t>
    <phoneticPr fontId="2" type="noConversion"/>
  </si>
  <si>
    <t>委員會資料</t>
    <phoneticPr fontId="2" type="noConversion"/>
  </si>
  <si>
    <t>補消毒藥水</t>
    <phoneticPr fontId="2" type="noConversion"/>
  </si>
  <si>
    <t>規費</t>
    <phoneticPr fontId="2" type="noConversion"/>
  </si>
  <si>
    <t>謄本申辦</t>
    <phoneticPr fontId="2" type="noConversion"/>
  </si>
  <si>
    <t>1130830-1</t>
    <phoneticPr fontId="2" type="noConversion"/>
  </si>
  <si>
    <t>1130912-1</t>
    <phoneticPr fontId="2" type="noConversion"/>
  </si>
  <si>
    <t>水電管材</t>
    <phoneticPr fontId="2" type="noConversion"/>
  </si>
  <si>
    <t>消防水給水系統</t>
    <phoneticPr fontId="2" type="noConversion"/>
  </si>
  <si>
    <t>用途及核定</t>
    <phoneticPr fontId="2" type="noConversion"/>
  </si>
  <si>
    <t>屬地下停車空間收支</t>
    <phoneticPr fontId="2" type="noConversion"/>
  </si>
  <si>
    <t>非屬地下停車空間收支</t>
    <phoneticPr fontId="2" type="noConversion"/>
  </si>
  <si>
    <t>小計</t>
    <phoneticPr fontId="2" type="noConversion"/>
  </si>
  <si>
    <t>屬性小計</t>
    <phoneticPr fontId="2" type="noConversion"/>
  </si>
  <si>
    <t>屬性合計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</si>
</sst>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_-&quot;$&quot;* #,##0_-;\-&quot;$&quot;* #,##0_-;_-&quot;$&quot;* &quot;-&quot;??_-;_-@_-"/>
    <numFmt numFmtId="177" formatCode="_-[$$-404]* #,##0.00_-;\-[$$-404]* #,##0.00_-;_-[$$-404]* &quot;-&quot;??_-;_-@_-"/>
    <numFmt numFmtId="178" formatCode="_-[$$-404]* #,##0_-;\-[$$-404]* #,##0_-;_-[$$-404]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7" fontId="3" fillId="0" borderId="0" xfId="1" applyNumberFormat="1" applyFont="1">
      <alignment vertical="center"/>
    </xf>
    <xf numFmtId="176" fontId="3" fillId="0" borderId="0" xfId="1" applyNumberFormat="1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178" fontId="4" fillId="0" borderId="1" xfId="1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052F-5B8C-4D90-B87E-734B97830F53}">
  <sheetPr>
    <pageSetUpPr fitToPage="1"/>
  </sheetPr>
  <dimension ref="A1:K41"/>
  <sheetViews>
    <sheetView tabSelected="1" topLeftCell="A30" workbookViewId="0">
      <selection activeCell="K39" sqref="K39"/>
    </sheetView>
  </sheetViews>
  <sheetFormatPr defaultRowHeight="16.2" x14ac:dyDescent="0.3"/>
  <cols>
    <col min="1" max="1" width="10.88671875" style="1" customWidth="1"/>
    <col min="2" max="2" width="4.5546875" style="1" customWidth="1"/>
    <col min="3" max="3" width="4.44140625" style="1" customWidth="1"/>
    <col min="4" max="4" width="4.5546875" style="1" customWidth="1"/>
    <col min="5" max="7" width="13.44140625" style="1" customWidth="1"/>
    <col min="8" max="8" width="16" style="1" customWidth="1"/>
    <col min="9" max="9" width="14.44140625" style="1" customWidth="1"/>
    <col min="10" max="10" width="13.21875" style="1" customWidth="1"/>
    <col min="11" max="11" width="10.44140625" style="1" bestFit="1" customWidth="1"/>
  </cols>
  <sheetData>
    <row r="1" spans="1:11" ht="24.6" x14ac:dyDescent="0.3">
      <c r="B1" s="18" t="s">
        <v>56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" t="s">
        <v>19</v>
      </c>
      <c r="B2" s="1" t="s">
        <v>0</v>
      </c>
      <c r="C2" s="1" t="s">
        <v>1</v>
      </c>
      <c r="D2" s="1" t="s">
        <v>2</v>
      </c>
      <c r="E2" s="1" t="s">
        <v>7</v>
      </c>
      <c r="F2" s="1" t="s">
        <v>8</v>
      </c>
      <c r="G2" s="1" t="s">
        <v>11</v>
      </c>
      <c r="H2" s="1" t="s">
        <v>12</v>
      </c>
      <c r="I2" s="1" t="s">
        <v>74</v>
      </c>
      <c r="J2" s="1" t="s">
        <v>3</v>
      </c>
      <c r="K2" s="1" t="s">
        <v>9</v>
      </c>
    </row>
    <row r="3" spans="1:11" x14ac:dyDescent="0.3">
      <c r="A3" s="1" t="s">
        <v>20</v>
      </c>
      <c r="B3" s="1">
        <v>1</v>
      </c>
      <c r="C3" s="1">
        <v>1</v>
      </c>
      <c r="D3" s="1">
        <v>5</v>
      </c>
      <c r="E3" s="1" t="s">
        <v>4</v>
      </c>
      <c r="F3" s="1" t="s">
        <v>58</v>
      </c>
      <c r="G3" s="2">
        <v>8200</v>
      </c>
      <c r="H3" s="2"/>
      <c r="I3" s="1" t="s">
        <v>5</v>
      </c>
      <c r="J3" s="1" t="s">
        <v>6</v>
      </c>
      <c r="K3" s="1" t="s">
        <v>10</v>
      </c>
    </row>
    <row r="4" spans="1:11" x14ac:dyDescent="0.3">
      <c r="A4" s="1" t="s">
        <v>20</v>
      </c>
      <c r="B4" s="1">
        <v>1</v>
      </c>
      <c r="C4" s="1">
        <v>1</v>
      </c>
      <c r="D4" s="1">
        <v>8</v>
      </c>
      <c r="E4" s="1" t="s">
        <v>4</v>
      </c>
      <c r="F4" s="1" t="s">
        <v>59</v>
      </c>
      <c r="G4" s="2">
        <v>6800</v>
      </c>
      <c r="H4" s="2"/>
      <c r="I4" s="1" t="s">
        <v>5</v>
      </c>
      <c r="J4" s="1" t="s">
        <v>6</v>
      </c>
      <c r="K4" s="1" t="s">
        <v>10</v>
      </c>
    </row>
    <row r="5" spans="1:11" x14ac:dyDescent="0.3">
      <c r="A5" s="1" t="s">
        <v>21</v>
      </c>
      <c r="B5" s="1">
        <v>1</v>
      </c>
      <c r="C5" s="1">
        <v>1</v>
      </c>
      <c r="D5" s="1">
        <v>10</v>
      </c>
      <c r="E5" s="1" t="s">
        <v>4</v>
      </c>
      <c r="F5" s="1" t="s">
        <v>57</v>
      </c>
      <c r="G5" s="2">
        <v>9400</v>
      </c>
      <c r="H5" s="2"/>
      <c r="I5" s="1" t="s">
        <v>5</v>
      </c>
      <c r="J5" s="1" t="s">
        <v>6</v>
      </c>
      <c r="K5" s="1" t="s">
        <v>10</v>
      </c>
    </row>
    <row r="6" spans="1:11" x14ac:dyDescent="0.3">
      <c r="A6" s="1" t="s">
        <v>22</v>
      </c>
      <c r="B6" s="1">
        <v>1</v>
      </c>
      <c r="C6" s="1">
        <v>1</v>
      </c>
      <c r="D6" s="1">
        <v>11</v>
      </c>
      <c r="E6" s="1" t="s">
        <v>4</v>
      </c>
      <c r="F6" s="1" t="s">
        <v>39</v>
      </c>
      <c r="G6" s="2">
        <v>9800</v>
      </c>
      <c r="H6" s="2"/>
      <c r="I6" s="1" t="s">
        <v>5</v>
      </c>
      <c r="J6" s="1" t="s">
        <v>6</v>
      </c>
      <c r="K6" s="1" t="s">
        <v>10</v>
      </c>
    </row>
    <row r="7" spans="1:11" x14ac:dyDescent="0.3">
      <c r="A7" s="1" t="s">
        <v>23</v>
      </c>
      <c r="B7" s="1">
        <v>2</v>
      </c>
      <c r="C7" s="1">
        <v>2</v>
      </c>
      <c r="D7" s="1">
        <v>2</v>
      </c>
      <c r="E7" s="1" t="s">
        <v>49</v>
      </c>
      <c r="F7" s="1" t="s">
        <v>13</v>
      </c>
      <c r="G7" s="2"/>
      <c r="H7" s="2">
        <v>17000</v>
      </c>
      <c r="I7" s="1" t="s">
        <v>31</v>
      </c>
      <c r="J7" s="1" t="s">
        <v>18</v>
      </c>
      <c r="K7" s="1" t="s">
        <v>10</v>
      </c>
    </row>
    <row r="8" spans="1:11" x14ac:dyDescent="0.3">
      <c r="A8" s="1" t="s">
        <v>24</v>
      </c>
      <c r="B8" s="1">
        <v>2</v>
      </c>
      <c r="C8" s="1">
        <v>3</v>
      </c>
      <c r="D8" s="1">
        <v>1</v>
      </c>
      <c r="E8" s="1" t="s">
        <v>51</v>
      </c>
      <c r="F8" s="1" t="s">
        <v>54</v>
      </c>
      <c r="G8" s="2"/>
      <c r="H8" s="2">
        <v>5800</v>
      </c>
      <c r="I8" s="1" t="s">
        <v>31</v>
      </c>
      <c r="J8" s="1" t="s">
        <v>18</v>
      </c>
      <c r="K8" s="1" t="s">
        <v>10</v>
      </c>
    </row>
    <row r="9" spans="1:11" x14ac:dyDescent="0.3">
      <c r="A9" s="1" t="s">
        <v>25</v>
      </c>
      <c r="B9" s="1">
        <v>2</v>
      </c>
      <c r="C9" s="1">
        <v>3</v>
      </c>
      <c r="D9" s="1">
        <v>1</v>
      </c>
      <c r="E9" s="1" t="s">
        <v>51</v>
      </c>
      <c r="F9" s="1" t="s">
        <v>52</v>
      </c>
      <c r="G9" s="2"/>
      <c r="H9" s="2">
        <v>2800</v>
      </c>
      <c r="I9" s="1" t="s">
        <v>31</v>
      </c>
      <c r="J9" s="1" t="s">
        <v>18</v>
      </c>
      <c r="K9" s="1" t="s">
        <v>10</v>
      </c>
    </row>
    <row r="10" spans="1:11" x14ac:dyDescent="0.3">
      <c r="A10" s="1" t="s">
        <v>28</v>
      </c>
      <c r="B10" s="1">
        <v>2</v>
      </c>
      <c r="C10" s="1">
        <v>3</v>
      </c>
      <c r="D10" s="1">
        <v>1</v>
      </c>
      <c r="E10" s="1" t="s">
        <v>51</v>
      </c>
      <c r="F10" s="1" t="s">
        <v>53</v>
      </c>
      <c r="G10" s="2"/>
      <c r="H10" s="2">
        <v>4832</v>
      </c>
      <c r="I10" s="1" t="s">
        <v>31</v>
      </c>
      <c r="J10" s="1" t="s">
        <v>18</v>
      </c>
      <c r="K10" s="1" t="s">
        <v>10</v>
      </c>
    </row>
    <row r="11" spans="1:11" x14ac:dyDescent="0.3">
      <c r="A11" s="1" t="s">
        <v>26</v>
      </c>
      <c r="B11" s="1">
        <v>2</v>
      </c>
      <c r="C11" s="1">
        <v>3</v>
      </c>
      <c r="D11" s="1">
        <v>1</v>
      </c>
      <c r="E11" s="1" t="s">
        <v>51</v>
      </c>
      <c r="F11" s="1" t="s">
        <v>14</v>
      </c>
      <c r="G11" s="2"/>
      <c r="H11" s="2">
        <v>6000</v>
      </c>
      <c r="I11" s="1" t="s">
        <v>17</v>
      </c>
      <c r="J11" s="1" t="s">
        <v>18</v>
      </c>
      <c r="K11" s="1" t="s">
        <v>10</v>
      </c>
    </row>
    <row r="12" spans="1:11" x14ac:dyDescent="0.3">
      <c r="A12" s="1" t="s">
        <v>27</v>
      </c>
      <c r="B12" s="1">
        <v>2</v>
      </c>
      <c r="C12" s="1">
        <v>2</v>
      </c>
      <c r="D12" s="1">
        <v>1</v>
      </c>
      <c r="E12" s="1" t="s">
        <v>50</v>
      </c>
      <c r="F12" s="1" t="s">
        <v>15</v>
      </c>
      <c r="G12" s="2"/>
      <c r="H12" s="2">
        <v>1230</v>
      </c>
      <c r="I12" s="1" t="s">
        <v>16</v>
      </c>
      <c r="J12" s="1" t="s">
        <v>18</v>
      </c>
      <c r="K12" s="1" t="s">
        <v>10</v>
      </c>
    </row>
    <row r="13" spans="1:11" x14ac:dyDescent="0.3">
      <c r="A13" s="1" t="s">
        <v>29</v>
      </c>
      <c r="G13" s="2">
        <f>SUM(G3:G12)</f>
        <v>34200</v>
      </c>
      <c r="H13" s="2">
        <f>SUM(H3:H12)</f>
        <v>37662</v>
      </c>
    </row>
    <row r="14" spans="1:11" x14ac:dyDescent="0.3">
      <c r="A14" s="1" t="s">
        <v>30</v>
      </c>
      <c r="G14" s="2" t="s">
        <v>32</v>
      </c>
      <c r="H14" s="3">
        <f>G13-H13</f>
        <v>-3462</v>
      </c>
    </row>
    <row r="15" spans="1:11" x14ac:dyDescent="0.3">
      <c r="A15" s="19" t="s">
        <v>75</v>
      </c>
      <c r="B15" s="19"/>
      <c r="C15" s="19"/>
      <c r="D15" s="19"/>
      <c r="E15" s="19"/>
      <c r="F15" s="8"/>
      <c r="G15" s="9">
        <f>SUM(G3:G6)-(3600*4)</f>
        <v>19800</v>
      </c>
      <c r="H15" s="10">
        <v>0</v>
      </c>
      <c r="I15" s="8" t="s">
        <v>78</v>
      </c>
      <c r="J15" s="9">
        <f>G15-H15</f>
        <v>19800</v>
      </c>
      <c r="K15" s="8"/>
    </row>
    <row r="16" spans="1:11" x14ac:dyDescent="0.3">
      <c r="A16" s="19" t="s">
        <v>76</v>
      </c>
      <c r="B16" s="19"/>
      <c r="C16" s="19"/>
      <c r="D16" s="19"/>
      <c r="E16" s="19"/>
      <c r="F16" s="8"/>
      <c r="G16" s="10">
        <f>G13-G15</f>
        <v>14400</v>
      </c>
      <c r="H16" s="11">
        <f>H7+H8+H9+H10+H11+H12</f>
        <v>37662</v>
      </c>
      <c r="I16" s="8" t="s">
        <v>78</v>
      </c>
      <c r="J16" s="9">
        <f>G16-H16</f>
        <v>-23262</v>
      </c>
      <c r="K16" s="8"/>
    </row>
    <row r="17" spans="1:11" x14ac:dyDescent="0.3">
      <c r="A17" s="13" t="s">
        <v>77</v>
      </c>
      <c r="B17" s="14"/>
      <c r="C17" s="14"/>
      <c r="D17" s="14"/>
      <c r="E17" s="15"/>
      <c r="F17" s="8"/>
      <c r="G17" s="8"/>
      <c r="H17" s="8"/>
      <c r="I17" s="8" t="s">
        <v>79</v>
      </c>
      <c r="J17" s="9">
        <f>J15+J16</f>
        <v>-3462</v>
      </c>
      <c r="K17" s="8"/>
    </row>
    <row r="18" spans="1:11" x14ac:dyDescent="0.3">
      <c r="A18" s="1" t="s">
        <v>45</v>
      </c>
      <c r="E18" s="1" t="s">
        <v>46</v>
      </c>
      <c r="G18" s="2" t="s">
        <v>47</v>
      </c>
      <c r="H18" s="4"/>
      <c r="I18" s="1" t="s">
        <v>48</v>
      </c>
    </row>
    <row r="20" spans="1:11" ht="24.6" x14ac:dyDescent="0.3">
      <c r="B20" s="18" t="s">
        <v>55</v>
      </c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3">
      <c r="A21" s="1" t="s">
        <v>19</v>
      </c>
      <c r="B21" s="1" t="s">
        <v>0</v>
      </c>
      <c r="C21" s="1" t="s">
        <v>1</v>
      </c>
      <c r="D21" s="1" t="s">
        <v>2</v>
      </c>
      <c r="E21" s="1" t="s">
        <v>7</v>
      </c>
      <c r="F21" s="1" t="s">
        <v>8</v>
      </c>
      <c r="G21" s="1" t="s">
        <v>11</v>
      </c>
      <c r="H21" s="1" t="s">
        <v>12</v>
      </c>
      <c r="I21" s="1" t="s">
        <v>74</v>
      </c>
      <c r="J21" s="1" t="s">
        <v>3</v>
      </c>
      <c r="K21" s="1" t="s">
        <v>9</v>
      </c>
    </row>
    <row r="22" spans="1:11" x14ac:dyDescent="0.3">
      <c r="A22" s="1" t="s">
        <v>34</v>
      </c>
      <c r="B22" s="1">
        <v>1</v>
      </c>
      <c r="C22" s="1">
        <v>1</v>
      </c>
      <c r="D22" s="1">
        <v>1</v>
      </c>
      <c r="E22" s="1" t="s">
        <v>35</v>
      </c>
      <c r="F22" s="1" t="s">
        <v>36</v>
      </c>
      <c r="H22" s="5">
        <v>3462</v>
      </c>
    </row>
    <row r="23" spans="1:11" x14ac:dyDescent="0.3">
      <c r="A23" s="1" t="s">
        <v>37</v>
      </c>
      <c r="B23" s="1">
        <v>1</v>
      </c>
      <c r="C23" s="1">
        <v>12</v>
      </c>
      <c r="D23" s="1">
        <v>10</v>
      </c>
      <c r="E23" s="1" t="s">
        <v>4</v>
      </c>
      <c r="F23" s="1" t="s">
        <v>57</v>
      </c>
      <c r="G23" s="2">
        <v>9400</v>
      </c>
      <c r="H23" s="2"/>
      <c r="I23" s="1" t="s">
        <v>5</v>
      </c>
      <c r="J23" s="1" t="s">
        <v>6</v>
      </c>
      <c r="K23" s="1" t="s">
        <v>10</v>
      </c>
    </row>
    <row r="24" spans="1:11" x14ac:dyDescent="0.3">
      <c r="A24" s="1" t="s">
        <v>38</v>
      </c>
      <c r="B24" s="1">
        <v>1</v>
      </c>
      <c r="C24" s="1">
        <v>2</v>
      </c>
      <c r="D24" s="1">
        <v>11</v>
      </c>
      <c r="E24" s="1" t="s">
        <v>4</v>
      </c>
      <c r="F24" s="1" t="s">
        <v>39</v>
      </c>
      <c r="G24" s="2">
        <v>9800</v>
      </c>
      <c r="H24" s="2"/>
      <c r="I24" s="1" t="s">
        <v>5</v>
      </c>
      <c r="J24" s="1" t="s">
        <v>6</v>
      </c>
      <c r="K24" s="1" t="s">
        <v>10</v>
      </c>
    </row>
    <row r="25" spans="1:11" x14ac:dyDescent="0.3">
      <c r="A25" s="1" t="s">
        <v>38</v>
      </c>
      <c r="B25" s="1">
        <v>1</v>
      </c>
      <c r="C25" s="1">
        <v>3</v>
      </c>
      <c r="D25" s="1">
        <v>1</v>
      </c>
      <c r="E25" s="1" t="s">
        <v>41</v>
      </c>
      <c r="F25" s="1" t="s">
        <v>42</v>
      </c>
      <c r="G25" s="2">
        <v>2</v>
      </c>
      <c r="H25" s="2"/>
      <c r="I25" s="1" t="s">
        <v>43</v>
      </c>
      <c r="J25" s="1" t="s">
        <v>44</v>
      </c>
      <c r="K25" s="1" t="s">
        <v>10</v>
      </c>
    </row>
    <row r="26" spans="1:11" x14ac:dyDescent="0.3">
      <c r="A26" s="1" t="s">
        <v>65</v>
      </c>
      <c r="B26" s="1">
        <v>2</v>
      </c>
      <c r="C26" s="1">
        <v>2</v>
      </c>
      <c r="D26" s="1">
        <v>1</v>
      </c>
      <c r="E26" s="1" t="s">
        <v>50</v>
      </c>
      <c r="F26" s="1" t="s">
        <v>15</v>
      </c>
      <c r="G26" s="2"/>
      <c r="H26" s="2">
        <v>22</v>
      </c>
      <c r="I26" s="1" t="s">
        <v>66</v>
      </c>
      <c r="J26" s="1" t="s">
        <v>18</v>
      </c>
      <c r="K26" s="1" t="s">
        <v>10</v>
      </c>
    </row>
    <row r="27" spans="1:11" x14ac:dyDescent="0.3">
      <c r="A27" s="1" t="s">
        <v>65</v>
      </c>
      <c r="B27" s="1">
        <v>2</v>
      </c>
      <c r="C27" s="1">
        <v>2</v>
      </c>
      <c r="D27" s="1">
        <v>1</v>
      </c>
      <c r="E27" s="1" t="s">
        <v>50</v>
      </c>
      <c r="F27" s="1" t="s">
        <v>15</v>
      </c>
      <c r="G27" s="2"/>
      <c r="H27" s="2">
        <v>44</v>
      </c>
      <c r="I27" s="1" t="s">
        <v>66</v>
      </c>
      <c r="J27" s="1" t="s">
        <v>18</v>
      </c>
      <c r="K27" s="1" t="s">
        <v>10</v>
      </c>
    </row>
    <row r="28" spans="1:11" x14ac:dyDescent="0.3">
      <c r="A28" s="1" t="s">
        <v>64</v>
      </c>
      <c r="B28" s="1">
        <v>2</v>
      </c>
      <c r="C28" s="1">
        <v>2</v>
      </c>
      <c r="D28" s="1">
        <v>1</v>
      </c>
      <c r="E28" s="1" t="s">
        <v>50</v>
      </c>
      <c r="F28" s="1" t="s">
        <v>33</v>
      </c>
      <c r="G28" s="2"/>
      <c r="H28" s="2">
        <v>8000</v>
      </c>
      <c r="I28" s="1" t="s">
        <v>31</v>
      </c>
      <c r="J28" s="1" t="s">
        <v>6</v>
      </c>
      <c r="K28" s="1" t="s">
        <v>10</v>
      </c>
    </row>
    <row r="29" spans="1:11" x14ac:dyDescent="0.3">
      <c r="A29" s="1" t="s">
        <v>63</v>
      </c>
      <c r="B29" s="1">
        <v>2</v>
      </c>
      <c r="C29" s="1">
        <v>2</v>
      </c>
      <c r="D29" s="1">
        <v>1</v>
      </c>
      <c r="E29" s="1" t="s">
        <v>50</v>
      </c>
      <c r="F29" s="1" t="s">
        <v>67</v>
      </c>
      <c r="G29" s="2"/>
      <c r="H29" s="2">
        <v>2000</v>
      </c>
      <c r="I29" s="1" t="s">
        <v>31</v>
      </c>
      <c r="J29" s="1" t="s">
        <v>18</v>
      </c>
      <c r="K29" s="1" t="s">
        <v>10</v>
      </c>
    </row>
    <row r="30" spans="1:11" x14ac:dyDescent="0.3">
      <c r="A30" s="1" t="s">
        <v>61</v>
      </c>
      <c r="B30" s="1">
        <v>2</v>
      </c>
      <c r="C30" s="1">
        <v>2</v>
      </c>
      <c r="D30" s="1">
        <v>1</v>
      </c>
      <c r="E30" s="1" t="s">
        <v>50</v>
      </c>
      <c r="F30" s="1" t="s">
        <v>15</v>
      </c>
      <c r="G30" s="2"/>
      <c r="H30" s="2">
        <v>442</v>
      </c>
      <c r="I30" s="1" t="s">
        <v>31</v>
      </c>
      <c r="J30" s="1" t="s">
        <v>6</v>
      </c>
      <c r="K30" s="1" t="s">
        <v>10</v>
      </c>
    </row>
    <row r="31" spans="1:11" x14ac:dyDescent="0.3">
      <c r="A31" s="1" t="s">
        <v>62</v>
      </c>
      <c r="B31" s="1">
        <v>2</v>
      </c>
      <c r="C31" s="1">
        <v>2</v>
      </c>
      <c r="D31" s="1">
        <v>1</v>
      </c>
      <c r="E31" s="1" t="s">
        <v>50</v>
      </c>
      <c r="F31" s="1" t="s">
        <v>15</v>
      </c>
      <c r="G31" s="2"/>
      <c r="H31" s="2">
        <v>132</v>
      </c>
      <c r="I31" s="1" t="s">
        <v>31</v>
      </c>
      <c r="J31" s="1" t="s">
        <v>6</v>
      </c>
      <c r="K31" s="1" t="s">
        <v>10</v>
      </c>
    </row>
    <row r="32" spans="1:11" x14ac:dyDescent="0.3">
      <c r="A32" s="1" t="s">
        <v>61</v>
      </c>
      <c r="B32" s="1">
        <v>2</v>
      </c>
      <c r="C32" s="1">
        <v>2</v>
      </c>
      <c r="D32" s="1">
        <v>1</v>
      </c>
      <c r="E32" s="1" t="s">
        <v>50</v>
      </c>
      <c r="F32" s="1" t="s">
        <v>15</v>
      </c>
      <c r="G32" s="2"/>
      <c r="H32" s="2">
        <v>264</v>
      </c>
      <c r="I32" s="1" t="s">
        <v>17</v>
      </c>
      <c r="J32" s="1" t="s">
        <v>6</v>
      </c>
      <c r="K32" s="1" t="s">
        <v>10</v>
      </c>
    </row>
    <row r="33" spans="1:11" x14ac:dyDescent="0.3">
      <c r="A33" s="1" t="s">
        <v>60</v>
      </c>
      <c r="B33" s="1">
        <v>2</v>
      </c>
      <c r="C33" s="1">
        <v>2</v>
      </c>
      <c r="D33" s="1">
        <v>1</v>
      </c>
      <c r="E33" s="1" t="s">
        <v>50</v>
      </c>
      <c r="F33" s="1" t="s">
        <v>15</v>
      </c>
      <c r="G33" s="2"/>
      <c r="H33" s="2">
        <v>128</v>
      </c>
      <c r="I33" s="1" t="s">
        <v>16</v>
      </c>
      <c r="J33" s="1" t="s">
        <v>6</v>
      </c>
      <c r="K33" s="1" t="s">
        <v>10</v>
      </c>
    </row>
    <row r="34" spans="1:11" x14ac:dyDescent="0.3">
      <c r="A34" s="1" t="s">
        <v>70</v>
      </c>
      <c r="B34" s="1">
        <v>2</v>
      </c>
      <c r="C34" s="1">
        <v>2</v>
      </c>
      <c r="D34" s="1">
        <v>1</v>
      </c>
      <c r="E34" s="1" t="s">
        <v>50</v>
      </c>
      <c r="F34" s="1" t="s">
        <v>72</v>
      </c>
      <c r="G34" s="2"/>
      <c r="H34" s="2">
        <v>315</v>
      </c>
      <c r="I34" s="1" t="s">
        <v>73</v>
      </c>
      <c r="J34" s="1" t="s">
        <v>6</v>
      </c>
      <c r="K34" s="1" t="s">
        <v>10</v>
      </c>
    </row>
    <row r="35" spans="1:11" x14ac:dyDescent="0.3">
      <c r="A35" s="1" t="s">
        <v>71</v>
      </c>
      <c r="B35" s="1">
        <v>2</v>
      </c>
      <c r="C35" s="1">
        <v>2</v>
      </c>
      <c r="D35" s="1">
        <v>1</v>
      </c>
      <c r="E35" s="1" t="s">
        <v>50</v>
      </c>
      <c r="F35" s="1" t="s">
        <v>68</v>
      </c>
      <c r="H35" s="1">
        <v>3120</v>
      </c>
      <c r="I35" s="1" t="s">
        <v>69</v>
      </c>
      <c r="J35" s="1" t="s">
        <v>18</v>
      </c>
      <c r="K35" s="1" t="s">
        <v>10</v>
      </c>
    </row>
    <row r="36" spans="1:11" x14ac:dyDescent="0.3">
      <c r="A36" s="1" t="s">
        <v>29</v>
      </c>
      <c r="G36" s="2">
        <f>SUM(G23:G33)</f>
        <v>19202</v>
      </c>
      <c r="H36" s="2">
        <f>SUM(H22:H35)</f>
        <v>17929</v>
      </c>
    </row>
    <row r="37" spans="1:11" x14ac:dyDescent="0.3">
      <c r="A37" s="1" t="s">
        <v>30</v>
      </c>
      <c r="G37" s="2" t="s">
        <v>40</v>
      </c>
      <c r="H37" s="3">
        <f>G36-H36</f>
        <v>1273</v>
      </c>
    </row>
    <row r="38" spans="1:11" x14ac:dyDescent="0.3">
      <c r="A38" s="19" t="s">
        <v>75</v>
      </c>
      <c r="B38" s="19"/>
      <c r="C38" s="19"/>
      <c r="D38" s="19"/>
      <c r="E38" s="19"/>
      <c r="F38" s="8"/>
      <c r="G38" s="9">
        <f>SUM(G23:G24)-(3600*2)</f>
        <v>12000</v>
      </c>
      <c r="H38" s="10">
        <f>H28+H29</f>
        <v>10000</v>
      </c>
      <c r="I38" s="16" t="s">
        <v>78</v>
      </c>
      <c r="J38" s="9">
        <f>G38-H38</f>
        <v>2000</v>
      </c>
    </row>
    <row r="39" spans="1:11" x14ac:dyDescent="0.3">
      <c r="A39" s="19" t="s">
        <v>76</v>
      </c>
      <c r="B39" s="19"/>
      <c r="C39" s="19"/>
      <c r="D39" s="19"/>
      <c r="E39" s="19"/>
      <c r="F39" s="8"/>
      <c r="G39" s="10">
        <f>G36-G38</f>
        <v>7202</v>
      </c>
      <c r="H39" s="12">
        <f>H25+H27+H30+H31+H32+H33+H34+H22+H26+H35</f>
        <v>7929</v>
      </c>
      <c r="I39" s="17"/>
      <c r="J39" s="9">
        <f>G39-H39</f>
        <v>-727</v>
      </c>
    </row>
    <row r="40" spans="1:11" x14ac:dyDescent="0.3">
      <c r="A40" s="13" t="s">
        <v>77</v>
      </c>
      <c r="B40" s="14"/>
      <c r="C40" s="14"/>
      <c r="D40" s="14"/>
      <c r="E40" s="15"/>
      <c r="F40" s="8"/>
      <c r="G40" s="9">
        <f>G38+G39</f>
        <v>19202</v>
      </c>
      <c r="H40" s="9">
        <f>H38+H39</f>
        <v>17929</v>
      </c>
      <c r="I40" s="7" t="s">
        <v>79</v>
      </c>
      <c r="J40" s="9">
        <f>G40-H40</f>
        <v>1273</v>
      </c>
      <c r="K40" s="6"/>
    </row>
    <row r="41" spans="1:11" x14ac:dyDescent="0.3">
      <c r="A41" s="1" t="s">
        <v>45</v>
      </c>
      <c r="E41" s="1" t="s">
        <v>46</v>
      </c>
      <c r="G41" s="2" t="s">
        <v>47</v>
      </c>
      <c r="H41" s="4"/>
      <c r="I41" s="1" t="s">
        <v>48</v>
      </c>
    </row>
  </sheetData>
  <mergeCells count="9">
    <mergeCell ref="A40:E40"/>
    <mergeCell ref="I38:I39"/>
    <mergeCell ref="B1:K1"/>
    <mergeCell ref="B20:K20"/>
    <mergeCell ref="A15:E15"/>
    <mergeCell ref="A39:E39"/>
    <mergeCell ref="A16:E16"/>
    <mergeCell ref="A38:E38"/>
    <mergeCell ref="A17:E17"/>
  </mergeCells>
  <phoneticPr fontId="2" type="noConversion"/>
  <pageMargins left="1.3385826771653544" right="0.23622047244094491" top="0.39370078740157483" bottom="0.19685039370078741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0DE7-8E04-6D46-BB3F-CE464581141A}">
  <dimension ref="A1"/>
  <sheetViews>
    <sheetView zoomScale="69" zoomScaleNormal="100" zoomScaleSheetLayoutView="100" workbookViewId="0">
      <selection activeCell="E15" sqref="E15"/>
    </sheetView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政隆 江</dc:creator>
  <cp:lastModifiedBy>政隆 江</cp:lastModifiedBy>
  <cp:lastPrinted>2024-12-18T12:34:45Z</cp:lastPrinted>
  <dcterms:created xsi:type="dcterms:W3CDTF">2024-08-15T03:54:35Z</dcterms:created>
  <dcterms:modified xsi:type="dcterms:W3CDTF">2024-12-19T03:08:39Z</dcterms:modified>
</cp:coreProperties>
</file>