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/>
  <mc:AlternateContent xmlns:mc="http://schemas.openxmlformats.org/markup-compatibility/2006">
    <mc:Choice Requires="x15">
      <x15ac:absPath xmlns:x15ac="http://schemas.microsoft.com/office/spreadsheetml/2010/11/ac" url="C:\Users\User\Dropbox\社區發展協會\暫存夾\"/>
    </mc:Choice>
  </mc:AlternateContent>
  <xr:revisionPtr revIDLastSave="0" documentId="13_ncr:1_{3715A5A3-CB89-43D6-A506-C95478532D6C}" xr6:coauthVersionLast="47" xr6:coauthVersionMax="47" xr10:uidLastSave="{00000000-0000-0000-0000-000000000000}"/>
  <bookViews>
    <workbookView xWindow="-108" yWindow="-108" windowWidth="21432" windowHeight="11520" xr2:uid="{00000000-000D-0000-FFFF-FFFF00000000}"/>
  </bookViews>
  <sheets>
    <sheet name="報價單" sheetId="1" r:id="rId1"/>
  </sheets>
  <definedNames>
    <definedName name="_xlnm.Print_Area" localSheetId="0">報價單!$A$1:$G$35</definedName>
  </definedNames>
  <calcPr calcId="191029"/>
</workbook>
</file>

<file path=xl/calcChain.xml><?xml version="1.0" encoding="utf-8"?>
<calcChain xmlns="http://schemas.openxmlformats.org/spreadsheetml/2006/main">
  <c r="F35" i="1" l="1"/>
  <c r="F12" i="1"/>
  <c r="F23" i="1" s="1"/>
  <c r="F25" i="1" s="1"/>
</calcChain>
</file>

<file path=xl/sharedStrings.xml><?xml version="1.0" encoding="utf-8"?>
<sst xmlns="http://schemas.openxmlformats.org/spreadsheetml/2006/main" count="43" uniqueCount="42">
  <si>
    <t>報價單</t>
  </si>
  <si>
    <t>客戶：</t>
  </si>
  <si>
    <t>新北市三重區五常社區發展協會</t>
  </si>
  <si>
    <t>統編：</t>
  </si>
  <si>
    <t>26164153</t>
  </si>
  <si>
    <t>Email：o0930913993o@365plus.work</t>
  </si>
  <si>
    <t>電話：</t>
  </si>
  <si>
    <t>傳真：</t>
  </si>
  <si>
    <t>手機：</t>
  </si>
  <si>
    <t>0966676757</t>
  </si>
  <si>
    <t>地址：</t>
  </si>
  <si>
    <t>新北市三重區仁義街161號</t>
  </si>
  <si>
    <t>編號</t>
  </si>
  <si>
    <t>品                名</t>
  </si>
  <si>
    <t>數 量</t>
  </si>
  <si>
    <t>單位</t>
  </si>
  <si>
    <t>單價</t>
  </si>
  <si>
    <t>複價</t>
  </si>
  <si>
    <t xml:space="preserve">  備   註</t>
  </si>
  <si>
    <t>台</t>
  </si>
  <si>
    <r>
      <rPr>
        <b/>
        <sz val="12"/>
        <rFont val="細明體"/>
        <family val="3"/>
      </rPr>
      <t>運費</t>
    </r>
    <r>
      <rPr>
        <b/>
        <sz val="12"/>
        <color rgb="FFFF0000"/>
        <rFont val="細明體"/>
        <family val="3"/>
      </rPr>
      <t>(1樓或電梯樓層)</t>
    </r>
  </si>
  <si>
    <t>式</t>
  </si>
  <si>
    <t>優惠</t>
  </si>
  <si>
    <t>備註：
若有意訂購，請於本欄簽名或蓋公司章，連同訂金匯款單據以LINE或傳真，確認以此報價單金額訂購。</t>
  </si>
  <si>
    <t>合計:</t>
  </si>
  <si>
    <t>稅金:</t>
  </si>
  <si>
    <t>含稅</t>
  </si>
  <si>
    <t>總計:</t>
  </si>
  <si>
    <t>1、若買方下訂後逕為取消本交易，訂金恕不歸還。</t>
  </si>
  <si>
    <t>2、貨品送達時七日內無異議視同交易完成。</t>
  </si>
  <si>
    <t>3、若買方未付清款項。買方同意賣方逕行取回本次商品取償。若不足清</t>
  </si>
  <si>
    <t>   償積欠賣方之本件承攬款項仍須負清償之責。</t>
  </si>
  <si>
    <t>商祺</t>
  </si>
  <si>
    <t>本報價為加蓋本公司印章無效</t>
  </si>
  <si>
    <t>此報價效期為兩週</t>
  </si>
  <si>
    <t>不勝感禱</t>
  </si>
  <si>
    <t>承辦：</t>
  </si>
  <si>
    <t>日期：</t>
  </si>
  <si>
    <t>憶群數位科技有限公司</t>
    <phoneticPr fontId="18" type="noConversion"/>
  </si>
  <si>
    <t>新北市三重區長榮路17號</t>
    <phoneticPr fontId="18" type="noConversion"/>
  </si>
  <si>
    <r>
      <t>電話：</t>
    </r>
    <r>
      <rPr>
        <b/>
        <sz val="12"/>
        <rFont val="Times New Roman"/>
        <family val="1"/>
      </rPr>
      <t xml:space="preserve">(02)29766646  </t>
    </r>
    <r>
      <rPr>
        <b/>
        <sz val="12"/>
        <rFont val="細明體"/>
        <family val="1"/>
        <charset val="136"/>
      </rPr>
      <t>行動</t>
    </r>
    <r>
      <rPr>
        <b/>
        <sz val="12"/>
        <rFont val="細明體"/>
        <family val="3"/>
      </rPr>
      <t>：</t>
    </r>
    <r>
      <rPr>
        <b/>
        <sz val="12"/>
        <rFont val="Times New Roman"/>
        <family val="1"/>
      </rPr>
      <t>0966797524</t>
    </r>
    <phoneticPr fontId="18" type="noConversion"/>
  </si>
  <si>
    <t>65吋多媒體電視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</si>
</sst>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$&quot;* #,##0_-;\-&quot;$&quot;* #,##0_-;_-&quot;$&quot;* &quot;-&quot;_-;_-@_-"/>
    <numFmt numFmtId="41" formatCode="_-* #,##0_-;\-* #,##0_-;_-* &quot;-&quot;_-;_-@_-"/>
    <numFmt numFmtId="44" formatCode="_-&quot;$&quot;* #,##0.00_-;\-&quot;$&quot;* #,##0.00_-;_-&quot;$&quot;* &quot;-&quot;??_-;_-@_-"/>
    <numFmt numFmtId="176" formatCode="_-&quot;$&quot;* #,##0_-;\-&quot;$&quot;* #,##0_-;_-&quot;$&quot;* &quot;-&quot;??_-;_-@_-"/>
  </numFmts>
  <fonts count="20">
    <font>
      <sz val="12"/>
      <name val="新細明體"/>
      <charset val="136"/>
    </font>
    <font>
      <b/>
      <sz val="12"/>
      <name val="細明體"/>
      <family val="3"/>
    </font>
    <font>
      <sz val="12"/>
      <name val="細明體"/>
      <family val="3"/>
    </font>
    <font>
      <b/>
      <sz val="20"/>
      <name val="細明體"/>
      <family val="3"/>
    </font>
    <font>
      <b/>
      <sz val="10"/>
      <name val="Times New Roman"/>
      <family val="1"/>
    </font>
    <font>
      <b/>
      <u/>
      <sz val="20"/>
      <name val="細明體"/>
      <family val="3"/>
    </font>
    <font>
      <u/>
      <sz val="12"/>
      <color theme="10"/>
      <name val="新細明體"/>
      <family val="1"/>
    </font>
    <font>
      <sz val="11"/>
      <color rgb="FF0000CC"/>
      <name val="Calibri"/>
      <family val="2"/>
    </font>
    <font>
      <u/>
      <sz val="12"/>
      <color rgb="FF800080"/>
      <name val="新細明體"/>
      <family val="1"/>
    </font>
    <font>
      <b/>
      <sz val="12"/>
      <name val="Times New Roman"/>
      <family val="1"/>
    </font>
    <font>
      <b/>
      <sz val="12"/>
      <color rgb="FFFF0000"/>
      <name val="細明體"/>
      <family val="3"/>
    </font>
    <font>
      <b/>
      <sz val="10"/>
      <name val="標楷體"/>
      <family val="4"/>
    </font>
    <font>
      <b/>
      <sz val="20"/>
      <color theme="1"/>
      <name val="新細明體"/>
      <family val="1"/>
    </font>
    <font>
      <b/>
      <sz val="12"/>
      <color theme="1"/>
      <name val="新細明體"/>
      <family val="1"/>
    </font>
    <font>
      <b/>
      <sz val="12"/>
      <color theme="1"/>
      <name val="新細明體"/>
      <family val="1"/>
      <scheme val="minor"/>
    </font>
    <font>
      <b/>
      <sz val="14"/>
      <name val="細明體"/>
      <family val="3"/>
    </font>
    <font>
      <b/>
      <sz val="11"/>
      <name val="細明體"/>
      <family val="3"/>
    </font>
    <font>
      <sz val="12"/>
      <name val="新細明體"/>
      <family val="1"/>
    </font>
    <font>
      <sz val="9"/>
      <name val="新細明體"/>
      <family val="1"/>
    </font>
    <font>
      <b/>
      <sz val="12"/>
      <name val="細明體"/>
      <family val="1"/>
      <charset val="136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>
      <alignment vertical="center"/>
    </xf>
  </cellStyleXfs>
  <cellXfs count="8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1" applyBorder="1" applyAlignment="1" applyProtection="1"/>
    <xf numFmtId="0" fontId="7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/>
    <xf numFmtId="0" fontId="6" fillId="0" borderId="0" xfId="1" applyAlignment="1" applyProtection="1"/>
    <xf numFmtId="0" fontId="8" fillId="0" borderId="0" xfId="1" applyFont="1" applyAlignment="1" applyProtection="1">
      <alignment horizontal="right"/>
    </xf>
    <xf numFmtId="0" fontId="9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 wrapText="1"/>
    </xf>
    <xf numFmtId="176" fontId="1" fillId="0" borderId="2" xfId="2" applyNumberFormat="1" applyFont="1" applyBorder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176" fontId="10" fillId="0" borderId="2" xfId="2" applyNumberFormat="1" applyFont="1" applyBorder="1" applyAlignment="1">
      <alignment horizontal="center" vertical="center"/>
    </xf>
    <xf numFmtId="176" fontId="1" fillId="0" borderId="4" xfId="2" applyNumberFormat="1" applyFont="1" applyBorder="1" applyAlignment="1">
      <alignment vertical="center"/>
    </xf>
    <xf numFmtId="176" fontId="1" fillId="0" borderId="5" xfId="2" applyNumberFormat="1" applyFont="1" applyBorder="1" applyAlignment="1">
      <alignment vertical="center"/>
    </xf>
    <xf numFmtId="176" fontId="1" fillId="0" borderId="6" xfId="2" applyNumberFormat="1" applyFont="1" applyBorder="1" applyAlignment="1">
      <alignment vertical="center"/>
    </xf>
    <xf numFmtId="176" fontId="1" fillId="0" borderId="7" xfId="2" applyNumberFormat="1" applyFont="1" applyBorder="1" applyAlignment="1">
      <alignment vertical="center"/>
    </xf>
    <xf numFmtId="176" fontId="1" fillId="0" borderId="0" xfId="2" applyNumberFormat="1" applyFont="1" applyBorder="1" applyAlignment="1">
      <alignment vertical="center"/>
    </xf>
    <xf numFmtId="176" fontId="1" fillId="0" borderId="8" xfId="2" applyNumberFormat="1" applyFont="1" applyBorder="1" applyAlignment="1">
      <alignment vertical="center"/>
    </xf>
    <xf numFmtId="176" fontId="1" fillId="0" borderId="9" xfId="2" applyNumberFormat="1" applyFont="1" applyBorder="1" applyAlignment="1">
      <alignment vertical="center"/>
    </xf>
    <xf numFmtId="176" fontId="1" fillId="0" borderId="10" xfId="2" applyNumberFormat="1" applyFont="1" applyBorder="1" applyAlignment="1">
      <alignment vertical="center"/>
    </xf>
    <xf numFmtId="176" fontId="1" fillId="0" borderId="11" xfId="2" applyNumberFormat="1" applyFont="1" applyBorder="1" applyAlignment="1">
      <alignment vertical="center"/>
    </xf>
    <xf numFmtId="41" fontId="1" fillId="0" borderId="3" xfId="0" applyNumberFormat="1" applyFont="1" applyBorder="1" applyAlignment="1">
      <alignment horizontal="right" vertical="center"/>
    </xf>
    <xf numFmtId="42" fontId="1" fillId="0" borderId="12" xfId="3" applyFont="1" applyFill="1" applyBorder="1" applyAlignment="1">
      <alignment horizontal="right" vertical="center"/>
    </xf>
    <xf numFmtId="49" fontId="10" fillId="0" borderId="2" xfId="0" applyNumberFormat="1" applyFont="1" applyBorder="1" applyAlignment="1">
      <alignment vertical="center" wrapText="1"/>
    </xf>
    <xf numFmtId="0" fontId="1" fillId="0" borderId="7" xfId="0" applyFont="1" applyBorder="1" applyAlignment="1">
      <alignment vertical="center"/>
    </xf>
    <xf numFmtId="0" fontId="0" fillId="0" borderId="0" xfId="0" applyAlignment="1">
      <alignment horizontal="right" vertical="center"/>
    </xf>
    <xf numFmtId="49" fontId="1" fillId="0" borderId="8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8" xfId="0" applyFont="1" applyBorder="1"/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2" fillId="0" borderId="10" xfId="0" applyFont="1" applyBorder="1"/>
    <xf numFmtId="0" fontId="1" fillId="0" borderId="10" xfId="0" applyFont="1" applyBorder="1" applyAlignment="1">
      <alignment horizontal="center" vertical="center"/>
    </xf>
    <xf numFmtId="0" fontId="2" fillId="0" borderId="11" xfId="0" applyFont="1" applyBorder="1"/>
    <xf numFmtId="0" fontId="14" fillId="0" borderId="3" xfId="0" applyFont="1" applyBorder="1" applyAlignment="1">
      <alignment vertical="center" wrapText="1"/>
    </xf>
    <xf numFmtId="0" fontId="0" fillId="0" borderId="13" xfId="0" applyBorder="1" applyAlignment="1">
      <alignment horizontal="left" vertical="center"/>
    </xf>
    <xf numFmtId="0" fontId="0" fillId="0" borderId="13" xfId="0" applyBorder="1"/>
    <xf numFmtId="0" fontId="15" fillId="0" borderId="13" xfId="0" applyFont="1" applyBorder="1" applyAlignment="1">
      <alignment horizontal="right" vertical="center"/>
    </xf>
    <xf numFmtId="14" fontId="0" fillId="0" borderId="13" xfId="0" applyNumberFormat="1" applyBorder="1" applyAlignment="1">
      <alignment horizontal="left" vertical="center"/>
    </xf>
    <xf numFmtId="0" fontId="0" fillId="0" borderId="14" xfId="0" applyBorder="1"/>
    <xf numFmtId="0" fontId="1" fillId="0" borderId="5" xfId="0" applyFont="1" applyBorder="1"/>
    <xf numFmtId="0" fontId="15" fillId="0" borderId="5" xfId="0" applyFont="1" applyBorder="1"/>
    <xf numFmtId="0" fontId="15" fillId="0" borderId="5" xfId="0" applyFont="1" applyBorder="1" applyAlignment="1">
      <alignment horizontal="center"/>
    </xf>
    <xf numFmtId="41" fontId="2" fillId="0" borderId="0" xfId="0" applyNumberFormat="1" applyFont="1"/>
    <xf numFmtId="41" fontId="2" fillId="0" borderId="0" xfId="0" applyNumberFormat="1" applyFont="1" applyAlignment="1">
      <alignment horizontal="right"/>
    </xf>
    <xf numFmtId="42" fontId="16" fillId="0" borderId="0" xfId="0" applyNumberFormat="1" applyFont="1"/>
    <xf numFmtId="0" fontId="2" fillId="0" borderId="0" xfId="0" applyFont="1" applyAlignment="1">
      <alignment horizontal="left"/>
    </xf>
    <xf numFmtId="0" fontId="1" fillId="0" borderId="0" xfId="0" quotePrefix="1" applyFont="1" applyAlignment="1">
      <alignment horizontal="left"/>
    </xf>
    <xf numFmtId="0" fontId="2" fillId="0" borderId="0" xfId="0" applyFont="1" applyAlignment="1">
      <alignment horizontal="left"/>
    </xf>
    <xf numFmtId="0" fontId="12" fillId="0" borderId="7" xfId="0" applyFont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2" fillId="0" borderId="8" xfId="0" applyFont="1" applyBorder="1" applyAlignment="1">
      <alignment horizontal="center" vertical="top" wrapText="1"/>
    </xf>
    <xf numFmtId="0" fontId="11" fillId="0" borderId="4" xfId="0" applyFont="1" applyBorder="1" applyAlignment="1">
      <alignment horizontal="left" vertical="top" wrapText="1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0" xfId="0"/>
    <xf numFmtId="0" fontId="0" fillId="0" borderId="8" xfId="0" applyBorder="1"/>
    <xf numFmtId="0" fontId="13" fillId="0" borderId="9" xfId="0" applyFont="1" applyBorder="1" applyAlignment="1">
      <alignment horizontal="right" vertical="top" wrapText="1"/>
    </xf>
    <xf numFmtId="0" fontId="0" fillId="0" borderId="10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41" fontId="1" fillId="0" borderId="4" xfId="0" applyNumberFormat="1" applyFont="1" applyBorder="1" applyAlignment="1">
      <alignment vertical="center"/>
    </xf>
    <xf numFmtId="41" fontId="1" fillId="0" borderId="5" xfId="0" applyNumberFormat="1" applyFont="1" applyBorder="1" applyAlignment="1">
      <alignment vertical="center"/>
    </xf>
    <xf numFmtId="41" fontId="1" fillId="0" borderId="6" xfId="0" applyNumberFormat="1" applyFont="1" applyBorder="1" applyAlignment="1">
      <alignment vertical="center"/>
    </xf>
    <xf numFmtId="0" fontId="0" fillId="0" borderId="6" xfId="0" applyBorder="1" applyAlignment="1">
      <alignment vertical="center"/>
    </xf>
  </cellXfs>
  <cellStyles count="4">
    <cellStyle name="一般" xfId="0" builtinId="0"/>
    <cellStyle name="貨幣" xfId="2" builtinId="4"/>
    <cellStyle name="貨幣 [0]" xfId="3" builtinId="7"/>
    <cellStyle name="超連結" xfId="1" builtinId="8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o0930913993o@365plus.wor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82"/>
  <sheetViews>
    <sheetView tabSelected="1" view="pageBreakPreview" topLeftCell="A19" zoomScaleNormal="100" zoomScaleSheetLayoutView="100" workbookViewId="0">
      <selection activeCell="B12" sqref="B12"/>
    </sheetView>
  </sheetViews>
  <sheetFormatPr defaultColWidth="9" defaultRowHeight="16.2"/>
  <cols>
    <col min="1" max="1" width="7.33203125" style="2" customWidth="1"/>
    <col min="2" max="2" width="36" style="3" customWidth="1"/>
    <col min="3" max="3" width="6.44140625" style="3" customWidth="1"/>
    <col min="4" max="4" width="5.6640625" style="2" customWidth="1"/>
    <col min="5" max="6" width="13.77734375" style="3" customWidth="1"/>
    <col min="7" max="7" width="13.77734375" style="2" customWidth="1"/>
    <col min="8" max="16384" width="9" style="3"/>
  </cols>
  <sheetData>
    <row r="1" spans="1:14" ht="28.2">
      <c r="A1" s="79" t="s">
        <v>38</v>
      </c>
      <c r="B1" s="79"/>
      <c r="C1" s="79"/>
      <c r="D1" s="79"/>
      <c r="E1" s="79"/>
      <c r="F1" s="79"/>
      <c r="G1" s="79"/>
    </row>
    <row r="2" spans="1:14">
      <c r="A2" s="80" t="s">
        <v>39</v>
      </c>
      <c r="B2" s="80"/>
      <c r="C2" s="80"/>
      <c r="D2" s="80"/>
      <c r="E2" s="80"/>
      <c r="F2" s="80"/>
      <c r="G2" s="80"/>
    </row>
    <row r="3" spans="1:14">
      <c r="A3" s="80" t="s">
        <v>40</v>
      </c>
      <c r="B3" s="81"/>
      <c r="C3" s="81"/>
      <c r="D3" s="81"/>
      <c r="E3" s="81"/>
      <c r="F3" s="81"/>
      <c r="G3" s="81"/>
    </row>
    <row r="4" spans="1:14" ht="31.5" customHeight="1">
      <c r="A4" s="82" t="s">
        <v>0</v>
      </c>
      <c r="B4" s="82"/>
      <c r="C4" s="82"/>
      <c r="D4" s="82"/>
      <c r="E4" s="82"/>
      <c r="F4" s="82"/>
      <c r="G4" s="82"/>
    </row>
    <row r="5" spans="1:14" s="1" customFormat="1">
      <c r="A5" s="1" t="s">
        <v>1</v>
      </c>
      <c r="B5" s="1" t="s">
        <v>2</v>
      </c>
      <c r="C5" s="6"/>
      <c r="D5" s="7"/>
      <c r="E5" s="8"/>
      <c r="F5" s="9"/>
      <c r="G5" s="10"/>
    </row>
    <row r="6" spans="1:14" s="1" customFormat="1">
      <c r="A6" s="1" t="s">
        <v>3</v>
      </c>
      <c r="B6" s="11" t="s">
        <v>4</v>
      </c>
      <c r="C6" s="6" t="s">
        <v>5</v>
      </c>
      <c r="D6" s="12"/>
      <c r="E6" s="13"/>
      <c r="F6" s="9"/>
      <c r="G6" s="10"/>
    </row>
    <row r="7" spans="1:14" s="1" customFormat="1">
      <c r="A7" s="9" t="s">
        <v>6</v>
      </c>
      <c r="B7" s="9">
        <v>229866856</v>
      </c>
      <c r="C7" s="1" t="s">
        <v>7</v>
      </c>
      <c r="F7" s="9"/>
      <c r="G7" s="10"/>
    </row>
    <row r="8" spans="1:14" s="1" customFormat="1">
      <c r="A8" s="9" t="s">
        <v>8</v>
      </c>
      <c r="B8" s="57" t="s">
        <v>9</v>
      </c>
      <c r="F8" s="9"/>
      <c r="G8" s="10"/>
    </row>
    <row r="9" spans="1:14" s="1" customFormat="1" ht="18.75" customHeight="1">
      <c r="A9" s="9" t="s">
        <v>10</v>
      </c>
      <c r="B9" s="1" t="s">
        <v>11</v>
      </c>
      <c r="G9" s="10"/>
    </row>
    <row r="10" spans="1:14" ht="13.05" customHeight="1">
      <c r="A10" s="14"/>
      <c r="B10" s="5"/>
      <c r="C10" s="5"/>
      <c r="D10" s="5"/>
      <c r="E10" s="5"/>
      <c r="F10" s="5"/>
      <c r="G10" s="5"/>
    </row>
    <row r="11" spans="1:14" s="1" customFormat="1" ht="24.75" customHeight="1">
      <c r="A11" s="15" t="s">
        <v>12</v>
      </c>
      <c r="B11" s="15" t="s">
        <v>13</v>
      </c>
      <c r="C11" s="15" t="s">
        <v>14</v>
      </c>
      <c r="D11" s="15" t="s">
        <v>15</v>
      </c>
      <c r="E11" s="16" t="s">
        <v>16</v>
      </c>
      <c r="F11" s="16" t="s">
        <v>17</v>
      </c>
      <c r="G11" s="16" t="s">
        <v>18</v>
      </c>
    </row>
    <row r="12" spans="1:14" ht="21" customHeight="1">
      <c r="A12" s="16">
        <v>1</v>
      </c>
      <c r="B12" s="17" t="s">
        <v>41</v>
      </c>
      <c r="C12" s="16">
        <v>1</v>
      </c>
      <c r="D12" s="16" t="s">
        <v>19</v>
      </c>
      <c r="E12" s="18">
        <v>27000</v>
      </c>
      <c r="F12" s="18">
        <f>SUM(E12*C12)</f>
        <v>27000</v>
      </c>
      <c r="G12" s="19"/>
    </row>
    <row r="13" spans="1:14" ht="25.05" customHeight="1">
      <c r="A13" s="16">
        <v>2</v>
      </c>
      <c r="B13" s="20"/>
      <c r="C13" s="16"/>
      <c r="D13" s="16"/>
      <c r="E13" s="18"/>
      <c r="F13" s="18"/>
      <c r="G13" s="19"/>
      <c r="J13"/>
      <c r="N13"/>
    </row>
    <row r="14" spans="1:14" ht="25.05" customHeight="1">
      <c r="A14" s="16">
        <v>3</v>
      </c>
      <c r="B14" s="20" t="s">
        <v>20</v>
      </c>
      <c r="C14" s="16">
        <v>1</v>
      </c>
      <c r="D14" s="16" t="s">
        <v>21</v>
      </c>
      <c r="E14" s="21" t="s">
        <v>22</v>
      </c>
      <c r="F14" s="21" t="s">
        <v>22</v>
      </c>
      <c r="G14" s="19"/>
      <c r="J14"/>
      <c r="N14"/>
    </row>
    <row r="15" spans="1:14" ht="25.05" customHeight="1">
      <c r="A15" s="16">
        <v>4</v>
      </c>
      <c r="B15" s="22"/>
      <c r="C15" s="23"/>
      <c r="D15" s="23"/>
      <c r="E15" s="23"/>
      <c r="F15" s="23"/>
      <c r="G15" s="24"/>
      <c r="J15"/>
      <c r="N15"/>
    </row>
    <row r="16" spans="1:14" ht="25.05" customHeight="1">
      <c r="A16" s="16">
        <v>5</v>
      </c>
      <c r="B16" s="25"/>
      <c r="C16" s="26"/>
      <c r="D16" s="26"/>
      <c r="E16" s="26"/>
      <c r="F16" s="26"/>
      <c r="G16" s="27"/>
      <c r="J16"/>
      <c r="N16"/>
    </row>
    <row r="17" spans="1:14" ht="25.05" customHeight="1">
      <c r="A17" s="16">
        <v>6</v>
      </c>
      <c r="B17" s="25"/>
      <c r="C17" s="26"/>
      <c r="D17" s="26"/>
      <c r="E17" s="26"/>
      <c r="F17" s="26"/>
      <c r="G17" s="27"/>
      <c r="J17"/>
      <c r="N17"/>
    </row>
    <row r="18" spans="1:14" ht="24.75" customHeight="1">
      <c r="A18" s="16">
        <v>7</v>
      </c>
      <c r="B18" s="25"/>
      <c r="C18" s="26"/>
      <c r="D18" s="26"/>
      <c r="E18" s="26"/>
      <c r="F18" s="26"/>
      <c r="G18" s="27"/>
      <c r="H18"/>
      <c r="I18"/>
    </row>
    <row r="19" spans="1:14" ht="24.75" customHeight="1">
      <c r="A19" s="16">
        <v>8</v>
      </c>
      <c r="B19" s="25"/>
      <c r="C19" s="26"/>
      <c r="D19" s="26"/>
      <c r="E19" s="26"/>
      <c r="F19" s="26"/>
      <c r="G19" s="27"/>
      <c r="H19"/>
      <c r="I19"/>
      <c r="J19"/>
    </row>
    <row r="20" spans="1:14" ht="24.75" customHeight="1">
      <c r="A20" s="16">
        <v>9</v>
      </c>
      <c r="B20" s="25"/>
      <c r="C20" s="26"/>
      <c r="D20" s="26"/>
      <c r="E20" s="26"/>
      <c r="F20" s="26"/>
      <c r="G20" s="27"/>
      <c r="H20"/>
      <c r="I20"/>
      <c r="J20"/>
    </row>
    <row r="21" spans="1:14" ht="24.75" customHeight="1">
      <c r="A21" s="16">
        <v>10</v>
      </c>
      <c r="B21" s="25"/>
      <c r="C21" s="26"/>
      <c r="D21" s="26"/>
      <c r="E21" s="26"/>
      <c r="F21" s="26"/>
      <c r="G21" s="27"/>
      <c r="I21"/>
      <c r="J21"/>
    </row>
    <row r="22" spans="1:14" ht="24.75" customHeight="1">
      <c r="A22" s="16">
        <v>11</v>
      </c>
      <c r="B22" s="28"/>
      <c r="C22" s="29"/>
      <c r="D22" s="29"/>
      <c r="E22" s="29"/>
      <c r="F22" s="29"/>
      <c r="G22" s="30"/>
      <c r="H22"/>
      <c r="I22"/>
      <c r="J22"/>
      <c r="L22"/>
    </row>
    <row r="23" spans="1:14" ht="24.75" customHeight="1">
      <c r="A23" s="62" t="s">
        <v>23</v>
      </c>
      <c r="B23" s="63"/>
      <c r="C23" s="63"/>
      <c r="D23" s="64"/>
      <c r="E23" s="31" t="s">
        <v>24</v>
      </c>
      <c r="F23" s="32">
        <f>SUM(F12:F22)</f>
        <v>27000</v>
      </c>
      <c r="G23" s="33"/>
      <c r="H23"/>
      <c r="I23"/>
      <c r="J23"/>
      <c r="K23"/>
      <c r="L23"/>
    </row>
    <row r="24" spans="1:14" ht="24.75" customHeight="1">
      <c r="A24" s="65"/>
      <c r="B24" s="66"/>
      <c r="C24" s="66"/>
      <c r="D24" s="67"/>
      <c r="E24" s="31" t="s">
        <v>25</v>
      </c>
      <c r="F24" s="32">
        <v>0</v>
      </c>
      <c r="G24" s="33" t="s">
        <v>26</v>
      </c>
      <c r="H24"/>
      <c r="I24"/>
      <c r="J24"/>
      <c r="K24"/>
      <c r="L24"/>
    </row>
    <row r="25" spans="1:14" ht="24.75" customHeight="1">
      <c r="A25" s="68"/>
      <c r="B25" s="69"/>
      <c r="C25" s="69"/>
      <c r="D25" s="70"/>
      <c r="E25" s="31" t="s">
        <v>27</v>
      </c>
      <c r="F25" s="32">
        <f>SUM(F23:F24)</f>
        <v>27000</v>
      </c>
      <c r="G25" s="33"/>
      <c r="H25"/>
      <c r="I25"/>
      <c r="J25"/>
      <c r="L25"/>
    </row>
    <row r="26" spans="1:14" ht="24.75" customHeight="1">
      <c r="A26" s="34" t="s">
        <v>28</v>
      </c>
      <c r="B26" s="35"/>
      <c r="C26" s="35"/>
      <c r="D26" s="3"/>
      <c r="E26" s="35"/>
      <c r="F26" s="26"/>
      <c r="G26" s="36"/>
      <c r="H26"/>
      <c r="I26"/>
      <c r="J26"/>
      <c r="L26"/>
    </row>
    <row r="27" spans="1:14" ht="25.05" customHeight="1">
      <c r="A27" s="34" t="s">
        <v>29</v>
      </c>
      <c r="B27" s="37"/>
      <c r="C27" s="37"/>
      <c r="D27" s="3"/>
      <c r="G27" s="38"/>
      <c r="I27"/>
      <c r="J27"/>
      <c r="L27"/>
    </row>
    <row r="28" spans="1:14" ht="25.05" customHeight="1">
      <c r="A28" s="34" t="s">
        <v>30</v>
      </c>
      <c r="B28" s="37"/>
      <c r="C28" s="37"/>
      <c r="D28" s="3"/>
      <c r="G28" s="38"/>
      <c r="I28"/>
      <c r="J28"/>
      <c r="L28"/>
    </row>
    <row r="29" spans="1:14" ht="25.05" customHeight="1">
      <c r="A29" s="39" t="s">
        <v>31</v>
      </c>
      <c r="B29" s="40"/>
      <c r="C29" s="40"/>
      <c r="D29" s="41"/>
      <c r="E29" s="42"/>
      <c r="F29" s="41"/>
      <c r="G29" s="43"/>
      <c r="I29"/>
      <c r="J29"/>
      <c r="L29"/>
    </row>
    <row r="30" spans="1:14" ht="25.05" customHeight="1">
      <c r="A30" s="83" t="s">
        <v>32</v>
      </c>
      <c r="B30" s="84"/>
      <c r="C30" s="85"/>
      <c r="D30" s="83" t="s">
        <v>33</v>
      </c>
      <c r="E30" s="84"/>
      <c r="F30" s="84"/>
      <c r="G30" s="86"/>
      <c r="I30"/>
      <c r="L30"/>
    </row>
    <row r="31" spans="1:14" ht="22.5" customHeight="1">
      <c r="A31" s="59" t="s">
        <v>34</v>
      </c>
      <c r="B31" s="60"/>
      <c r="C31" s="61"/>
      <c r="D31" s="71"/>
      <c r="E31" s="71"/>
      <c r="F31" s="71"/>
      <c r="G31" s="72"/>
      <c r="I31"/>
      <c r="L31"/>
    </row>
    <row r="32" spans="1:14" ht="22.5" customHeight="1">
      <c r="A32" s="59"/>
      <c r="B32" s="60"/>
      <c r="C32" s="61"/>
      <c r="D32" s="71"/>
      <c r="E32" s="71"/>
      <c r="F32" s="71"/>
      <c r="G32" s="72"/>
    </row>
    <row r="33" spans="1:7" ht="22.5" customHeight="1">
      <c r="A33" s="59"/>
      <c r="B33" s="60"/>
      <c r="C33" s="61"/>
      <c r="D33" s="71"/>
      <c r="E33" s="71"/>
      <c r="F33" s="71"/>
      <c r="G33" s="72"/>
    </row>
    <row r="34" spans="1:7" ht="22.5" customHeight="1">
      <c r="A34" s="73" t="s">
        <v>35</v>
      </c>
      <c r="B34" s="74"/>
      <c r="C34" s="75"/>
      <c r="D34" s="76"/>
      <c r="E34" s="77"/>
      <c r="F34" s="77"/>
      <c r="G34" s="78"/>
    </row>
    <row r="35" spans="1:7" ht="38.25" customHeight="1">
      <c r="A35" s="44" t="s">
        <v>36</v>
      </c>
      <c r="B35" s="45"/>
      <c r="C35" s="46"/>
      <c r="D35" s="46"/>
      <c r="E35" s="47" t="s">
        <v>37</v>
      </c>
      <c r="F35" s="48">
        <f ca="1">TODAY()</f>
        <v>45096</v>
      </c>
      <c r="G35" s="49"/>
    </row>
    <row r="36" spans="1:7" ht="25.05" customHeight="1">
      <c r="A36" s="50"/>
      <c r="B36" s="51"/>
      <c r="C36" s="51"/>
      <c r="D36" s="51"/>
      <c r="E36" s="52"/>
      <c r="F36" s="51"/>
      <c r="G36" s="52"/>
    </row>
    <row r="37" spans="1:7" ht="25.05" customHeight="1">
      <c r="E37" s="53"/>
      <c r="F37" s="53"/>
    </row>
    <row r="38" spans="1:7" ht="25.05" customHeight="1">
      <c r="E38" s="53"/>
      <c r="F38" s="53"/>
    </row>
    <row r="39" spans="1:7" ht="25.05" customHeight="1">
      <c r="E39" s="53"/>
      <c r="F39" s="53"/>
    </row>
    <row r="40" spans="1:7" ht="25.05" customHeight="1">
      <c r="E40" s="53"/>
      <c r="F40" s="53"/>
    </row>
    <row r="41" spans="1:7" ht="25.05" customHeight="1">
      <c r="E41" s="53"/>
      <c r="F41" s="53"/>
    </row>
    <row r="42" spans="1:7" ht="25.05" customHeight="1">
      <c r="E42" s="53"/>
      <c r="F42" s="53"/>
    </row>
    <row r="43" spans="1:7" ht="25.05" customHeight="1">
      <c r="E43" s="53"/>
      <c r="F43" s="53"/>
    </row>
    <row r="44" spans="1:7" ht="25.05" customHeight="1">
      <c r="E44" s="53"/>
      <c r="F44" s="53"/>
    </row>
    <row r="45" spans="1:7" ht="25.05" customHeight="1">
      <c r="E45" s="53"/>
      <c r="F45" s="53"/>
    </row>
    <row r="46" spans="1:7" ht="25.05" customHeight="1">
      <c r="E46" s="53"/>
      <c r="F46" s="53"/>
    </row>
    <row r="47" spans="1:7" ht="25.05" customHeight="1">
      <c r="E47" s="53"/>
      <c r="F47" s="53"/>
    </row>
    <row r="48" spans="1:7" ht="25.05" customHeight="1">
      <c r="E48" s="53"/>
      <c r="F48" s="53"/>
    </row>
    <row r="49" spans="1:7" ht="25.05" customHeight="1">
      <c r="E49" s="53"/>
      <c r="F49" s="53"/>
    </row>
    <row r="50" spans="1:7" ht="25.05" customHeight="1">
      <c r="E50" s="53"/>
      <c r="F50" s="53"/>
    </row>
    <row r="51" spans="1:7" ht="25.05" customHeight="1">
      <c r="E51" s="53"/>
      <c r="F51" s="53"/>
    </row>
    <row r="52" spans="1:7" ht="25.05" customHeight="1">
      <c r="E52" s="53"/>
      <c r="F52" s="53"/>
    </row>
    <row r="53" spans="1:7" ht="25.05" customHeight="1">
      <c r="E53" s="53"/>
      <c r="F53" s="53"/>
    </row>
    <row r="54" spans="1:7" ht="25.05" customHeight="1">
      <c r="E54" s="53"/>
      <c r="F54" s="53"/>
    </row>
    <row r="55" spans="1:7" ht="25.05" customHeight="1">
      <c r="E55" s="53"/>
      <c r="F55" s="53"/>
    </row>
    <row r="56" spans="1:7" ht="25.05" customHeight="1">
      <c r="A56" s="1"/>
      <c r="E56" s="53"/>
      <c r="F56" s="53"/>
    </row>
    <row r="57" spans="1:7" ht="25.05" customHeight="1">
      <c r="A57" s="1"/>
      <c r="E57" s="54"/>
      <c r="F57" s="53"/>
    </row>
    <row r="58" spans="1:7" ht="25.05" customHeight="1">
      <c r="F58" s="55"/>
    </row>
    <row r="59" spans="1:7" ht="25.05" customHeight="1">
      <c r="A59" s="4"/>
      <c r="E59" s="58"/>
      <c r="F59" s="58"/>
    </row>
    <row r="60" spans="1:7" ht="25.05" customHeight="1">
      <c r="B60" s="1"/>
      <c r="E60" s="56"/>
      <c r="F60" s="56"/>
    </row>
    <row r="61" spans="1:7" ht="25.05" customHeight="1">
      <c r="E61" s="56"/>
      <c r="F61" s="56"/>
    </row>
    <row r="62" spans="1:7" ht="25.05" customHeight="1">
      <c r="E62" s="58"/>
      <c r="F62" s="58"/>
      <c r="G62" s="58"/>
    </row>
    <row r="63" spans="1:7" ht="25.05" customHeight="1"/>
    <row r="64" spans="1:7" ht="25.05" customHeight="1"/>
    <row r="65" ht="25.05" customHeight="1"/>
    <row r="66" ht="25.05" customHeight="1"/>
    <row r="67" ht="25.05" customHeight="1"/>
    <row r="68" ht="25.05" customHeight="1"/>
    <row r="69" ht="25.05" customHeight="1"/>
    <row r="70" ht="25.05" customHeight="1"/>
    <row r="71" ht="25.05" customHeight="1"/>
    <row r="72" ht="25.05" customHeight="1"/>
    <row r="73" ht="25.05" customHeight="1"/>
    <row r="74" ht="25.05" customHeight="1"/>
    <row r="75" ht="25.05" customHeight="1"/>
    <row r="76" ht="25.05" customHeight="1"/>
    <row r="77" ht="25.05" customHeight="1"/>
    <row r="78" ht="25.05" customHeight="1"/>
    <row r="79" ht="25.05" customHeight="1"/>
    <row r="80" ht="25.05" customHeight="1"/>
    <row r="81" ht="25.05" customHeight="1"/>
    <row r="82" ht="25.05" customHeight="1"/>
    <row r="83" ht="25.05" customHeight="1"/>
    <row r="84" ht="25.05" customHeight="1"/>
    <row r="85" ht="25.05" customHeight="1"/>
    <row r="86" ht="25.05" customHeight="1"/>
    <row r="87" ht="25.05" customHeight="1"/>
    <row r="88" ht="25.05" customHeight="1"/>
    <row r="89" ht="25.05" customHeight="1"/>
    <row r="90" ht="25.05" customHeight="1"/>
    <row r="91" ht="25.05" customHeight="1"/>
    <row r="92" ht="25.05" customHeight="1"/>
    <row r="93" ht="25.05" customHeight="1"/>
    <row r="94" ht="25.05" customHeight="1"/>
    <row r="95" ht="25.05" customHeight="1"/>
    <row r="96" ht="25.05" customHeight="1"/>
    <row r="97" ht="25.05" customHeight="1"/>
    <row r="98" ht="25.05" customHeight="1"/>
    <row r="99" ht="25.05" customHeight="1"/>
    <row r="100" ht="25.05" customHeight="1"/>
    <row r="101" ht="25.05" customHeight="1"/>
    <row r="102" ht="25.05" customHeight="1"/>
    <row r="103" ht="25.05" customHeight="1"/>
    <row r="104" ht="25.05" customHeight="1"/>
    <row r="105" ht="25.05" customHeight="1"/>
    <row r="106" ht="25.05" customHeight="1"/>
    <row r="107" ht="25.05" customHeight="1"/>
    <row r="108" ht="25.05" customHeight="1"/>
    <row r="109" ht="25.05" customHeight="1"/>
    <row r="110" ht="25.05" customHeight="1"/>
    <row r="111" ht="25.05" customHeight="1"/>
    <row r="112" ht="25.05" customHeight="1"/>
    <row r="113" ht="25.05" customHeight="1"/>
    <row r="114" ht="25.05" customHeight="1"/>
    <row r="115" ht="25.05" customHeight="1"/>
    <row r="116" ht="25.05" customHeight="1"/>
    <row r="117" ht="25.05" customHeight="1"/>
    <row r="118" ht="25.05" customHeight="1"/>
    <row r="119" ht="25.05" customHeight="1"/>
    <row r="120" ht="25.05" customHeight="1"/>
    <row r="121" ht="25.05" customHeight="1"/>
    <row r="122" ht="25.05" customHeight="1"/>
    <row r="123" ht="25.05" customHeight="1"/>
    <row r="124" ht="25.05" customHeight="1"/>
    <row r="125" ht="25.05" customHeight="1"/>
    <row r="126" ht="25.05" customHeight="1"/>
    <row r="127" ht="25.05" customHeight="1"/>
    <row r="128" ht="25.05" customHeight="1"/>
    <row r="129" ht="25.05" customHeight="1"/>
    <row r="130" ht="25.05" customHeight="1"/>
    <row r="131" ht="25.05" customHeight="1"/>
    <row r="132" ht="25.05" customHeight="1"/>
    <row r="133" ht="25.05" customHeight="1"/>
    <row r="134" ht="25.05" customHeight="1"/>
    <row r="135" ht="25.05" customHeight="1"/>
    <row r="136" ht="25.05" customHeight="1"/>
    <row r="137" ht="25.05" customHeight="1"/>
    <row r="138" ht="25.05" customHeight="1"/>
    <row r="139" ht="25.05" customHeight="1"/>
    <row r="140" ht="25.05" customHeight="1"/>
    <row r="141" ht="25.05" customHeight="1"/>
    <row r="142" ht="25.05" customHeight="1"/>
    <row r="143" ht="25.05" customHeight="1"/>
    <row r="144" ht="25.05" customHeight="1"/>
    <row r="145" ht="25.05" customHeight="1"/>
    <row r="146" ht="25.05" customHeight="1"/>
    <row r="147" ht="25.05" customHeight="1"/>
    <row r="148" ht="25.05" customHeight="1"/>
    <row r="149" ht="25.05" customHeight="1"/>
    <row r="150" ht="25.05" customHeight="1"/>
    <row r="151" ht="25.05" customHeight="1"/>
    <row r="152" ht="25.05" customHeight="1"/>
    <row r="153" ht="25.05" customHeight="1"/>
    <row r="154" ht="25.05" customHeight="1"/>
    <row r="155" ht="25.05" customHeight="1"/>
    <row r="156" ht="25.05" customHeight="1"/>
    <row r="157" ht="25.05" customHeight="1"/>
    <row r="158" ht="25.05" customHeight="1"/>
    <row r="159" ht="25.05" customHeight="1"/>
    <row r="160" ht="25.05" customHeight="1"/>
    <row r="161" ht="25.05" customHeight="1"/>
    <row r="162" ht="25.05" customHeight="1"/>
    <row r="163" ht="25.05" customHeight="1"/>
    <row r="164" ht="25.05" customHeight="1"/>
    <row r="165" ht="25.05" customHeight="1"/>
    <row r="166" ht="25.05" customHeight="1"/>
    <row r="167" ht="25.05" customHeight="1"/>
    <row r="168" ht="25.05" customHeight="1"/>
    <row r="169" ht="25.05" customHeight="1"/>
    <row r="170" ht="25.05" customHeight="1"/>
    <row r="171" ht="25.05" customHeight="1"/>
    <row r="172" ht="25.05" customHeight="1"/>
    <row r="173" ht="25.05" customHeight="1"/>
    <row r="174" ht="25.05" customHeight="1"/>
    <row r="175" ht="25.05" customHeight="1"/>
    <row r="176" ht="25.05" customHeight="1"/>
    <row r="177" ht="25.05" customHeight="1"/>
    <row r="178" ht="25.05" customHeight="1"/>
    <row r="179" ht="25.05" customHeight="1"/>
    <row r="180" ht="25.05" customHeight="1"/>
    <row r="181" ht="25.05" customHeight="1"/>
    <row r="182" ht="25.05" customHeight="1"/>
  </sheetData>
  <mergeCells count="15">
    <mergeCell ref="A1:G1"/>
    <mergeCell ref="A2:G2"/>
    <mergeCell ref="A3:G3"/>
    <mergeCell ref="A4:G4"/>
    <mergeCell ref="A30:C30"/>
    <mergeCell ref="D30:G30"/>
    <mergeCell ref="E59:F59"/>
    <mergeCell ref="E62:G62"/>
    <mergeCell ref="A31:C33"/>
    <mergeCell ref="A23:D25"/>
    <mergeCell ref="D31:G31"/>
    <mergeCell ref="D32:G32"/>
    <mergeCell ref="D33:G33"/>
    <mergeCell ref="A34:C34"/>
    <mergeCell ref="D34:G34"/>
  </mergeCells>
  <phoneticPr fontId="18" type="noConversion"/>
  <dataValidations count="1">
    <dataValidation type="list" allowBlank="1" showInputMessage="1" showErrorMessage="1" sqref="B35" xr:uid="{00000000-0002-0000-0000-000000000000}">
      <formula1>"曾琮皓,邱曉吟,何芝穎,鄭曉蓉,李孟珊"</formula1>
    </dataValidation>
  </dataValidations>
  <hyperlinks>
    <hyperlink ref="E6" r:id="rId1" display="mailto:o0930913993o@365plus.work" xr:uid="{00000000-0004-0000-0000-000000000000}"/>
  </hyperlinks>
  <pageMargins left="0.39305555555555599" right="0.39305555555555599" top="0.156944444444444" bottom="0.196527777777778" header="0" footer="0"/>
  <pageSetup paperSize="9" scale="98" orientation="portrait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報價單</vt:lpstr>
      <vt:lpstr>報價單!Print_Area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o0930913993</cp:lastModifiedBy>
  <cp:lastPrinted>2023-06-19T03:54:14Z</cp:lastPrinted>
  <dcterms:created xsi:type="dcterms:W3CDTF">1997-01-14T01:50:00Z</dcterms:created>
  <dcterms:modified xsi:type="dcterms:W3CDTF">2023-06-19T03:54:24Z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1028-10.8.0.6003</vt:lpwstr>
  </property>
</Properties>
</file>