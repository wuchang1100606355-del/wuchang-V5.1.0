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o0930\Dropbox\社區產業\補助案\SBIR\"/>
    </mc:Choice>
  </mc:AlternateContent>
  <xr:revisionPtr revIDLastSave="0" documentId="13_ncr:1_{C4516F88-39CD-4A82-A48B-CB4B5124B336}" xr6:coauthVersionLast="47" xr6:coauthVersionMax="47" xr10:uidLastSave="{00000000-0000-0000-0000-000000000000}"/>
  <bookViews>
    <workbookView xWindow="-108" yWindow="-108" windowWidth="23256" windowHeight="13896" tabRatio="1000" firstSheet="2" activeTab="2" xr2:uid="{00000000-000D-0000-FFFF-FFFF00000000}"/>
  </bookViews>
  <sheets>
    <sheet name="計畫經費彙總表" sheetId="1" r:id="rId1"/>
    <sheet name="細項計畫資訊" sheetId="19" r:id="rId2"/>
    <sheet name="計畫架構" sheetId="16" r:id="rId3"/>
    <sheet name="人事費" sheetId="2" r:id="rId4"/>
    <sheet name="工作表3" sheetId="18" r:id="rId5"/>
    <sheet name="加班記錄" sheetId="3" r:id="rId6"/>
    <sheet name="顧問" sheetId="4" r:id="rId7"/>
    <sheet name="工時記錄表" sheetId="5" r:id="rId8"/>
    <sheet name="材料費" sheetId="6" r:id="rId9"/>
    <sheet name="設備使用費" sheetId="7" r:id="rId10"/>
    <sheet name="設備使用記錄表" sheetId="8" r:id="rId11"/>
    <sheet name="設備維護費" sheetId="9" r:id="rId12"/>
    <sheet name="技術購買費" sheetId="10" r:id="rId13"/>
    <sheet name="委託研究費" sheetId="11" r:id="rId14"/>
    <sheet name="委託勞務費" sheetId="12" r:id="rId15"/>
    <sheet name="國內差旅費" sheetId="13" r:id="rId16"/>
    <sheet name="國外差旅費" sheetId="15" r:id="rId17"/>
    <sheet name="市場驗證費" sheetId="14" r:id="rId18"/>
    <sheet name="工作表2" sheetId="17" r:id="rId19"/>
  </sheets>
  <definedNames>
    <definedName name="_xlnm.Print_Area" localSheetId="3">人事費!$A$1:$I$19</definedName>
    <definedName name="_xlnm.Print_Area" localSheetId="7">工時記錄表!$A$1:$AJ$25</definedName>
    <definedName name="_xlnm.Print_Area" localSheetId="5">加班記錄!$A$1:$J$14</definedName>
    <definedName name="_xlnm.Print_Area" localSheetId="17">市場驗證費!$A$1:$J$30</definedName>
    <definedName name="_xlnm.Print_Area" localSheetId="8">材料費!$A$1:$J$38</definedName>
    <definedName name="_xlnm.Print_Area" localSheetId="0">計畫經費彙總表!$A$1:$M$29</definedName>
    <definedName name="_xlnm.Print_Area" localSheetId="15">國內差旅費!$A$1:$N$22</definedName>
    <definedName name="_xlnm.Print_Area" localSheetId="16">國外差旅費!$A$1:$N$22</definedName>
    <definedName name="_xlnm.Print_Area" localSheetId="10">設備使用記錄表!$A$1:$AJ$24</definedName>
    <definedName name="_xlnm.Print_Area" localSheetId="9">設備使用費!$A$1:$K$34</definedName>
    <definedName name="_xlnm.Print_Area" localSheetId="11">設備維護費!$A$1:$M$24</definedName>
    <definedName name="_xlnm.Print_Area" localSheetId="6">顧問!$A$1:$E$22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6" l="1"/>
  <c r="C3" i="16"/>
  <c r="C79" i="16"/>
  <c r="C60" i="16"/>
  <c r="C22" i="16"/>
  <c r="H101" i="16"/>
  <c r="H100" i="16"/>
  <c r="H99" i="16"/>
  <c r="H98" i="16"/>
  <c r="H97" i="16"/>
  <c r="E11" i="2"/>
  <c r="F97" i="16"/>
  <c r="B10" i="1" s="1"/>
  <c r="F98" i="16"/>
  <c r="C11" i="1" s="1"/>
  <c r="Q71" i="16"/>
  <c r="Q69" i="16"/>
  <c r="Q67" i="16"/>
  <c r="Q65" i="16"/>
  <c r="P76" i="16"/>
  <c r="F101" i="16"/>
  <c r="B20" i="1" s="1"/>
  <c r="Q62" i="16"/>
  <c r="Q64" i="16"/>
  <c r="Q5" i="16"/>
  <c r="Q11" i="16"/>
  <c r="Q13" i="16"/>
  <c r="Q7" i="16"/>
  <c r="F99" i="16"/>
  <c r="B15" i="1" s="1"/>
  <c r="F100" i="16"/>
  <c r="C14" i="1" s="1"/>
  <c r="F102" i="16"/>
  <c r="C9" i="1" s="1"/>
  <c r="F103" i="16"/>
  <c r="Q53" i="16"/>
  <c r="Q51" i="16"/>
  <c r="R51" i="16" s="1"/>
  <c r="Q49" i="16"/>
  <c r="Q45" i="16"/>
  <c r="Q43" i="16"/>
  <c r="Q83" i="16"/>
  <c r="R83" i="16" s="1"/>
  <c r="Q72" i="16"/>
  <c r="O93" i="16"/>
  <c r="O94" i="16" s="1"/>
  <c r="E93" i="16"/>
  <c r="E94" i="16" s="1"/>
  <c r="E95" i="16"/>
  <c r="P95" i="16"/>
  <c r="Q89" i="16"/>
  <c r="Q90" i="16"/>
  <c r="Q91" i="16"/>
  <c r="Q92" i="16"/>
  <c r="O95" i="16"/>
  <c r="N95" i="16"/>
  <c r="M95" i="16"/>
  <c r="L95" i="16"/>
  <c r="K95" i="16"/>
  <c r="J95" i="16"/>
  <c r="I95" i="16"/>
  <c r="H95" i="16"/>
  <c r="G95" i="16"/>
  <c r="F95" i="16"/>
  <c r="P93" i="16"/>
  <c r="P94" i="16" s="1"/>
  <c r="N93" i="16"/>
  <c r="N94" i="16" s="1"/>
  <c r="M93" i="16"/>
  <c r="M94" i="16" s="1"/>
  <c r="L93" i="16"/>
  <c r="L94" i="16" s="1"/>
  <c r="K93" i="16"/>
  <c r="K94" i="16" s="1"/>
  <c r="J93" i="16"/>
  <c r="J94" i="16" s="1"/>
  <c r="I93" i="16"/>
  <c r="I94" i="16" s="1"/>
  <c r="H93" i="16"/>
  <c r="H94" i="16" s="1"/>
  <c r="G93" i="16"/>
  <c r="G94" i="16" s="1"/>
  <c r="F93" i="16"/>
  <c r="F94" i="16" s="1"/>
  <c r="Q88" i="16"/>
  <c r="Q87" i="16"/>
  <c r="R87" i="16" s="1"/>
  <c r="Q86" i="16"/>
  <c r="Q85" i="16"/>
  <c r="R85" i="16" s="1"/>
  <c r="Q84" i="16"/>
  <c r="Q82" i="16"/>
  <c r="Q81" i="16"/>
  <c r="R81" i="16" s="1"/>
  <c r="O76" i="16"/>
  <c r="N76" i="16"/>
  <c r="M76" i="16"/>
  <c r="L76" i="16"/>
  <c r="K76" i="16"/>
  <c r="J76" i="16"/>
  <c r="I76" i="16"/>
  <c r="H76" i="16"/>
  <c r="G76" i="16"/>
  <c r="F76" i="16"/>
  <c r="E76" i="16"/>
  <c r="P74" i="16"/>
  <c r="O74" i="16"/>
  <c r="O75" i="16" s="1"/>
  <c r="N74" i="16"/>
  <c r="N75" i="16" s="1"/>
  <c r="M74" i="16"/>
  <c r="M75" i="16" s="1"/>
  <c r="L74" i="16"/>
  <c r="L75" i="16" s="1"/>
  <c r="K74" i="16"/>
  <c r="K75" i="16" s="1"/>
  <c r="J74" i="16"/>
  <c r="J75" i="16" s="1"/>
  <c r="I74" i="16"/>
  <c r="I75" i="16" s="1"/>
  <c r="H74" i="16"/>
  <c r="H75" i="16" s="1"/>
  <c r="G74" i="16"/>
  <c r="G75" i="16" s="1"/>
  <c r="F74" i="16"/>
  <c r="F75" i="16" s="1"/>
  <c r="E74" i="16"/>
  <c r="E75" i="16" s="1"/>
  <c r="Q73" i="16"/>
  <c r="Q70" i="16"/>
  <c r="Q68" i="16"/>
  <c r="R68" i="16" s="1"/>
  <c r="Q66" i="16"/>
  <c r="Q63" i="16"/>
  <c r="O57" i="16"/>
  <c r="N57" i="16"/>
  <c r="M57" i="16"/>
  <c r="L57" i="16"/>
  <c r="K57" i="16"/>
  <c r="J57" i="16"/>
  <c r="I57" i="16"/>
  <c r="H57" i="16"/>
  <c r="G57" i="16"/>
  <c r="F57" i="16"/>
  <c r="E57" i="16"/>
  <c r="P55" i="16"/>
  <c r="O55" i="16"/>
  <c r="O56" i="16" s="1"/>
  <c r="N55" i="16"/>
  <c r="N56" i="16" s="1"/>
  <c r="M55" i="16"/>
  <c r="M56" i="16" s="1"/>
  <c r="L55" i="16"/>
  <c r="L56" i="16" s="1"/>
  <c r="K55" i="16"/>
  <c r="K56" i="16" s="1"/>
  <c r="J55" i="16"/>
  <c r="J56" i="16" s="1"/>
  <c r="I55" i="16"/>
  <c r="I56" i="16" s="1"/>
  <c r="H55" i="16"/>
  <c r="H56" i="16" s="1"/>
  <c r="G55" i="16"/>
  <c r="G56" i="16" s="1"/>
  <c r="F55" i="16"/>
  <c r="F56" i="16" s="1"/>
  <c r="E55" i="16"/>
  <c r="E56" i="16" s="1"/>
  <c r="Q54" i="16"/>
  <c r="Q52" i="16"/>
  <c r="Q50" i="16"/>
  <c r="Q48" i="16"/>
  <c r="Q47" i="16"/>
  <c r="Q46" i="16"/>
  <c r="Q44" i="16"/>
  <c r="O38" i="16"/>
  <c r="N38" i="16"/>
  <c r="M38" i="16"/>
  <c r="L38" i="16"/>
  <c r="K38" i="16"/>
  <c r="J38" i="16"/>
  <c r="I38" i="16"/>
  <c r="H38" i="16"/>
  <c r="G38" i="16"/>
  <c r="F38" i="16"/>
  <c r="E38" i="16"/>
  <c r="P36" i="16"/>
  <c r="O36" i="16"/>
  <c r="O37" i="16" s="1"/>
  <c r="N36" i="16"/>
  <c r="N37" i="16" s="1"/>
  <c r="M36" i="16"/>
  <c r="M37" i="16" s="1"/>
  <c r="L36" i="16"/>
  <c r="L37" i="16" s="1"/>
  <c r="K36" i="16"/>
  <c r="K37" i="16" s="1"/>
  <c r="J36" i="16"/>
  <c r="J37" i="16" s="1"/>
  <c r="I36" i="16"/>
  <c r="I37" i="16" s="1"/>
  <c r="H36" i="16"/>
  <c r="H37" i="16" s="1"/>
  <c r="G36" i="16"/>
  <c r="G37" i="16" s="1"/>
  <c r="F36" i="16"/>
  <c r="F37" i="16" s="1"/>
  <c r="E36" i="16"/>
  <c r="E37" i="16" s="1"/>
  <c r="Q35" i="16"/>
  <c r="Q34" i="16"/>
  <c r="Q33" i="16"/>
  <c r="Q32" i="16"/>
  <c r="Q31" i="16"/>
  <c r="Q30" i="16"/>
  <c r="Q29" i="16"/>
  <c r="Q28" i="16"/>
  <c r="Q27" i="16"/>
  <c r="Q26" i="16"/>
  <c r="Q25" i="16"/>
  <c r="Q24" i="16"/>
  <c r="G19" i="16"/>
  <c r="K19" i="16"/>
  <c r="J19" i="16"/>
  <c r="P17" i="16"/>
  <c r="F17" i="16"/>
  <c r="G17" i="16"/>
  <c r="G18" i="16" s="1"/>
  <c r="H17" i="16"/>
  <c r="H18" i="16" s="1"/>
  <c r="I17" i="16"/>
  <c r="I18" i="16" s="1"/>
  <c r="J17" i="16"/>
  <c r="J18" i="16" s="1"/>
  <c r="K17" i="16"/>
  <c r="K18" i="16" s="1"/>
  <c r="L17" i="16"/>
  <c r="L18" i="16" s="1"/>
  <c r="M17" i="16"/>
  <c r="M18" i="16" s="1"/>
  <c r="N17" i="16"/>
  <c r="N18" i="16" s="1"/>
  <c r="O17" i="16"/>
  <c r="O18" i="16" s="1"/>
  <c r="E17" i="16"/>
  <c r="E18" i="16" s="1"/>
  <c r="Q8" i="16"/>
  <c r="Q9" i="16"/>
  <c r="Q10" i="16"/>
  <c r="Q12" i="16"/>
  <c r="Q14" i="16"/>
  <c r="Q15" i="16"/>
  <c r="Q16" i="16"/>
  <c r="Q6" i="16"/>
  <c r="F19" i="16"/>
  <c r="H19" i="16"/>
  <c r="I19" i="16"/>
  <c r="L19" i="16"/>
  <c r="M19" i="16"/>
  <c r="N19" i="16"/>
  <c r="O19" i="16"/>
  <c r="AH14" i="8"/>
  <c r="AH13" i="8"/>
  <c r="AJ18" i="8"/>
  <c r="AH18" i="8"/>
  <c r="B18" i="8"/>
  <c r="J24" i="7"/>
  <c r="I20" i="7"/>
  <c r="I21" i="7"/>
  <c r="I22" i="7"/>
  <c r="I23" i="7"/>
  <c r="I24" i="7"/>
  <c r="I8" i="7"/>
  <c r="I9" i="7"/>
  <c r="I10" i="7"/>
  <c r="I11" i="7"/>
  <c r="I12" i="7"/>
  <c r="I7" i="7"/>
  <c r="R24" i="16" l="1"/>
  <c r="R62" i="16"/>
  <c r="R47" i="16"/>
  <c r="R45" i="16"/>
  <c r="R28" i="16"/>
  <c r="R70" i="16"/>
  <c r="R11" i="16"/>
  <c r="Q19" i="16"/>
  <c r="R53" i="16"/>
  <c r="R7" i="16"/>
  <c r="R32" i="16"/>
  <c r="R5" i="16"/>
  <c r="R34" i="16"/>
  <c r="B9" i="1"/>
  <c r="R15" i="16"/>
  <c r="R26" i="16"/>
  <c r="R66" i="16"/>
  <c r="R43" i="16"/>
  <c r="R49" i="16"/>
  <c r="R30" i="16"/>
  <c r="R13" i="16"/>
  <c r="R64" i="16"/>
  <c r="C10" i="1"/>
  <c r="R9" i="16"/>
  <c r="R72" i="16"/>
  <c r="B11" i="1"/>
  <c r="C12" i="1"/>
  <c r="B12" i="1"/>
  <c r="B14" i="1"/>
  <c r="Q76" i="16"/>
  <c r="C15" i="1"/>
  <c r="Q17" i="16"/>
  <c r="Q18" i="16" s="1"/>
  <c r="Q95" i="16"/>
  <c r="C20" i="1"/>
  <c r="E39" i="16"/>
  <c r="P18" i="16"/>
  <c r="O96" i="16"/>
  <c r="I96" i="16"/>
  <c r="H96" i="16"/>
  <c r="G96" i="16"/>
  <c r="F96" i="16"/>
  <c r="E96" i="16"/>
  <c r="M77" i="16"/>
  <c r="N96" i="16"/>
  <c r="E77" i="16"/>
  <c r="F77" i="16"/>
  <c r="G77" i="16"/>
  <c r="H77" i="16"/>
  <c r="J77" i="16"/>
  <c r="N77" i="16"/>
  <c r="O77" i="16"/>
  <c r="F39" i="16"/>
  <c r="K77" i="16"/>
  <c r="J96" i="16"/>
  <c r="K96" i="16"/>
  <c r="L96" i="16"/>
  <c r="M96" i="16"/>
  <c r="Q93" i="16"/>
  <c r="Q94" i="16" s="1"/>
  <c r="J39" i="16"/>
  <c r="I77" i="16"/>
  <c r="G39" i="16"/>
  <c r="L77" i="16"/>
  <c r="Q38" i="16"/>
  <c r="K39" i="16"/>
  <c r="L39" i="16"/>
  <c r="M39" i="16"/>
  <c r="F58" i="16"/>
  <c r="H58" i="16"/>
  <c r="M58" i="16"/>
  <c r="G58" i="16"/>
  <c r="Q57" i="16"/>
  <c r="I58" i="16"/>
  <c r="J58" i="16"/>
  <c r="K58" i="16"/>
  <c r="L58" i="16"/>
  <c r="N58" i="16"/>
  <c r="O58" i="16"/>
  <c r="E58" i="16"/>
  <c r="Q74" i="16"/>
  <c r="Q75" i="16" s="1"/>
  <c r="F18" i="16"/>
  <c r="F20" i="16" s="1"/>
  <c r="H39" i="16"/>
  <c r="I39" i="16"/>
  <c r="N39" i="16"/>
  <c r="O39" i="16"/>
  <c r="Q55" i="16"/>
  <c r="Q56" i="16" s="1"/>
  <c r="Q36" i="16"/>
  <c r="Q37" i="16" s="1"/>
  <c r="H20" i="16"/>
  <c r="O20" i="16"/>
  <c r="G20" i="16"/>
  <c r="M20" i="16"/>
  <c r="N20" i="16"/>
  <c r="L20" i="16"/>
  <c r="K20" i="16"/>
  <c r="J20" i="16"/>
  <c r="I20" i="16"/>
  <c r="K24" i="7"/>
  <c r="Q20" i="16" l="1"/>
  <c r="I97" i="16" s="1"/>
  <c r="Q77" i="16"/>
  <c r="I100" i="16" s="1"/>
  <c r="Q39" i="16"/>
  <c r="I98" i="16" s="1"/>
  <c r="F104" i="16"/>
  <c r="Q96" i="16"/>
  <c r="I101" i="16" s="1"/>
  <c r="Q58" i="16"/>
  <c r="I99" i="16" s="1"/>
  <c r="AH17" i="8"/>
  <c r="AJ17" i="8" s="1"/>
  <c r="J23" i="7" s="1"/>
  <c r="K23" i="7" s="1"/>
  <c r="AH16" i="8"/>
  <c r="AJ16" i="8" s="1"/>
  <c r="J22" i="7" s="1"/>
  <c r="K22" i="7" s="1"/>
  <c r="AH15" i="8"/>
  <c r="AJ15" i="8" s="1"/>
  <c r="J21" i="7" s="1"/>
  <c r="AH11" i="8"/>
  <c r="AJ11" i="8" s="1"/>
  <c r="J12" i="7" s="1"/>
  <c r="AH10" i="8"/>
  <c r="AJ10" i="8" s="1"/>
  <c r="J11" i="7" s="1"/>
  <c r="AH9" i="8"/>
  <c r="AJ9" i="8" s="1"/>
  <c r="J10" i="7" s="1"/>
  <c r="B17" i="8"/>
  <c r="B16" i="8"/>
  <c r="B15" i="8"/>
  <c r="B14" i="8"/>
  <c r="B13" i="8"/>
  <c r="B11" i="8"/>
  <c r="B10" i="8"/>
  <c r="B9" i="8"/>
  <c r="B8" i="8"/>
  <c r="B7" i="8"/>
  <c r="B6" i="8"/>
  <c r="N13" i="15"/>
  <c r="N12" i="15"/>
  <c r="N11" i="15"/>
  <c r="N10" i="15"/>
  <c r="N9" i="15"/>
  <c r="N8" i="15"/>
  <c r="N7" i="15"/>
  <c r="N6" i="15"/>
  <c r="N13" i="13"/>
  <c r="N12" i="13"/>
  <c r="N11" i="13"/>
  <c r="N10" i="13"/>
  <c r="N9" i="13"/>
  <c r="N8" i="13"/>
  <c r="N7" i="13"/>
  <c r="N6" i="13"/>
  <c r="C8" i="1" l="1"/>
  <c r="C21" i="1" s="1"/>
  <c r="F105" i="16"/>
  <c r="B8" i="1"/>
  <c r="B21" i="1" s="1"/>
  <c r="D19" i="1"/>
  <c r="G19" i="1"/>
  <c r="G18" i="1"/>
  <c r="D18" i="1"/>
  <c r="N14" i="15"/>
  <c r="J19" i="1" s="1"/>
  <c r="A1" i="15"/>
  <c r="D10" i="1"/>
  <c r="J18" i="14"/>
  <c r="J20" i="1" s="1"/>
  <c r="F15" i="12"/>
  <c r="J16" i="1" s="1"/>
  <c r="F15" i="11"/>
  <c r="J15" i="1" s="1"/>
  <c r="F15" i="10"/>
  <c r="J14" i="1" s="1"/>
  <c r="M16" i="9"/>
  <c r="J12" i="1" s="1"/>
  <c r="J27" i="6"/>
  <c r="J10" i="1" s="1"/>
  <c r="E15" i="4"/>
  <c r="J9" i="1" s="1"/>
  <c r="I11" i="3"/>
  <c r="A1" i="14"/>
  <c r="A1" i="13"/>
  <c r="A1" i="12"/>
  <c r="A1" i="11"/>
  <c r="A1" i="10"/>
  <c r="A1" i="9"/>
  <c r="D7" i="9"/>
  <c r="C6" i="9"/>
  <c r="A1" i="8"/>
  <c r="A1" i="7"/>
  <c r="A1" i="6"/>
  <c r="A1" i="5"/>
  <c r="A1" i="4"/>
  <c r="A1" i="3"/>
  <c r="H10" i="2"/>
  <c r="H9" i="2"/>
  <c r="H8" i="2"/>
  <c r="H13" i="2" s="1"/>
  <c r="H7" i="2"/>
  <c r="A1" i="2"/>
  <c r="N14" i="13"/>
  <c r="J18" i="1" s="1"/>
  <c r="AJ14" i="8"/>
  <c r="J20" i="7" s="1"/>
  <c r="AJ13" i="8"/>
  <c r="J19" i="7" s="1"/>
  <c r="AH8" i="8"/>
  <c r="AJ8" i="8" s="1"/>
  <c r="J9" i="7" s="1"/>
  <c r="AH7" i="8"/>
  <c r="AJ7" i="8" s="1"/>
  <c r="J8" i="7" s="1"/>
  <c r="AH6" i="8"/>
  <c r="AJ6" i="8" s="1"/>
  <c r="J7" i="7" s="1"/>
  <c r="K21" i="7"/>
  <c r="I19" i="7"/>
  <c r="K12" i="7"/>
  <c r="K11" i="7"/>
  <c r="K10" i="7"/>
  <c r="AF17" i="5"/>
  <c r="AE17" i="5"/>
  <c r="AD17" i="5"/>
  <c r="AC17" i="5"/>
  <c r="AB17" i="5"/>
  <c r="AA17" i="5"/>
  <c r="Z17" i="5"/>
  <c r="Y17" i="5"/>
  <c r="X17" i="5"/>
  <c r="W17" i="5"/>
  <c r="V17" i="5"/>
  <c r="U17" i="5"/>
  <c r="T17" i="5"/>
  <c r="S17" i="5"/>
  <c r="R17" i="5"/>
  <c r="Q17" i="5"/>
  <c r="P17" i="5"/>
  <c r="O17" i="5"/>
  <c r="N17" i="5"/>
  <c r="M17" i="5"/>
  <c r="L17" i="5"/>
  <c r="K17" i="5"/>
  <c r="J17" i="5"/>
  <c r="I17" i="5"/>
  <c r="H17" i="5"/>
  <c r="G17" i="5"/>
  <c r="F17" i="5"/>
  <c r="E17" i="5"/>
  <c r="D17" i="5"/>
  <c r="C17" i="5"/>
  <c r="B17" i="5"/>
  <c r="AG8" i="5"/>
  <c r="AI8" i="5" s="1"/>
  <c r="F10" i="2" s="1"/>
  <c r="AG7" i="5"/>
  <c r="AI7" i="5" s="1"/>
  <c r="F9" i="2" s="1"/>
  <c r="AG6" i="5"/>
  <c r="AI6" i="5" s="1"/>
  <c r="F8" i="2" s="1"/>
  <c r="AG5" i="5"/>
  <c r="AI5" i="5" s="1"/>
  <c r="D13" i="2"/>
  <c r="C13" i="2"/>
  <c r="B13" i="2"/>
  <c r="G12" i="2"/>
  <c r="I12" i="2" s="1"/>
  <c r="G11" i="2"/>
  <c r="I11" i="2" s="1"/>
  <c r="E10" i="2"/>
  <c r="E9" i="2"/>
  <c r="E8" i="2"/>
  <c r="E7" i="2"/>
  <c r="F21" i="1"/>
  <c r="E21" i="1"/>
  <c r="G20" i="1"/>
  <c r="D20" i="1"/>
  <c r="G16" i="1"/>
  <c r="D16" i="1"/>
  <c r="G15" i="1"/>
  <c r="D15" i="1"/>
  <c r="G14" i="1"/>
  <c r="D14" i="1"/>
  <c r="G12" i="1"/>
  <c r="D12" i="1"/>
  <c r="G11" i="1"/>
  <c r="D11" i="1"/>
  <c r="G10" i="1"/>
  <c r="G9" i="1"/>
  <c r="D9" i="1"/>
  <c r="G8" i="1"/>
  <c r="R54" i="16" l="1"/>
  <c r="R88" i="16"/>
  <c r="R84" i="16"/>
  <c r="R86" i="16"/>
  <c r="R82" i="16"/>
  <c r="R71" i="16"/>
  <c r="R63" i="16"/>
  <c r="R46" i="16"/>
  <c r="R48" i="16"/>
  <c r="R50" i="16"/>
  <c r="R65" i="16"/>
  <c r="R52" i="16"/>
  <c r="R67" i="16"/>
  <c r="R69" i="16"/>
  <c r="R44" i="16"/>
  <c r="R73" i="16"/>
  <c r="D8" i="1"/>
  <c r="D21" i="1" s="1"/>
  <c r="R29" i="16"/>
  <c r="R16" i="16"/>
  <c r="R27" i="16"/>
  <c r="R14" i="16"/>
  <c r="R25" i="16"/>
  <c r="R12" i="16"/>
  <c r="R10" i="16"/>
  <c r="R8" i="16"/>
  <c r="R6" i="16"/>
  <c r="R35" i="16"/>
  <c r="R33" i="16"/>
  <c r="R31" i="16"/>
  <c r="H10" i="1"/>
  <c r="K10" i="1" s="1"/>
  <c r="K20" i="7"/>
  <c r="K25" i="7" s="1"/>
  <c r="K19" i="7"/>
  <c r="H18" i="1"/>
  <c r="K18" i="1" s="1"/>
  <c r="K19" i="1"/>
  <c r="AI17" i="5"/>
  <c r="H15" i="1"/>
  <c r="I15" i="1" s="1"/>
  <c r="L15" i="1" s="1"/>
  <c r="G10" i="2"/>
  <c r="I10" i="2" s="1"/>
  <c r="C7" i="9"/>
  <c r="E13" i="2"/>
  <c r="K7" i="7"/>
  <c r="G21" i="1"/>
  <c r="K8" i="7"/>
  <c r="H9" i="1"/>
  <c r="K9" i="1" s="1"/>
  <c r="H12" i="1"/>
  <c r="K12" i="1" s="1"/>
  <c r="G9" i="2"/>
  <c r="I9" i="2" s="1"/>
  <c r="H14" i="1"/>
  <c r="K14" i="1" s="1"/>
  <c r="K9" i="7"/>
  <c r="H16" i="1"/>
  <c r="K16" i="1" s="1"/>
  <c r="F7" i="2"/>
  <c r="H20" i="1"/>
  <c r="K20" i="1" s="1"/>
  <c r="D6" i="9"/>
  <c r="G8" i="2"/>
  <c r="I8" i="2" s="1"/>
  <c r="AG17" i="5"/>
  <c r="K13" i="7" l="1"/>
  <c r="I18" i="1"/>
  <c r="L18" i="1" s="1"/>
  <c r="M18" i="1" s="1"/>
  <c r="I19" i="1"/>
  <c r="L19" i="1" s="1"/>
  <c r="M19" i="1" s="1"/>
  <c r="K15" i="1"/>
  <c r="M15" i="1" s="1"/>
  <c r="I10" i="1"/>
  <c r="L10" i="1" s="1"/>
  <c r="M10" i="1" s="1"/>
  <c r="I9" i="1"/>
  <c r="L9" i="1" s="1"/>
  <c r="M9" i="1" s="1"/>
  <c r="I14" i="1"/>
  <c r="L14" i="1" s="1"/>
  <c r="M14" i="1" s="1"/>
  <c r="G7" i="2"/>
  <c r="I7" i="2" s="1"/>
  <c r="I13" i="2" s="1"/>
  <c r="J8" i="1" s="1"/>
  <c r="F13" i="2"/>
  <c r="I16" i="1"/>
  <c r="I12" i="1"/>
  <c r="L12" i="1" s="1"/>
  <c r="M12" i="1" s="1"/>
  <c r="I20" i="1"/>
  <c r="L20" i="1" s="1"/>
  <c r="M20" i="1" s="1"/>
  <c r="K26" i="7" l="1"/>
  <c r="J11" i="1" s="1"/>
  <c r="H11" i="1" s="1"/>
  <c r="K11" i="1" s="1"/>
  <c r="L16" i="1"/>
  <c r="M16" i="1" s="1"/>
  <c r="G13" i="2"/>
  <c r="I11" i="1" l="1"/>
  <c r="L11" i="1" s="1"/>
  <c r="M11" i="1" s="1"/>
  <c r="J21" i="1"/>
  <c r="H8" i="1"/>
  <c r="K8" i="1" l="1"/>
  <c r="H21" i="1"/>
  <c r="I8" i="1"/>
  <c r="K21" i="1" l="1"/>
  <c r="L8" i="1"/>
  <c r="L21" i="1" s="1"/>
  <c r="I21" i="1"/>
  <c r="M8" i="1" l="1"/>
  <c r="M21" i="1" s="1"/>
  <c r="E19" i="16"/>
  <c r="E20"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DF65C2C5-0DD8-441A-8105-6310BDCB2489}">
      <text>
        <r>
          <rPr>
            <b/>
            <sz val="9"/>
            <color indexed="81"/>
            <rFont val="細明體"/>
            <family val="3"/>
            <charset val="136"/>
          </rPr>
          <t>填表注意事項</t>
        </r>
        <r>
          <rPr>
            <b/>
            <sz val="9"/>
            <color indexed="81"/>
            <rFont val="Tahoma"/>
            <family val="2"/>
          </rPr>
          <t xml:space="preserve">:
</t>
        </r>
        <r>
          <rPr>
            <sz val="9"/>
            <color indexed="81"/>
            <rFont val="Tahoma"/>
            <family val="2"/>
          </rPr>
          <t>1.</t>
        </r>
        <r>
          <rPr>
            <sz val="9"/>
            <color indexed="81"/>
            <rFont val="細明體"/>
            <family val="3"/>
            <charset val="136"/>
          </rPr>
          <t xml:space="preserve">標示綠色者為可修改欄位
</t>
        </r>
        <r>
          <rPr>
            <sz val="9"/>
            <color indexed="81"/>
            <rFont val="Tahoma"/>
            <family val="2"/>
          </rPr>
          <t>2.</t>
        </r>
        <r>
          <rPr>
            <sz val="9"/>
            <color indexed="81"/>
            <rFont val="細明體"/>
            <family val="3"/>
            <charset val="136"/>
          </rPr>
          <t xml:space="preserve">標示藍色的三個技術移轉科目小計欄位，只有在當月份技術移轉交易對象不只一家，需要同時連結多張專帳表格時才修改公式，否則請勿修改公式
</t>
        </r>
        <r>
          <rPr>
            <sz val="9"/>
            <color indexed="81"/>
            <rFont val="Tahoma"/>
            <family val="2"/>
          </rPr>
          <t>3.</t>
        </r>
        <r>
          <rPr>
            <sz val="9"/>
            <color indexed="81"/>
            <rFont val="細明體"/>
            <family val="3"/>
            <charset val="136"/>
          </rPr>
          <t>白色的欄位建議勿修改</t>
        </r>
        <r>
          <rPr>
            <sz val="9"/>
            <color indexed="81"/>
            <rFont val="Tahoma"/>
            <family val="2"/>
          </rPr>
          <t>(</t>
        </r>
        <r>
          <rPr>
            <sz val="9"/>
            <color indexed="81"/>
            <rFont val="細明體"/>
            <family val="3"/>
            <charset val="136"/>
          </rPr>
          <t>該等欄位大部分已經鎖定無法修改</t>
        </r>
        <r>
          <rPr>
            <sz val="9"/>
            <color indexed="81"/>
            <rFont val="Tahoma"/>
            <family val="2"/>
          </rPr>
          <t>)
4.</t>
        </r>
        <r>
          <rPr>
            <sz val="9"/>
            <color indexed="81"/>
            <rFont val="細明體"/>
            <family val="3"/>
            <charset val="136"/>
          </rPr>
          <t>列印時注意上期累計支用數</t>
        </r>
        <r>
          <rPr>
            <sz val="9"/>
            <color indexed="81"/>
            <rFont val="Tahoma"/>
            <family val="2"/>
          </rPr>
          <t>(EFG</t>
        </r>
        <r>
          <rPr>
            <sz val="9"/>
            <color indexed="81"/>
            <rFont val="細明體"/>
            <family val="3"/>
            <charset val="136"/>
          </rPr>
          <t>三欄</t>
        </r>
        <r>
          <rPr>
            <sz val="9"/>
            <color indexed="81"/>
            <rFont val="Tahoma"/>
            <family val="2"/>
          </rPr>
          <t>)</t>
        </r>
        <r>
          <rPr>
            <sz val="9"/>
            <color indexed="81"/>
            <rFont val="細明體"/>
            <family val="3"/>
            <charset val="136"/>
          </rPr>
          <t xml:space="preserve">請隱藏起來
</t>
        </r>
        <r>
          <rPr>
            <sz val="9"/>
            <color indexed="81"/>
            <rFont val="Tahoma"/>
            <family val="2"/>
          </rPr>
          <t>5.</t>
        </r>
        <r>
          <rPr>
            <sz val="9"/>
            <color indexed="81"/>
            <rFont val="細明體"/>
            <family val="3"/>
            <charset val="136"/>
          </rPr>
          <t>每個月填一份經費累計表</t>
        </r>
        <r>
          <rPr>
            <sz val="9"/>
            <color indexed="81"/>
            <rFont val="Tahoma"/>
            <family val="2"/>
          </rPr>
          <t>excel</t>
        </r>
        <r>
          <rPr>
            <sz val="9"/>
            <color indexed="81"/>
            <rFont val="細明體"/>
            <family val="3"/>
            <charset val="136"/>
          </rPr>
          <t>檔，請勿把多個月份的資料放在同一個</t>
        </r>
        <r>
          <rPr>
            <sz val="9"/>
            <color indexed="81"/>
            <rFont val="Tahoma"/>
            <family val="2"/>
          </rPr>
          <t>excel</t>
        </r>
        <r>
          <rPr>
            <sz val="9"/>
            <color indexed="81"/>
            <rFont val="細明體"/>
            <family val="3"/>
            <charset val="136"/>
          </rPr>
          <t xml:space="preserve">檔案中，因為公式很容易跑掉，這樣很容易造成計算錯誤
</t>
        </r>
        <r>
          <rPr>
            <sz val="9"/>
            <color indexed="81"/>
            <rFont val="Tahoma"/>
            <family val="2"/>
          </rPr>
          <t>6.</t>
        </r>
        <r>
          <rPr>
            <sz val="9"/>
            <color indexed="81"/>
            <rFont val="細明體"/>
            <family val="3"/>
            <charset val="136"/>
          </rPr>
          <t xml:space="preserve">填寫上若有不了解的地方，請撥電話或寫信詢問正風聯合會計師事務所負責審查貴公司的查帳員
</t>
        </r>
        <r>
          <rPr>
            <sz val="9"/>
            <color indexed="81"/>
            <rFont val="Tahoma"/>
            <family val="2"/>
          </rPr>
          <t>7.</t>
        </r>
        <r>
          <rPr>
            <sz val="9"/>
            <color indexed="81"/>
            <rFont val="細明體"/>
            <family val="3"/>
            <charset val="136"/>
          </rPr>
          <t>表格上方蓋公司大章，表格下方負責人部分蓋公司負責人小章。另表格下方其他權責人員章也務必蓋上</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8505A33-84B0-4B6B-96A1-FD510377BE7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1175235-546A-43CA-A2FD-84CE32508C58}">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8304E897-D99C-4803-9CF4-67C219C7288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9327EE6-E3E8-40B7-AFBF-467A764617BC}">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正常工作時數每個月可能不同(受大小月、例假日等因素影響)，請務必逐月確認是否填寫正確
3."簽名欄"位務必由投入計畫人員本人親簽，不要蓋章
4.表格下方所列計畫主持人、主辦會計、填表人等權責人員皆應蓋章</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0D15ACA-BD43-40E6-A063-36C9B681CD97}">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AEC7D688-AE13-4F01-A4BD-ECE706B01712}">
      <text>
        <r>
          <rPr>
            <b/>
            <sz val="12"/>
            <color indexed="81"/>
            <rFont val="細明體"/>
            <family val="3"/>
            <charset val="136"/>
          </rPr>
          <t xml:space="preserve">填表注意事項:
</t>
        </r>
        <r>
          <rPr>
            <sz val="12"/>
            <color indexed="81"/>
            <rFont val="細明體"/>
            <family val="3"/>
            <charset val="136"/>
          </rPr>
          <t>1.填綠色部分即可，白色部分的數字有預設公式，請不要修改，避免計算錯誤
2.所列設備名稱務必與"設備使用紀錄表"所列設備名稱完全相符
3.表格下方所列權責人員皆應蓋章</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9698085F-9898-4B8F-B74A-ECEE35345416}">
      <text>
        <r>
          <rPr>
            <b/>
            <sz val="12"/>
            <color indexed="81"/>
            <rFont val="細明體"/>
            <family val="3"/>
            <charset val="136"/>
          </rPr>
          <t>填表注意事項</t>
        </r>
        <r>
          <rPr>
            <b/>
            <sz val="12"/>
            <color indexed="81"/>
            <rFont val="Tahoma"/>
            <family val="2"/>
          </rPr>
          <t>:</t>
        </r>
        <r>
          <rPr>
            <sz val="12"/>
            <color indexed="81"/>
            <rFont val="Tahoma"/>
            <family val="2"/>
          </rPr>
          <t xml:space="preserve">
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所列設備名稱務必與"設備使用費"工作表所列設備名稱完全相符
3</t>
        </r>
        <r>
          <rPr>
            <sz val="12"/>
            <color indexed="81"/>
            <rFont val="Tahoma"/>
            <family val="2"/>
          </rPr>
          <t>.</t>
        </r>
        <r>
          <rPr>
            <sz val="12"/>
            <color indexed="81"/>
            <rFont val="細明體"/>
            <family val="3"/>
            <charset val="136"/>
          </rPr>
          <t>表格下方所列權責人員皆應蓋章</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0829B917-661D-4211-99F4-7EB99B807FF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2E60961A-8365-412F-B234-971F038353C8}">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18081065-44B9-4521-9D6E-290C679E51E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BA8F1B1E-9343-47FD-8034-FB08C6B10EFC}">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47EADEC4-52FE-41CC-A8DE-D174D38F59BE}">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632A4FD2-E412-404D-A0D1-2C28E295308D}">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dp4</author>
  </authors>
  <commentList>
    <comment ref="A1" authorId="0" shapeId="0" xr:uid="{574AD6E9-E12E-4A7B-BC66-AF9D63090205}">
      <text>
        <r>
          <rPr>
            <b/>
            <sz val="12"/>
            <color indexed="81"/>
            <rFont val="細明體"/>
            <family val="3"/>
            <charset val="136"/>
          </rPr>
          <t>填表注意事項</t>
        </r>
        <r>
          <rPr>
            <b/>
            <sz val="12"/>
            <color indexed="81"/>
            <rFont val="Tahoma"/>
            <family val="2"/>
          </rPr>
          <t xml:space="preserve">:
</t>
        </r>
        <r>
          <rPr>
            <sz val="12"/>
            <color indexed="81"/>
            <rFont val="Tahoma"/>
            <family val="2"/>
          </rPr>
          <t>1.</t>
        </r>
        <r>
          <rPr>
            <sz val="12"/>
            <color indexed="81"/>
            <rFont val="細明體"/>
            <family val="3"/>
            <charset val="136"/>
          </rPr>
          <t xml:space="preserve">填綠色部分即可，白色部分的數字有預設公式，請不要修改，避免計算錯誤
</t>
        </r>
        <r>
          <rPr>
            <sz val="12"/>
            <color indexed="81"/>
            <rFont val="Tahoma"/>
            <family val="2"/>
          </rPr>
          <t>2.</t>
        </r>
        <r>
          <rPr>
            <sz val="12"/>
            <color indexed="81"/>
            <rFont val="細明體"/>
            <family val="3"/>
            <charset val="136"/>
          </rPr>
          <t>表格下方所列權責人員皆應蓋章</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A41AD4-57A2-47D8-8863-011E95EC630C}" keepAlive="1" name="查詢 - 細項計畫資訊" description="與活頁簿中 '細項計畫資訊' 查詢的連接。" type="5" refreshedVersion="0" background="1">
    <dbPr connection="Provider=Microsoft.Mashup.OleDb.1;Data Source=$Workbook$;Location=細項計畫資訊;Extended Properties=&quot;&quot;" command="SELECT * FROM [細項計畫資訊]"/>
  </connection>
</connections>
</file>

<file path=xl/sharedStrings.xml><?xml version="1.0" encoding="utf-8"?>
<sst xmlns="http://schemas.openxmlformats.org/spreadsheetml/2006/main" count="580" uniqueCount="323">
  <si>
    <t>經費累計表(應按月編制)</t>
  </si>
  <si>
    <t>中華民國112年02月01日至112年00月00日</t>
    <phoneticPr fontId="9" type="noConversion"/>
  </si>
  <si>
    <t>金額單位：元</t>
  </si>
  <si>
    <t>計畫預算數</t>
  </si>
  <si>
    <r>
      <t>上期累計支用數</t>
    </r>
    <r>
      <rPr>
        <b/>
        <sz val="10"/>
        <color rgb="FF000000"/>
        <rFont val="標楷體"/>
        <family val="4"/>
        <charset val="136"/>
      </rPr>
      <t>(列印時請隱藏此欄位)</t>
    </r>
    <phoneticPr fontId="9" type="noConversion"/>
  </si>
  <si>
    <t xml:space="preserve">  本期支用數</t>
  </si>
  <si>
    <t xml:space="preserve"> 累計支用數</t>
  </si>
  <si>
    <t>預算科目</t>
  </si>
  <si>
    <t>補助款</t>
  </si>
  <si>
    <t>自籌款</t>
  </si>
  <si>
    <t>小計</t>
  </si>
  <si>
    <t>一、人事費</t>
  </si>
  <si>
    <t xml:space="preserve">    1.計畫人員</t>
  </si>
  <si>
    <t xml:space="preserve">    2.顧問</t>
  </si>
  <si>
    <t>二、消耗性器材及原材料費</t>
  </si>
  <si>
    <t>三、研發設備使用費</t>
  </si>
  <si>
    <t>四、研發設備維護費</t>
  </si>
  <si>
    <t>五、技術移轉費</t>
  </si>
  <si>
    <t xml:space="preserve">    1.技術或智慧財產權購買費</t>
  </si>
  <si>
    <t xml:space="preserve">    2.委託研究費</t>
  </si>
  <si>
    <t xml:space="preserve">    3.委託勞務費</t>
  </si>
  <si>
    <t>六、差旅費</t>
  </si>
  <si>
    <t xml:space="preserve">    1.國內差旅費</t>
    <phoneticPr fontId="9" type="noConversion"/>
  </si>
  <si>
    <t xml:space="preserve">    2.國外差旅費</t>
    <phoneticPr fontId="9" type="noConversion"/>
  </si>
  <si>
    <t>七、市場驗證費</t>
  </si>
  <si>
    <t>合  計</t>
  </si>
  <si>
    <t>註1:金額以元為單位。</t>
  </si>
  <si>
    <t>註2:補助款及自籌款出現#DIV/0!之欄位請填0。</t>
  </si>
  <si>
    <t>註3:請填寫綠色填滿之欄位，電腦會自動編列小計。</t>
  </si>
  <si>
    <t>註4:列印時請隱藏「上期累計實支數」之欄位</t>
  </si>
  <si>
    <t>公司負責人:</t>
  </si>
  <si>
    <t>計畫主持人:</t>
  </si>
  <si>
    <t>主辦會計:</t>
  </si>
  <si>
    <t>填表人：</t>
  </si>
  <si>
    <t>SIIR計畫－計畫人員薪資計算表  (112年××月)</t>
    <phoneticPr fontId="9" type="noConversion"/>
  </si>
  <si>
    <t>金額單位:元</t>
  </si>
  <si>
    <t>傳票日期</t>
  </si>
  <si>
    <t>傳票編號</t>
  </si>
  <si>
    <r>
      <t>計畫人員姓</t>
    </r>
    <r>
      <rPr>
        <b/>
        <sz val="18"/>
        <color rgb="FF000000"/>
        <rFont val="Times New Roman"/>
        <family val="1"/>
      </rPr>
      <t xml:space="preserve">  </t>
    </r>
    <r>
      <rPr>
        <b/>
        <sz val="18"/>
        <color rgb="FF000000"/>
        <rFont val="標楷體"/>
        <family val="4"/>
        <charset val="136"/>
      </rPr>
      <t>名</t>
    </r>
  </si>
  <si>
    <r>
      <t>本</t>
    </r>
    <r>
      <rPr>
        <b/>
        <sz val="18"/>
        <color rgb="FF000000"/>
        <rFont val="Times New Roman"/>
        <family val="1"/>
      </rPr>
      <t>(</t>
    </r>
    <r>
      <rPr>
        <b/>
        <sz val="18"/>
        <color rgb="FF000000"/>
        <rFont val="標楷體"/>
        <family val="4"/>
        <charset val="136"/>
      </rPr>
      <t>底</t>
    </r>
    <r>
      <rPr>
        <b/>
        <sz val="18"/>
        <color rgb="FF000000"/>
        <rFont val="Times New Roman"/>
        <family val="1"/>
      </rPr>
      <t>)</t>
    </r>
    <r>
      <rPr>
        <b/>
        <sz val="18"/>
        <color rgb="FF000000"/>
        <rFont val="標楷體"/>
        <family val="4"/>
        <charset val="136"/>
      </rPr>
      <t xml:space="preserve">薪
</t>
    </r>
    <r>
      <rPr>
        <b/>
        <sz val="18"/>
        <color rgb="FF000000"/>
        <rFont val="Times New Roman"/>
        <family val="1"/>
      </rPr>
      <t>A</t>
    </r>
  </si>
  <si>
    <r>
      <t xml:space="preserve">職務加給或
技術津貼
</t>
    </r>
    <r>
      <rPr>
        <b/>
        <sz val="18"/>
        <color rgb="FF000000"/>
        <rFont val="Times New Roman"/>
        <family val="1"/>
      </rPr>
      <t>B</t>
    </r>
  </si>
  <si>
    <r>
      <t xml:space="preserve">主管加給
</t>
    </r>
    <r>
      <rPr>
        <b/>
        <sz val="18"/>
        <color rgb="FF000000"/>
        <rFont val="Times New Roman"/>
        <family val="1"/>
      </rPr>
      <t>C</t>
    </r>
  </si>
  <si>
    <r>
      <t xml:space="preserve">月薪小計
</t>
    </r>
    <r>
      <rPr>
        <b/>
        <sz val="18"/>
        <color rgb="FF000000"/>
        <rFont val="Times New Roman"/>
        <family val="1"/>
      </rPr>
      <t>D=A+B+C</t>
    </r>
  </si>
  <si>
    <r>
      <t xml:space="preserve">投入比率
</t>
    </r>
    <r>
      <rPr>
        <b/>
        <sz val="18"/>
        <color rgb="FF000000"/>
        <rFont val="Times New Roman"/>
        <family val="1"/>
      </rPr>
      <t>(</t>
    </r>
    <r>
      <rPr>
        <b/>
        <sz val="18"/>
        <color rgb="FF000000"/>
        <rFont val="標楷體"/>
        <family val="4"/>
        <charset val="136"/>
      </rPr>
      <t>註</t>
    </r>
    <r>
      <rPr>
        <b/>
        <sz val="18"/>
        <color rgb="FF000000"/>
        <rFont val="Times New Roman"/>
        <family val="1"/>
      </rPr>
      <t>1)</t>
    </r>
    <r>
      <rPr>
        <b/>
        <sz val="18"/>
        <color rgb="FF000000"/>
        <rFont val="Times New Roman"/>
        <family val="1"/>
      </rPr>
      <t xml:space="preserve">
I</t>
    </r>
  </si>
  <si>
    <r>
      <t>可列入本計畫之薪餉</t>
    </r>
    <r>
      <rPr>
        <b/>
        <sz val="18"/>
        <color rgb="FF000000"/>
        <rFont val="Times New Roman"/>
        <family val="1"/>
      </rPr>
      <t>J=D*I</t>
    </r>
  </si>
  <si>
    <r>
      <t xml:space="preserve">本計畫加班費
</t>
    </r>
    <r>
      <rPr>
        <b/>
        <sz val="18"/>
        <color rgb="FF000000"/>
        <rFont val="Times New Roman"/>
        <family val="1"/>
      </rPr>
      <t>K</t>
    </r>
  </si>
  <si>
    <r>
      <t xml:space="preserve">應計入本計畫薪資
</t>
    </r>
    <r>
      <rPr>
        <b/>
        <sz val="18"/>
        <color rgb="FF000000"/>
        <rFont val="Times New Roman"/>
        <family val="1"/>
      </rPr>
      <t>L=J+K</t>
    </r>
  </si>
  <si>
    <r>
      <t>1.</t>
    </r>
    <r>
      <rPr>
        <sz val="18"/>
        <color rgb="FF000000"/>
        <rFont val="標楷體"/>
        <family val="4"/>
        <charset val="136"/>
      </rPr>
      <t>×××</t>
    </r>
  </si>
  <si>
    <r>
      <t>2.</t>
    </r>
    <r>
      <rPr>
        <sz val="18"/>
        <color rgb="FF000000"/>
        <rFont val="標楷體"/>
        <family val="4"/>
        <charset val="136"/>
      </rPr>
      <t>×××</t>
    </r>
  </si>
  <si>
    <r>
      <t>3.</t>
    </r>
    <r>
      <rPr>
        <sz val="18"/>
        <color rgb="FF000000"/>
        <rFont val="標楷體"/>
        <family val="4"/>
        <charset val="136"/>
      </rPr>
      <t>×××</t>
    </r>
  </si>
  <si>
    <r>
      <t>4.</t>
    </r>
    <r>
      <rPr>
        <sz val="18"/>
        <color rgb="FF000000"/>
        <rFont val="標楷體"/>
        <family val="4"/>
        <charset val="136"/>
      </rPr>
      <t>×××</t>
    </r>
  </si>
  <si>
    <r>
      <t>合</t>
    </r>
    <r>
      <rPr>
        <b/>
        <sz val="18"/>
        <color rgb="FF000000"/>
        <rFont val="Times New Roman"/>
        <family val="1"/>
      </rPr>
      <t xml:space="preserve">   </t>
    </r>
    <r>
      <rPr>
        <b/>
        <sz val="18"/>
        <color rgb="FF000000"/>
        <rFont val="標楷體"/>
        <family val="4"/>
        <charset val="136"/>
      </rPr>
      <t>計</t>
    </r>
  </si>
  <si>
    <t>註1：投入比率應與工時記錄表合計當月份一致。每月投入比率以1為上限。</t>
  </si>
  <si>
    <t>註2：帳務查核時應備妥下列文件備查: 1.薪資清冊(內容包含：發放之薪資結構明細計算)</t>
  </si>
  <si>
    <t xml:space="preserve">     2.銀行轉帳記錄或印領清冊</t>
  </si>
  <si>
    <t>SIIR計畫人員加班記錄總表  (112年××月)</t>
    <phoneticPr fontId="9" type="noConversion"/>
  </si>
  <si>
    <t>計畫人員姓  名</t>
  </si>
  <si>
    <t>加班事由</t>
  </si>
  <si>
    <t>加班時數</t>
  </si>
  <si>
    <t>加班費計算公式</t>
  </si>
  <si>
    <t>本計畫之加班費</t>
  </si>
  <si>
    <t>計畫人員簽名</t>
  </si>
  <si>
    <t>合   計</t>
  </si>
  <si>
    <t>SIIR計畫－顧問費(112年××月)</t>
    <phoneticPr fontId="9" type="noConversion"/>
  </si>
  <si>
    <t>姓名</t>
  </si>
  <si>
    <t>摘要</t>
  </si>
  <si>
    <r>
      <t>合</t>
    </r>
    <r>
      <rPr>
        <b/>
        <sz val="12"/>
        <color rgb="FF000000"/>
        <rFont val="Times New Roman"/>
        <family val="1"/>
      </rPr>
      <t xml:space="preserve">    </t>
    </r>
    <r>
      <rPr>
        <b/>
        <sz val="12"/>
        <color rgb="FF000000"/>
        <rFont val="標楷體"/>
        <family val="4"/>
        <charset val="136"/>
      </rPr>
      <t>計</t>
    </r>
  </si>
  <si>
    <r>
      <t>1.</t>
    </r>
    <r>
      <rPr>
        <sz val="12"/>
        <color rgb="FF000000"/>
        <rFont val="標楷體"/>
        <family val="4"/>
        <charset val="136"/>
      </rPr>
      <t>×××</t>
    </r>
  </si>
  <si>
    <r>
      <t>2.</t>
    </r>
    <r>
      <rPr>
        <sz val="12"/>
        <color rgb="FF000000"/>
        <rFont val="標楷體"/>
        <family val="4"/>
        <charset val="136"/>
      </rPr>
      <t>×××</t>
    </r>
  </si>
  <si>
    <r>
      <t>合</t>
    </r>
    <r>
      <rPr>
        <b/>
        <sz val="12"/>
        <color rgb="FF000000"/>
        <rFont val="Times New Roman"/>
        <family val="1"/>
      </rPr>
      <t xml:space="preserve">   </t>
    </r>
    <r>
      <rPr>
        <b/>
        <sz val="12"/>
        <color rgb="FF000000"/>
        <rFont val="標楷體"/>
        <family val="4"/>
        <charset val="136"/>
      </rPr>
      <t>計</t>
    </r>
  </si>
  <si>
    <t xml:space="preserve">註1：帳務查核時應備妥下列文件備查:1.領款收據（應書明受領事由、受領人名、地址、                </t>
  </si>
  <si>
    <t xml:space="preserve">     身份證編號，由受領人簽名 或蓋章） 2.證明支付金額之文件(ex:銀行匯款單據)
</t>
  </si>
  <si>
    <t>註2：顧問任職單位同意函。</t>
  </si>
  <si>
    <t>SIIR計畫工時記錄表(112年××月)</t>
    <phoneticPr fontId="9" type="noConversion"/>
  </si>
  <si>
    <t>合計</t>
  </si>
  <si>
    <t>正常工作時數</t>
  </si>
  <si>
    <t>投入
比率</t>
  </si>
  <si>
    <t>簽名欄</t>
  </si>
  <si>
    <r>
      <t>1.</t>
    </r>
    <r>
      <rPr>
        <sz val="10"/>
        <color rgb="FF000000"/>
        <rFont val="標楷體"/>
        <family val="4"/>
        <charset val="136"/>
      </rPr>
      <t>×××</t>
    </r>
  </si>
  <si>
    <r>
      <t>2.</t>
    </r>
    <r>
      <rPr>
        <sz val="10"/>
        <color rgb="FF000000"/>
        <rFont val="標楷體"/>
        <family val="4"/>
        <charset val="136"/>
      </rPr>
      <t>×××</t>
    </r>
  </si>
  <si>
    <r>
      <t>3.</t>
    </r>
    <r>
      <rPr>
        <sz val="10"/>
        <color rgb="FF000000"/>
        <rFont val="標楷體"/>
        <family val="4"/>
        <charset val="136"/>
      </rPr>
      <t>×××</t>
    </r>
  </si>
  <si>
    <r>
      <t>4.</t>
    </r>
    <r>
      <rPr>
        <sz val="10"/>
        <color rgb="FF000000"/>
        <rFont val="標楷體"/>
        <family val="4"/>
        <charset val="136"/>
      </rPr>
      <t>×××</t>
    </r>
  </si>
  <si>
    <r>
      <t>註1</t>
    </r>
    <r>
      <rPr>
        <sz val="10"/>
        <color rgb="FF000000"/>
        <rFont val="Times New Roman"/>
        <family val="1"/>
      </rPr>
      <t>.</t>
    </r>
    <r>
      <rPr>
        <sz val="10"/>
        <color rgb="FF000000"/>
        <rFont val="標楷體"/>
        <family val="4"/>
        <charset val="136"/>
      </rPr>
      <t>請假不論事由，請假時數均不得列入本計畫投入工時計算。</t>
    </r>
  </si>
  <si>
    <r>
      <t>註2</t>
    </r>
    <r>
      <rPr>
        <sz val="10"/>
        <color rgb="FF000000"/>
        <rFont val="Times New Roman"/>
        <family val="1"/>
      </rPr>
      <t>.</t>
    </r>
    <r>
      <rPr>
        <sz val="10"/>
        <color rgb="FF000000"/>
        <rFont val="標楷體"/>
        <family val="4"/>
        <charset val="136"/>
      </rPr>
      <t>公司加班如另發加班費則上表所統計之工時不含加班時數；如採補休方式則加班時數應計入，補休時則視同請假處理。</t>
    </r>
  </si>
  <si>
    <r>
      <t>註</t>
    </r>
    <r>
      <rPr>
        <sz val="10"/>
        <color rgb="FF000000"/>
        <rFont val="Times New Roman"/>
        <family val="1"/>
      </rPr>
      <t>3.</t>
    </r>
    <r>
      <rPr>
        <sz val="10"/>
        <color rgb="FF000000"/>
        <rFont val="標楷體"/>
        <family val="4"/>
        <charset val="136"/>
      </rPr>
      <t>每月投入比率最高為</t>
    </r>
    <r>
      <rPr>
        <sz val="10"/>
        <color rgb="FF000000"/>
        <rFont val="Times New Roman"/>
        <family val="1"/>
      </rPr>
      <t>1.00</t>
    </r>
    <r>
      <rPr>
        <sz val="10"/>
        <color rgb="FF000000"/>
        <rFont val="標楷體"/>
        <family val="4"/>
        <charset val="136"/>
      </rPr>
      <t>。</t>
    </r>
  </si>
  <si>
    <r>
      <t>註4</t>
    </r>
    <r>
      <rPr>
        <sz val="10"/>
        <color rgb="FFFF0000"/>
        <rFont val="Times New Roman"/>
        <family val="1"/>
      </rPr>
      <t>.</t>
    </r>
    <r>
      <rPr>
        <sz val="10"/>
        <color rgb="FFFF0000"/>
        <rFont val="標楷體"/>
        <family val="4"/>
        <charset val="136"/>
      </rPr>
      <t>請計畫人員確認工時記錄後於簽名欄位簽名</t>
    </r>
  </si>
  <si>
    <t>SIIR計畫－消耗性器材及原材料費(112年××月)</t>
    <phoneticPr fontId="9" type="noConversion"/>
  </si>
  <si>
    <t>傳票號碼</t>
  </si>
  <si>
    <t>發票日期             (領料日期)</t>
  </si>
  <si>
    <t>發票編號         (領料單號)</t>
  </si>
  <si>
    <t>供應商</t>
  </si>
  <si>
    <t>發票品名
(註2)</t>
  </si>
  <si>
    <t>對照計畫書所列項目
(註1)</t>
  </si>
  <si>
    <t>數量</t>
  </si>
  <si>
    <t>單價(材料明細或分攤表)</t>
  </si>
  <si>
    <r>
      <t xml:space="preserve">金額
</t>
    </r>
    <r>
      <rPr>
        <b/>
        <sz val="12"/>
        <color rgb="FF000000"/>
        <rFont val="Times New Roman"/>
        <family val="1"/>
      </rPr>
      <t>(</t>
    </r>
    <r>
      <rPr>
        <b/>
        <sz val="12"/>
        <color rgb="FF000000"/>
        <rFont val="標楷體"/>
        <family val="4"/>
        <charset val="136"/>
      </rPr>
      <t>不含營業稅</t>
    </r>
    <r>
      <rPr>
        <b/>
        <sz val="12"/>
        <color rgb="FF000000"/>
        <rFont val="Times New Roman"/>
        <family val="1"/>
      </rPr>
      <t>)</t>
    </r>
  </si>
  <si>
    <t>112.4.22</t>
    <phoneticPr fontId="9" type="noConversion"/>
  </si>
  <si>
    <t>112.4.13</t>
    <phoneticPr fontId="9" type="noConversion"/>
  </si>
  <si>
    <t>AB12345678</t>
  </si>
  <si>
    <t>××</t>
  </si>
  <si>
    <t>齒輪</t>
  </si>
  <si>
    <t>112.4.24</t>
    <phoneticPr fontId="9" type="noConversion"/>
  </si>
  <si>
    <t>112.4.18</t>
    <phoneticPr fontId="9" type="noConversion"/>
  </si>
  <si>
    <t>AB13145676</t>
  </si>
  <si>
    <t>鋼材</t>
  </si>
  <si>
    <r>
      <t>合</t>
    </r>
    <r>
      <rPr>
        <b/>
        <sz val="12"/>
        <color rgb="FF000000"/>
        <rFont val="Times New Roman"/>
        <family val="1"/>
      </rPr>
      <t xml:space="preserve">                                </t>
    </r>
    <r>
      <rPr>
        <b/>
        <sz val="12"/>
        <color rgb="FF000000"/>
        <rFont val="標楷體"/>
        <family val="4"/>
        <charset val="136"/>
      </rPr>
      <t>計</t>
    </r>
  </si>
  <si>
    <t>註1：「對照計畫書所列項目」名稱需與計畫書所列之材料項目名稱一致。</t>
  </si>
  <si>
    <t>註2：「發票品名」請依發票填寫所列項目。</t>
  </si>
  <si>
    <t>註3：如屬公司共通性材料領用，發票日期、發票號碼請改填寫領料單日期、領料單號碼</t>
  </si>
  <si>
    <r>
      <t>註</t>
    </r>
    <r>
      <rPr>
        <sz val="10"/>
        <color rgb="FF000000"/>
        <rFont val="Times New Roman"/>
        <family val="1"/>
      </rPr>
      <t>4</t>
    </r>
    <r>
      <rPr>
        <sz val="10"/>
        <color rgb="FF000000"/>
        <rFont val="標楷體"/>
        <family val="4"/>
        <charset val="136"/>
      </rPr>
      <t>：營業稅不得報支。</t>
    </r>
  </si>
  <si>
    <r>
      <t>註</t>
    </r>
    <r>
      <rPr>
        <sz val="10"/>
        <color rgb="FF000000"/>
        <rFont val="Times New Roman"/>
        <family val="1"/>
      </rPr>
      <t>5</t>
    </r>
    <r>
      <rPr>
        <sz val="10"/>
        <color rgb="FF000000"/>
        <rFont val="標楷體"/>
        <family val="4"/>
        <charset val="136"/>
      </rPr>
      <t>：辦公室所需之事務性耗材不得報支。</t>
    </r>
  </si>
  <si>
    <t xml:space="preserve">註6：帳務查核時應備妥下列文件備查:1.為專案計畫採購者應提供統一發票、收據或進口結匯單據與invoice、 及內部轉帳傳票、請購單、採購單
</t>
  </si>
  <si>
    <t xml:space="preserve">     及驗收單足以證明之憑證。 2.自共通性器材領料應提供：領料單、材料明細帳或分攤表。3.涉及外幣支付時應附當時之外幣匯率表。</t>
  </si>
  <si>
    <t>SIIR計畫－設備使用費(1)---已有設備(112年××月)</t>
    <phoneticPr fontId="9" type="noConversion"/>
  </si>
  <si>
    <t>財產編號</t>
  </si>
  <si>
    <t>設備名稱</t>
  </si>
  <si>
    <t>對照計畫書所列項目</t>
  </si>
  <si>
    <t>取得日期</t>
  </si>
  <si>
    <r>
      <t xml:space="preserve">購入成本
</t>
    </r>
    <r>
      <rPr>
        <b/>
        <sz val="10"/>
        <color rgb="FF000000"/>
        <rFont val="Times New Roman"/>
        <family val="1"/>
      </rPr>
      <t>(</t>
    </r>
    <r>
      <rPr>
        <b/>
        <sz val="10"/>
        <color rgb="FF000000"/>
        <rFont val="標楷體"/>
        <family val="4"/>
        <charset val="136"/>
      </rPr>
      <t>單套</t>
    </r>
    <r>
      <rPr>
        <b/>
        <sz val="10"/>
        <color rgb="FF000000"/>
        <rFont val="Times New Roman"/>
        <family val="1"/>
      </rPr>
      <t>)</t>
    </r>
  </si>
  <si>
    <r>
      <t xml:space="preserve">套數
</t>
    </r>
    <r>
      <rPr>
        <b/>
        <sz val="10"/>
        <color rgb="FF000000"/>
        <rFont val="Times New Roman"/>
        <family val="1"/>
      </rPr>
      <t>A1</t>
    </r>
  </si>
  <si>
    <r>
      <t xml:space="preserve">投入時
單套帳面價值
（未折減餘額）
</t>
    </r>
    <r>
      <rPr>
        <b/>
        <sz val="10"/>
        <color rgb="FF000000"/>
        <rFont val="Times New Roman"/>
        <family val="1"/>
      </rPr>
      <t>A2</t>
    </r>
  </si>
  <si>
    <t>剩餘使用月數</t>
  </si>
  <si>
    <r>
      <t xml:space="preserve">每月攤提使用費
</t>
    </r>
    <r>
      <rPr>
        <b/>
        <sz val="9"/>
        <color rgb="FF000000"/>
        <rFont val="Times New Roman"/>
        <family val="1"/>
      </rPr>
      <t>A3=A1*A2*/</t>
    </r>
    <r>
      <rPr>
        <b/>
        <sz val="9"/>
        <color rgb="FF000000"/>
        <rFont val="標楷體"/>
        <family val="4"/>
        <charset val="136"/>
      </rPr>
      <t>剩餘使用月數</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</si>
  <si>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A4</t>
    </r>
  </si>
  <si>
    <r>
      <t xml:space="preserve">本期使用費
</t>
    </r>
    <r>
      <rPr>
        <b/>
        <sz val="10"/>
        <color rgb="FF000000"/>
        <rFont val="Times New Roman"/>
        <family val="1"/>
      </rPr>
      <t>A5=A3*A4</t>
    </r>
  </si>
  <si>
    <t>(1)8800015</t>
  </si>
  <si>
    <t>成型機</t>
  </si>
  <si>
    <t>107.01.15</t>
  </si>
  <si>
    <t>(2)8900032</t>
  </si>
  <si>
    <t>磨石機</t>
  </si>
  <si>
    <t>107.07.22</t>
  </si>
  <si>
    <t>(3)8900033</t>
  </si>
  <si>
    <t>加工機</t>
  </si>
  <si>
    <t>107.07.25</t>
  </si>
  <si>
    <t>小計</t>
    <phoneticPr fontId="9" type="noConversion"/>
  </si>
  <si>
    <t>SIIR計畫－設備使用費(2)---新增設備(112年××月)</t>
    <phoneticPr fontId="9" type="noConversion"/>
  </si>
  <si>
    <r>
      <t xml:space="preserve">套數
</t>
    </r>
    <r>
      <rPr>
        <b/>
        <sz val="10"/>
        <color rgb="FF000000"/>
        <rFont val="Times New Roman"/>
        <family val="1"/>
      </rPr>
      <t>B1</t>
    </r>
  </si>
  <si>
    <r>
      <t xml:space="preserve">投入時
單套帳面價值
（未折減餘額）
</t>
    </r>
    <r>
      <rPr>
        <b/>
        <sz val="10"/>
        <color rgb="FF000000"/>
        <rFont val="Times New Roman"/>
        <family val="1"/>
      </rPr>
      <t>B2</t>
    </r>
  </si>
  <si>
    <r>
      <t xml:space="preserve">每月攤提使用費
</t>
    </r>
    <r>
      <rPr>
        <b/>
        <sz val="9"/>
        <color rgb="FF000000"/>
        <rFont val="Times New Roman"/>
        <family val="1"/>
      </rPr>
      <t>B3=B1*B2*/60</t>
    </r>
    <r>
      <rPr>
        <b/>
        <sz val="9"/>
        <color rgb="FF000000"/>
        <rFont val="Times New Roman"/>
        <family val="1"/>
      </rPr>
      <t xml:space="preserve">
(</t>
    </r>
    <r>
      <rPr>
        <b/>
        <sz val="9"/>
        <color rgb="FF000000"/>
        <rFont val="標楷體"/>
        <family val="4"/>
        <charset val="136"/>
      </rPr>
      <t>詳如註</t>
    </r>
    <r>
      <rPr>
        <b/>
        <sz val="9"/>
        <color rgb="FF000000"/>
        <rFont val="Times New Roman"/>
        <family val="1"/>
      </rPr>
      <t>3)</t>
    </r>
  </si>
  <si>
    <r>
      <t xml:space="preserve">本期投入比率
</t>
    </r>
    <r>
      <rPr>
        <b/>
        <sz val="10"/>
        <color rgb="FF000000"/>
        <rFont val="Times New Roman"/>
        <family val="1"/>
      </rPr>
      <t>B4</t>
    </r>
  </si>
  <si>
    <r>
      <t xml:space="preserve">本期使用費
</t>
    </r>
    <r>
      <rPr>
        <b/>
        <sz val="10"/>
        <color rgb="FF000000"/>
        <rFont val="Times New Roman"/>
        <family val="1"/>
      </rPr>
      <t>B5=B3*B4</t>
    </r>
  </si>
  <si>
    <t>(1)10404011</t>
  </si>
  <si>
    <t>電腦</t>
  </si>
  <si>
    <t>112.04.03</t>
    <phoneticPr fontId="9" type="noConversion"/>
  </si>
  <si>
    <t>(2)10404025</t>
  </si>
  <si>
    <t>射出機</t>
  </si>
  <si>
    <t>112.04.05</t>
    <phoneticPr fontId="9" type="noConversion"/>
  </si>
  <si>
    <t>合計</t>
    <phoneticPr fontId="9" type="noConversion"/>
  </si>
  <si>
    <r>
      <t>註</t>
    </r>
    <r>
      <rPr>
        <sz val="10"/>
        <color rgb="FF000000"/>
        <rFont val="Times New Roman"/>
        <family val="1"/>
      </rPr>
      <t>1</t>
    </r>
    <r>
      <rPr>
        <sz val="10"/>
        <color rgb="FF000000"/>
        <rFont val="標楷體"/>
        <family val="4"/>
        <charset val="136"/>
      </rPr>
      <t>：</t>
    </r>
    <r>
      <rPr>
        <sz val="10"/>
        <color rgb="FF000000"/>
        <rFont val="Times New Roman"/>
        <family val="1"/>
      </rPr>
      <t xml:space="preserve"> </t>
    </r>
    <r>
      <rPr>
        <sz val="10"/>
        <color rgb="FF000000"/>
        <rFont val="標楷體"/>
        <family val="4"/>
        <charset val="136"/>
      </rPr>
      <t>「已有設備」及「新增設備」之名稱應與計畫書所列相符並依上表分開填列。</t>
    </r>
  </si>
  <si>
    <r>
      <t>註</t>
    </r>
    <r>
      <rPr>
        <sz val="10"/>
        <color rgb="FF000000"/>
        <rFont val="Times New Roman"/>
        <family val="1"/>
      </rPr>
      <t>2</t>
    </r>
    <r>
      <rPr>
        <sz val="10"/>
        <color rgb="FF000000"/>
        <rFont val="標楷體"/>
        <family val="4"/>
        <charset val="136"/>
      </rPr>
      <t>：「本期投入比率」應依據設備使用記錄表實際投入比率一致。</t>
    </r>
  </si>
  <si>
    <t>註3：帳務查核時應備妥下列文件備查:1.新增設備-請購單、採購單、驗收單、統一發票或收據、進口報關結匯單據與INVOICE。</t>
  </si>
  <si>
    <t xml:space="preserve">     2.已有設備-財產目錄。3.研發設備使用記錄表。4.若為分攤，應附分攤表及原始憑證影本。
</t>
  </si>
  <si>
    <t>SIIR計畫設備使用記錄表(112年××月)</t>
    <phoneticPr fontId="9" type="noConversion"/>
  </si>
  <si>
    <t>正常使用時數</t>
  </si>
  <si>
    <t>已有設備</t>
  </si>
  <si>
    <t>新增設備</t>
  </si>
  <si>
    <r>
      <t>註1.當月正常使用總時數與人員上班時數相同；若設備為24小時開機者，則以24小時*當月日數，計算當月正常使用總時數</t>
    </r>
    <r>
      <rPr>
        <sz val="10"/>
        <color rgb="FFFF0000"/>
        <rFont val="標楷體"/>
        <family val="4"/>
        <charset val="136"/>
      </rPr>
      <t>。</t>
    </r>
  </si>
  <si>
    <t>註2.每月投入比率最高為1.00。</t>
  </si>
  <si>
    <t>註3.攤提設備名稱請參照計畫書所編列設備。</t>
  </si>
  <si>
    <t>SIIR計畫設備維護費---已有設備(112年××月)</t>
    <phoneticPr fontId="9" type="noConversion"/>
  </si>
  <si>
    <t>購入成本</t>
  </si>
  <si>
    <t>發票日期</t>
  </si>
  <si>
    <t>發票編號</t>
  </si>
  <si>
    <t>品名</t>
  </si>
  <si>
    <t>單位</t>
  </si>
  <si>
    <t>金額</t>
  </si>
  <si>
    <t>112.05.15</t>
    <phoneticPr fontId="9" type="noConversion"/>
  </si>
  <si>
    <t>112.05.01</t>
    <phoneticPr fontId="9" type="noConversion"/>
  </si>
  <si>
    <t>CD200102</t>
  </si>
  <si>
    <t>螺絲</t>
  </si>
  <si>
    <t>個</t>
  </si>
  <si>
    <t>112.05.22</t>
    <phoneticPr fontId="9" type="noConversion"/>
  </si>
  <si>
    <t>112.05.02</t>
    <phoneticPr fontId="9" type="noConversion"/>
  </si>
  <si>
    <t>EF200305</t>
  </si>
  <si>
    <t>模具材料</t>
  </si>
  <si>
    <t>小 計(A)</t>
  </si>
  <si>
    <t>註1：所列報之維護設備應與計畫書所列相符，並應出具維修廠商憑證，且所列維護費之金額應與原始憑證、費用分攤表相符。</t>
  </si>
  <si>
    <t>註2：營業稅不得報支。新增設備保固期間內不得列報維護費。</t>
  </si>
  <si>
    <t>註3：若屬廠商自行維修之設備，維護費不得超出原購入成本之5%。</t>
  </si>
  <si>
    <t xml:space="preserve">註4：帳務查核時應備妥下列文件備查:1.請購單、驗收單、維護合約、發票或收據等。2.屬自行維修性質者應提供「設備維修時間記錄表」
</t>
  </si>
  <si>
    <t xml:space="preserve">     及相關自行維修成本計算表。3.若為分攤，應附分攤表及原始憑證影本。4.涉及外幣支付時應附當時之外幣 匯率表。</t>
  </si>
  <si>
    <t>SIIR計畫－技術或智慧財產權購買費(112年××月)</t>
    <phoneticPr fontId="9" type="noConversion"/>
  </si>
  <si>
    <t>1.技轉(委託)項目:</t>
  </si>
  <si>
    <t>2.技轉(委託)對象：</t>
  </si>
  <si>
    <t>3.合約期間:00年00月00日~00年00月00日</t>
  </si>
  <si>
    <t>4.合約總額：</t>
  </si>
  <si>
    <t>5.付款方式：</t>
    <phoneticPr fontId="9" type="noConversion"/>
  </si>
  <si>
    <t>付款期數</t>
  </si>
  <si>
    <t>第 1 期</t>
  </si>
  <si>
    <t>AV23182456</t>
  </si>
  <si>
    <t>第 2 期</t>
  </si>
  <si>
    <t>EW86973745</t>
  </si>
  <si>
    <t>合       計</t>
  </si>
  <si>
    <t>註1：營業稅不得報支。</t>
  </si>
  <si>
    <t>註2：技術購買之對象應與計畫書所列相符，金額應與原始憑證（如：統一發票或收據）相符。</t>
  </si>
  <si>
    <t xml:space="preserve">註3：帳務查核時應備妥下列文件備查:1.技術購買契約書。(2)統一發票（或收據）、或國外之INVOICE(或RECEIPT)及匯兌水單。
         </t>
  </si>
  <si>
    <t>SIIR計畫－委託研究費(112年××月)</t>
    <phoneticPr fontId="9" type="noConversion"/>
  </si>
  <si>
    <t>5.付款方式：</t>
  </si>
  <si>
    <t>註2：委託研究之對象應與計畫書所列相符，金額應與原始憑證（如：統一發票或收據）相符。</t>
  </si>
  <si>
    <t xml:space="preserve">註3：帳務查核時應備妥下列文件備查:1.委託研究契約書。(2)統一發票（或收據）、或國外之INVOICE(或RECEIPT)及匯兌水單。
         </t>
  </si>
  <si>
    <t>SIIR計畫－委託勞務費(112年××月)</t>
    <phoneticPr fontId="9" type="noConversion"/>
  </si>
  <si>
    <t>註2：委託勞務之對象應與計畫書所列相符，金額應與原始憑證（如：統一發票或收據）相符。</t>
  </si>
  <si>
    <t xml:space="preserve">註3：帳務查核時應備妥下列文件備查:1.委託勞務契約書。(2)統一發票（或收據）、或國外之INVOICE(或RECEIPT)及匯兌水單。
         </t>
  </si>
  <si>
    <t>SIIR計畫－國內差旅費(112年××月)</t>
    <phoneticPr fontId="9" type="noConversion"/>
  </si>
  <si>
    <t>金額單元:元</t>
  </si>
  <si>
    <t>職稱</t>
  </si>
  <si>
    <t>出差期間</t>
  </si>
  <si>
    <t>天數</t>
  </si>
  <si>
    <t>地點</t>
  </si>
  <si>
    <t>事  由</t>
  </si>
  <si>
    <t>機票</t>
  </si>
  <si>
    <t>車資</t>
  </si>
  <si>
    <t>住宿費</t>
  </si>
  <si>
    <t>膳雜費</t>
  </si>
  <si>
    <t>其他</t>
  </si>
  <si>
    <t>1.×××</t>
  </si>
  <si>
    <t>經理</t>
  </si>
  <si>
    <t>3月14-15日</t>
  </si>
  <si>
    <t>塑膠中心</t>
  </si>
  <si>
    <t>討論勞務規格</t>
  </si>
  <si>
    <t>2.×××</t>
  </si>
  <si>
    <t>工程師</t>
  </si>
  <si>
    <t xml:space="preserve">    合   計</t>
  </si>
  <si>
    <t>註1：出差人員僅限本計畫計畫人員，且出差事由應與本專案計畫有關。</t>
  </si>
  <si>
    <t xml:space="preserve">註2：差旅費之膳雜費計算應不超過營利事業所得稅查核準則規定。 </t>
  </si>
  <si>
    <t xml:space="preserve">註3：帳務查核時應備妥下列文件備查:(1)搭乘飛機，應檢附機票票根或登機證存根及國際線航空機票購票證明單或旅行業代收轉付收據；
</t>
  </si>
  <si>
    <t xml:space="preserve">     其餘交通費，應檢附原始單據或旅行業代收轉付 收據。(2)乘坐輪船，應提供船票或輪船公司出具之證明。</t>
  </si>
  <si>
    <t xml:space="preserve">  　 (3)火車、汽車之車資，以經手人（即出差人）之證明為憑。但包租計程車應取具車行證明及經手人或出差人證明。(4)住宿費收據或發票。</t>
  </si>
  <si>
    <t xml:space="preserve">     (5)出差報銷單及公司差旅費報銷規定。(6)涉及外幣支付時應附當時之外幣匯率表。 
</t>
  </si>
  <si>
    <t>SIIR計畫－國外差旅費(112年××月)</t>
    <phoneticPr fontId="9" type="noConversion"/>
  </si>
  <si>
    <t>3月17-18日</t>
    <phoneticPr fontId="9" type="noConversion"/>
  </si>
  <si>
    <t>XX</t>
    <phoneticPr fontId="9" type="noConversion"/>
  </si>
  <si>
    <t>SIIR計畫－市場驗證費(112年××月)</t>
    <phoneticPr fontId="9" type="noConversion"/>
  </si>
  <si>
    <t xml:space="preserve">發票日期 </t>
  </si>
  <si>
    <t xml:space="preserve">發票編號 </t>
  </si>
  <si>
    <t>發票內容
(註2)</t>
  </si>
  <si>
    <t>單價</t>
  </si>
  <si>
    <t>金額
(不含營業稅)</t>
  </si>
  <si>
    <t>112.4.25</t>
    <phoneticPr fontId="9" type="noConversion"/>
  </si>
  <si>
    <t>合                                計</t>
  </si>
  <si>
    <t>註1：「對照計畫書所列項目」名稱需與計畫書所列之項目名稱一致。</t>
  </si>
  <si>
    <t>註2：「發票內容」請依發票填寫所列項目。</t>
  </si>
  <si>
    <t>註3：營業稅不得報支。</t>
  </si>
  <si>
    <t xml:space="preserve">註4：帳務查核時應備妥下列文件備查:1.應提供統一發票、收據或進口結匯單據與invoice。2.涉及外幣支付時應附當時之外幣匯率表。3、廣告樣張（樣張上應印有營利事業名稱
</t>
  </si>
  <si>
    <t>　　　、品牌名或與計畫有相關之資訊)。</t>
  </si>
  <si>
    <t>註5：贈送樣品或商品饋贈之項目上限不得逾本科目10%，單份不得逾新台幣500元。</t>
  </si>
  <si>
    <t>註6：贊助公益或體育活動具有廣告性質之各項費用應取得統一發票或合法憑證，並檢附載有活動名稱及營利事業名稱之相關廣告品。</t>
    <phoneticPr fontId="9" type="noConversion"/>
  </si>
  <si>
    <t>註7：活動臨時聘用人力費用須提供如人事費科目之查核資料。</t>
    <phoneticPr fontId="9" type="noConversion"/>
  </si>
  <si>
    <t>註8：活動臨時聘用人力費用，時薪不得低於政府公告最低時薪標準，且不得超過本經費科目10%。</t>
    <phoneticPr fontId="9" type="noConversion"/>
  </si>
  <si>
    <t>合計人月</t>
    <phoneticPr fontId="9" type="noConversion"/>
  </si>
  <si>
    <t>合計薪資</t>
    <phoneticPr fontId="9" type="noConversion"/>
  </si>
  <si>
    <t>計畫項目</t>
    <phoneticPr fontId="9" type="noConversion"/>
  </si>
  <si>
    <t>非屬薪資</t>
    <phoneticPr fontId="9" type="noConversion"/>
  </si>
  <si>
    <t>費用小計</t>
    <phoneticPr fontId="9" type="noConversion"/>
  </si>
  <si>
    <t>人</t>
    <phoneticPr fontId="9" type="noConversion"/>
  </si>
  <si>
    <t>費</t>
    <phoneticPr fontId="9" type="noConversion"/>
  </si>
  <si>
    <t>分項合計</t>
    <phoneticPr fontId="9" type="noConversion"/>
  </si>
  <si>
    <t>其他費用</t>
    <phoneticPr fontId="9" type="noConversion"/>
  </si>
  <si>
    <t>顧問費用</t>
    <phoneticPr fontId="9" type="noConversion"/>
  </si>
  <si>
    <t>驗證費用</t>
    <phoneticPr fontId="9" type="noConversion"/>
  </si>
  <si>
    <t>技術引進</t>
    <phoneticPr fontId="9" type="noConversion"/>
  </si>
  <si>
    <t>人事費用</t>
    <phoneticPr fontId="9" type="noConversion"/>
  </si>
  <si>
    <t>總計畫費用</t>
    <phoneticPr fontId="9" type="noConversion"/>
  </si>
  <si>
    <t>委託開發</t>
    <phoneticPr fontId="9" type="noConversion"/>
  </si>
  <si>
    <t>研發設備</t>
    <phoneticPr fontId="9" type="noConversion"/>
  </si>
  <si>
    <t>A分項計畫  商業資訊中心設置計畫</t>
    <phoneticPr fontId="9" type="noConversion"/>
  </si>
  <si>
    <t>材料費</t>
    <phoneticPr fontId="9" type="noConversion"/>
  </si>
  <si>
    <t>五常物業規劃顧問股份(閉鎖型)有限公司</t>
    <phoneticPr fontId="9" type="noConversion"/>
  </si>
  <si>
    <r>
      <t>2.</t>
    </r>
    <r>
      <rPr>
        <sz val="18"/>
        <color rgb="FF000000"/>
        <rFont val="Microsoft JhengHei"/>
        <family val="1"/>
      </rPr>
      <t>江政隆</t>
    </r>
    <phoneticPr fontId="9" type="noConversion"/>
  </si>
  <si>
    <r>
      <t>1.</t>
    </r>
    <r>
      <rPr>
        <sz val="18"/>
        <color rgb="FF000000"/>
        <rFont val="Microsoft JhengHei"/>
        <family val="1"/>
      </rPr>
      <t>阮氏泉</t>
    </r>
    <phoneticPr fontId="9" type="noConversion"/>
  </si>
  <si>
    <r>
      <t>3.</t>
    </r>
    <r>
      <rPr>
        <sz val="18"/>
        <color rgb="FF000000"/>
        <rFont val="Microsoft JhengHei"/>
        <family val="1"/>
      </rPr>
      <t>蔣明諺</t>
    </r>
    <phoneticPr fontId="9" type="noConversion"/>
  </si>
  <si>
    <r>
      <t>4.</t>
    </r>
    <r>
      <rPr>
        <sz val="18"/>
        <color rgb="FF000000"/>
        <rFont val="Microsoft JhengHei"/>
        <family val="1"/>
      </rPr>
      <t>林詩妘</t>
    </r>
    <phoneticPr fontId="9" type="noConversion"/>
  </si>
  <si>
    <r>
      <t>5.</t>
    </r>
    <r>
      <rPr>
        <sz val="18"/>
        <color rgb="FF000000"/>
        <rFont val="Microsoft JhengHei"/>
        <family val="1"/>
      </rPr>
      <t>李道翔</t>
    </r>
    <phoneticPr fontId="9" type="noConversion"/>
  </si>
  <si>
    <t>創新AI系統整合營運中心服務機制開發運用計畫</t>
    <phoneticPr fontId="9" type="noConversion"/>
  </si>
  <si>
    <r>
      <t>A1直營商店營運權力取得及技術轉移</t>
    </r>
    <r>
      <rPr>
        <b/>
        <sz val="12"/>
        <color rgb="FFFFFFFF"/>
        <rFont val="標楷體"/>
        <family val="4"/>
        <charset val="136"/>
      </rPr>
      <t>7/10</t>
    </r>
    <phoneticPr fontId="9" type="noConversion"/>
  </si>
  <si>
    <r>
      <t>A2直營咖啡店營運、進行員工教學及產品開發研究、並導入點餐系統</t>
    </r>
    <r>
      <rPr>
        <b/>
        <sz val="12"/>
        <color rgb="FFFFFFFF"/>
        <rFont val="標楷體"/>
        <family val="4"/>
        <charset val="136"/>
      </rPr>
      <t>8/1</t>
    </r>
    <phoneticPr fontId="9" type="noConversion"/>
  </si>
  <si>
    <r>
      <t>A3轄內商業資訊收集建檔及資料分析</t>
    </r>
    <r>
      <rPr>
        <b/>
        <sz val="12"/>
        <color rgb="FFFFFFFF"/>
        <rFont val="標楷體"/>
        <family val="4"/>
        <charset val="136"/>
      </rPr>
      <t>11/1</t>
    </r>
    <phoneticPr fontId="9" type="noConversion"/>
  </si>
  <si>
    <r>
      <t>A4開發商業會員參與聯合營運計畫</t>
    </r>
    <r>
      <rPr>
        <b/>
        <sz val="12"/>
        <color rgb="FFFFFFFF"/>
        <rFont val="標楷體"/>
        <family val="4"/>
        <charset val="136"/>
      </rPr>
      <t>10/1</t>
    </r>
    <phoneticPr fontId="9" type="noConversion"/>
  </si>
  <si>
    <r>
      <t>A5完成全區域內商業分析報告及擬定顧問企劃。</t>
    </r>
    <r>
      <rPr>
        <b/>
        <sz val="12"/>
        <color rgb="FFE8E8E8"/>
        <rFont val="標楷體"/>
        <family val="4"/>
        <charset val="136"/>
      </rPr>
      <t>4/1</t>
    </r>
    <phoneticPr fontId="9" type="noConversion"/>
  </si>
  <si>
    <r>
      <t>A6出席研討會並收集本分項計畫有關之訊息</t>
    </r>
    <r>
      <rPr>
        <b/>
        <sz val="12"/>
        <color rgb="FFFFFFFF"/>
        <rFont val="標楷體"/>
        <family val="4"/>
        <charset val="136"/>
      </rPr>
      <t>6/10</t>
    </r>
    <phoneticPr fontId="9" type="noConversion"/>
  </si>
  <si>
    <r>
      <t>B1物業管理及保全協力廠商探詢及轄內物業管理</t>
    </r>
    <r>
      <rPr>
        <b/>
        <sz val="12"/>
        <color theme="0"/>
        <rFont val="標楷體"/>
        <family val="4"/>
        <charset val="136"/>
      </rPr>
      <t>8/1</t>
    </r>
    <phoneticPr fontId="9" type="noConversion"/>
  </si>
  <si>
    <r>
      <t>B2分析各管委會及承攬物業資訊製作物業資訊庫</t>
    </r>
    <r>
      <rPr>
        <b/>
        <sz val="12"/>
        <color theme="0"/>
        <rFont val="標楷體"/>
        <family val="4"/>
        <charset val="136"/>
      </rPr>
      <t>10/1</t>
    </r>
    <phoneticPr fontId="9" type="noConversion"/>
  </si>
  <si>
    <r>
      <t>B3選定5家測試合作業物業並前往洽談合作事宜</t>
    </r>
    <r>
      <rPr>
        <b/>
        <sz val="12"/>
        <color theme="0"/>
        <rFont val="標楷體"/>
        <family val="4"/>
        <charset val="136"/>
      </rPr>
      <t>10/15</t>
    </r>
    <phoneticPr fontId="9" type="noConversion"/>
  </si>
  <si>
    <r>
      <t>B4進行全區域的物業拜訪開拓創新社區安全網業務</t>
    </r>
    <r>
      <rPr>
        <b/>
        <sz val="12"/>
        <color theme="0"/>
        <rFont val="標楷體"/>
        <family val="4"/>
        <charset val="136"/>
      </rPr>
      <t>11/1</t>
    </r>
    <phoneticPr fontId="9" type="noConversion"/>
  </si>
  <si>
    <r>
      <t>B5完成全區域內物業分析報告及擬定安保顧問企劃</t>
    </r>
    <r>
      <rPr>
        <b/>
        <sz val="12"/>
        <color theme="0"/>
        <rFont val="標楷體"/>
        <family val="4"/>
        <charset val="136"/>
      </rPr>
      <t>3/11</t>
    </r>
    <phoneticPr fontId="9" type="noConversion"/>
  </si>
  <si>
    <r>
      <t>B6出席研討會並收集本分項計畫有關之訊息</t>
    </r>
    <r>
      <rPr>
        <b/>
        <sz val="12"/>
        <color theme="0"/>
        <rFont val="標楷體"/>
        <family val="4"/>
        <charset val="136"/>
      </rPr>
      <t>6/10</t>
    </r>
    <phoneticPr fontId="9" type="noConversion"/>
  </si>
  <si>
    <r>
      <t>C6出席研討會並收集本分項計畫有關之訊息</t>
    </r>
    <r>
      <rPr>
        <b/>
        <sz val="12"/>
        <color rgb="FFFFFFFF"/>
        <rFont val="標楷體"/>
        <family val="4"/>
        <charset val="136"/>
      </rPr>
      <t>6/10</t>
    </r>
  </si>
  <si>
    <r>
      <t>C1 AI智慧社區服務系統及及無人保全開發商招攬及合約簽訂</t>
    </r>
    <r>
      <rPr>
        <b/>
        <sz val="12"/>
        <color theme="0"/>
        <rFont val="標楷體"/>
        <family val="4"/>
        <charset val="136"/>
      </rPr>
      <t>7/30</t>
    </r>
    <phoneticPr fontId="9" type="noConversion"/>
  </si>
  <si>
    <r>
      <t>C2 AI智慧社區服務系統完成商業及物業系統開發。</t>
    </r>
    <r>
      <rPr>
        <b/>
        <sz val="12"/>
        <color theme="0"/>
        <rFont val="標楷體"/>
        <family val="4"/>
        <charset val="136"/>
      </rPr>
      <t>9/1</t>
    </r>
    <phoneticPr fontId="9" type="noConversion"/>
  </si>
  <si>
    <r>
      <t>C3 AI智慧社區服務系統完成社區專勤隊串接</t>
    </r>
    <r>
      <rPr>
        <b/>
        <sz val="12"/>
        <color theme="0"/>
        <rFont val="標楷體"/>
        <family val="4"/>
        <charset val="136"/>
      </rPr>
      <t>10/1</t>
    </r>
    <phoneticPr fontId="9" type="noConversion"/>
  </si>
  <si>
    <r>
      <t>C4 AI智慧社區服務系統、無人保全系統及完成串接</t>
    </r>
    <r>
      <rPr>
        <b/>
        <sz val="12"/>
        <color theme="0"/>
        <rFont val="標楷體"/>
        <family val="4"/>
        <charset val="136"/>
      </rPr>
      <t>10/1</t>
    </r>
    <phoneticPr fontId="9" type="noConversion"/>
  </si>
  <si>
    <r>
      <t>C5各使用端意見收集及系統改善項目表提出</t>
    </r>
    <r>
      <rPr>
        <b/>
        <sz val="12"/>
        <color theme="0"/>
        <rFont val="標楷體"/>
        <family val="4"/>
        <charset val="136"/>
      </rPr>
      <t>1/15</t>
    </r>
    <phoneticPr fontId="9" type="noConversion"/>
  </si>
  <si>
    <r>
      <t>D1營運中心空間規劃建構，直營咖啡廳SOP制定</t>
    </r>
    <r>
      <rPr>
        <b/>
        <sz val="12"/>
        <color theme="0"/>
        <rFont val="標楷體"/>
        <family val="4"/>
        <charset val="136"/>
      </rPr>
      <t>8/30</t>
    </r>
    <phoneticPr fontId="9" type="noConversion"/>
  </si>
  <si>
    <r>
      <t>D2 機動保全、特勤保全、定點保全狀況個突發狀態默契訓練及SOP制定及驗證</t>
    </r>
    <r>
      <rPr>
        <b/>
        <sz val="12"/>
        <color rgb="FFFFFFFF"/>
        <rFont val="標楷體"/>
        <family val="4"/>
        <charset val="136"/>
      </rPr>
      <t>9/10、12/10、6/10</t>
    </r>
    <phoneticPr fontId="9" type="noConversion"/>
  </si>
  <si>
    <r>
      <t>D3串接雲端點餐系統執行單店服務量能測試</t>
    </r>
    <r>
      <rPr>
        <b/>
        <sz val="12"/>
        <color theme="0"/>
        <rFont val="標楷體"/>
        <family val="4"/>
        <charset val="136"/>
      </rPr>
      <t>9/1、10/1、11/1</t>
    </r>
    <phoneticPr fontId="9" type="noConversion"/>
  </si>
  <si>
    <r>
      <t>D3串接雲端點餐系統執行聯合銷售服務量能測</t>
    </r>
    <r>
      <rPr>
        <b/>
        <sz val="12"/>
        <color rgb="FFFFFFFF"/>
        <rFont val="標楷體"/>
        <family val="4"/>
        <charset val="136"/>
      </rPr>
      <t>9/1、11/1  1/01</t>
    </r>
    <phoneticPr fontId="9" type="noConversion"/>
  </si>
  <si>
    <r>
      <t>D5 AI智慧社區服務系統上限驗證</t>
    </r>
    <r>
      <rPr>
        <b/>
        <sz val="12"/>
        <color theme="0"/>
        <rFont val="標楷體"/>
        <family val="4"/>
        <charset val="136"/>
      </rPr>
      <t>1/15</t>
    </r>
    <phoneticPr fontId="9" type="noConversion"/>
  </si>
  <si>
    <r>
      <t>D6出席研討會並收集本分項計畫有關之訊息</t>
    </r>
    <r>
      <rPr>
        <b/>
        <sz val="12"/>
        <color theme="0"/>
        <rFont val="標楷體"/>
        <family val="4"/>
        <charset val="136"/>
      </rPr>
      <t>6/10</t>
    </r>
    <phoneticPr fontId="9" type="noConversion"/>
  </si>
  <si>
    <r>
      <t>E3計畫進度管考及協調指、各計畫開發研發工作職務代理</t>
    </r>
    <r>
      <rPr>
        <b/>
        <sz val="12"/>
        <color theme="0"/>
        <rFont val="標楷體"/>
        <family val="4"/>
        <charset val="136"/>
      </rPr>
      <t>ALLTIME</t>
    </r>
    <phoneticPr fontId="9" type="noConversion"/>
  </si>
  <si>
    <r>
      <t>E2顧問選任聘用，協助社區發展協會開發社區專勤隊</t>
    </r>
    <r>
      <rPr>
        <b/>
        <sz val="12"/>
        <color theme="0"/>
        <rFont val="標楷體"/>
        <family val="4"/>
        <charset val="136"/>
      </rPr>
      <t>9/1</t>
    </r>
    <phoneticPr fontId="9" type="noConversion"/>
  </si>
  <si>
    <r>
      <t>E1本計畫各項設備採購</t>
    </r>
    <r>
      <rPr>
        <b/>
        <sz val="12"/>
        <color theme="0"/>
        <rFont val="標楷體"/>
        <family val="4"/>
        <charset val="136"/>
      </rPr>
      <t>7/1</t>
    </r>
    <phoneticPr fontId="9" type="noConversion"/>
  </si>
  <si>
    <r>
      <t>E4辦理產官學民四方專案研討會</t>
    </r>
    <r>
      <rPr>
        <b/>
        <sz val="12"/>
        <color theme="0"/>
        <rFont val="標楷體"/>
        <family val="4"/>
        <charset val="136"/>
      </rPr>
      <t>6/10</t>
    </r>
    <phoneticPr fontId="9" type="noConversion"/>
  </si>
  <si>
    <t>單位/千元</t>
    <phoneticPr fontId="9" type="noConversion"/>
  </si>
  <si>
    <r>
      <t>7</t>
    </r>
    <r>
      <rPr>
        <sz val="12"/>
        <color rgb="FF000000"/>
        <rFont val="Microsoft JhengHei"/>
        <family val="1"/>
      </rPr>
      <t>月</t>
    </r>
    <phoneticPr fontId="9" type="noConversion"/>
  </si>
  <si>
    <r>
      <t>8月</t>
    </r>
    <r>
      <rPr>
        <sz val="12"/>
        <color rgb="FF000000"/>
        <rFont val="Microsoft JhengHei"/>
        <family val="1"/>
      </rPr>
      <t/>
    </r>
  </si>
  <si>
    <r>
      <t>9月</t>
    </r>
    <r>
      <rPr>
        <sz val="12"/>
        <color rgb="FF000000"/>
        <rFont val="Microsoft JhengHei"/>
        <family val="1"/>
      </rPr>
      <t/>
    </r>
  </si>
  <si>
    <r>
      <t>10月</t>
    </r>
    <r>
      <rPr>
        <sz val="12"/>
        <color rgb="FF000000"/>
        <rFont val="Microsoft JhengHei"/>
        <family val="1"/>
      </rPr>
      <t/>
    </r>
  </si>
  <si>
    <r>
      <t>11月</t>
    </r>
    <r>
      <rPr>
        <sz val="12"/>
        <color rgb="FF000000"/>
        <rFont val="Microsoft JhengHei"/>
        <family val="1"/>
      </rPr>
      <t/>
    </r>
  </si>
  <si>
    <r>
      <t>12月</t>
    </r>
    <r>
      <rPr>
        <sz val="12"/>
        <color rgb="FF000000"/>
        <rFont val="Microsoft JhengHei"/>
        <family val="1"/>
      </rPr>
      <t/>
    </r>
  </si>
  <si>
    <r>
      <t>1</t>
    </r>
    <r>
      <rPr>
        <sz val="12"/>
        <color rgb="FF000000"/>
        <rFont val="Microsoft JhengHei"/>
        <family val="1"/>
      </rPr>
      <t>月</t>
    </r>
    <phoneticPr fontId="9" type="noConversion"/>
  </si>
  <si>
    <r>
      <t>2月</t>
    </r>
    <r>
      <rPr>
        <sz val="12"/>
        <color rgb="FF000000"/>
        <rFont val="Microsoft JhengHei"/>
        <family val="1"/>
      </rPr>
      <t/>
    </r>
  </si>
  <si>
    <r>
      <t>3月</t>
    </r>
    <r>
      <rPr>
        <sz val="12"/>
        <color rgb="FF000000"/>
        <rFont val="Microsoft JhengHei"/>
        <family val="1"/>
      </rPr>
      <t/>
    </r>
  </si>
  <si>
    <r>
      <t>4月</t>
    </r>
    <r>
      <rPr>
        <sz val="12"/>
        <color rgb="FF000000"/>
        <rFont val="Microsoft JhengHei"/>
        <family val="1"/>
      </rPr>
      <t/>
    </r>
  </si>
  <si>
    <r>
      <t>5月</t>
    </r>
    <r>
      <rPr>
        <sz val="12"/>
        <color rgb="FF000000"/>
        <rFont val="Microsoft JhengHei"/>
        <family val="1"/>
      </rPr>
      <t/>
    </r>
  </si>
  <si>
    <r>
      <t>6月</t>
    </r>
    <r>
      <rPr>
        <sz val="12"/>
        <color rgb="FF000000"/>
        <rFont val="Microsoft JhengHei"/>
        <family val="1"/>
      </rPr>
      <t/>
    </r>
  </si>
  <si>
    <r>
      <rPr>
        <b/>
        <sz val="12"/>
        <color rgb="FF000000"/>
        <rFont val="王漢宗中行書繁"/>
        <family val="3"/>
        <charset val="136"/>
      </rPr>
      <t>費用小計</t>
    </r>
    <phoneticPr fontId="9" type="noConversion"/>
  </si>
  <si>
    <r>
      <rPr>
        <b/>
        <sz val="12"/>
        <color rgb="FF000000"/>
        <rFont val="標楷體"/>
        <family val="4"/>
        <charset val="136"/>
      </rPr>
      <t>分項合計</t>
    </r>
    <phoneticPr fontId="9" type="noConversion"/>
  </si>
  <si>
    <r>
      <rPr>
        <b/>
        <sz val="12"/>
        <color rgb="FF000000"/>
        <rFont val="Microsoft JhengHei"/>
        <family val="1"/>
      </rPr>
      <t>合計</t>
    </r>
    <phoneticPr fontId="9" type="noConversion"/>
  </si>
  <si>
    <t>E分項計畫  計畫管考設備採購暨友善勞動制度及產業需求研發</t>
    <phoneticPr fontId="9" type="noConversion"/>
  </si>
  <si>
    <t>D分項計畫 各分项計畫串接結合及驗證控管</t>
    <phoneticPr fontId="9" type="noConversion"/>
  </si>
  <si>
    <t>C分項計畫 資訊、勞務系統開發</t>
    <phoneticPr fontId="9" type="noConversion"/>
  </si>
  <si>
    <t>B分項計畫物業安全中心設置</t>
    <phoneticPr fontId="9" type="noConversion"/>
  </si>
  <si>
    <t>細項小計及權重</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</si>
</sst>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quot; &quot;#,##0.00&quot; &quot;;&quot; (&quot;#,##0.00&quot;)&quot;;&quot; -&quot;00&quot; &quot;;&quot; &quot;@&quot; &quot;"/>
    <numFmt numFmtId="177" formatCode="&quot; &quot;#,##0&quot; &quot;;&quot; (&quot;#,##0&quot;)&quot;;&quot; - &quot;;&quot; &quot;@&quot; &quot;"/>
    <numFmt numFmtId="178" formatCode="&quot;NT$&quot;#,##0;[Red]&quot;-NT$&quot;#,##0"/>
    <numFmt numFmtId="179" formatCode="&quot; &quot;#,##0&quot; &quot;;&quot;-&quot;#,##0&quot; &quot;;&quot; - &quot;;&quot; &quot;@&quot; &quot;"/>
    <numFmt numFmtId="180" formatCode="0.0%"/>
    <numFmt numFmtId="181" formatCode="#,##0&quot; &quot;"/>
    <numFmt numFmtId="182" formatCode="#,##0;[Red]&quot;-&quot;#,##0"/>
    <numFmt numFmtId="183" formatCode="0.00&quot; &quot;;[Red]&quot;(&quot;0.00&quot;)&quot;"/>
    <numFmt numFmtId="184" formatCode="0.00_);[Red]\(0.00\)"/>
    <numFmt numFmtId="185" formatCode="0.0_);[Red]\(0.0\)"/>
  </numFmts>
  <fonts count="61">
    <font>
      <sz val="12"/>
      <color rgb="FF000000"/>
      <name val="Times New Roman"/>
      <family val="1"/>
    </font>
    <font>
      <sz val="12"/>
      <color rgb="FF000000"/>
      <name val="Times New Roman"/>
      <family val="1"/>
    </font>
    <font>
      <sz val="10"/>
      <color rgb="FF000000"/>
      <name val="MS Sans Serif"/>
      <family val="2"/>
    </font>
    <font>
      <b/>
      <sz val="16"/>
      <color rgb="FF000000"/>
      <name val="標楷體"/>
      <family val="4"/>
      <charset val="136"/>
    </font>
    <font>
      <sz val="10"/>
      <color rgb="FF000000"/>
      <name val="標楷體"/>
      <family val="4"/>
      <charset val="136"/>
    </font>
    <font>
      <b/>
      <sz val="12"/>
      <color rgb="FF000000"/>
      <name val="標楷體"/>
      <family val="4"/>
      <charset val="136"/>
    </font>
    <font>
      <sz val="12"/>
      <color rgb="FF000000"/>
      <name val="標楷體"/>
      <family val="4"/>
      <charset val="136"/>
    </font>
    <font>
      <b/>
      <sz val="10"/>
      <color rgb="FF000000"/>
      <name val="標楷體"/>
      <family val="4"/>
      <charset val="136"/>
    </font>
    <font>
      <sz val="13"/>
      <color rgb="FF000000"/>
      <name val="標楷體"/>
      <family val="4"/>
      <charset val="136"/>
    </font>
    <font>
      <sz val="9"/>
      <name val="細明體"/>
      <family val="3"/>
      <charset val="136"/>
    </font>
    <font>
      <b/>
      <sz val="18"/>
      <color rgb="FF000000"/>
      <name val="標楷體"/>
      <family val="4"/>
      <charset val="136"/>
    </font>
    <font>
      <sz val="18"/>
      <color rgb="FF000000"/>
      <name val="Times New Roman"/>
      <family val="1"/>
    </font>
    <font>
      <sz val="18"/>
      <color rgb="FF000000"/>
      <name val="標楷體"/>
      <family val="4"/>
      <charset val="136"/>
    </font>
    <font>
      <b/>
      <sz val="18"/>
      <color rgb="FF000000"/>
      <name val="Times New Roman"/>
      <family val="1"/>
    </font>
    <font>
      <sz val="16"/>
      <color rgb="FF000000"/>
      <name val="標楷體"/>
      <family val="4"/>
      <charset val="136"/>
    </font>
    <font>
      <sz val="18"/>
      <color rgb="FFFF0000"/>
      <name val="標楷體"/>
      <family val="4"/>
      <charset val="136"/>
    </font>
    <font>
      <sz val="14"/>
      <color rgb="FF000000"/>
      <name val="標楷體"/>
      <family val="4"/>
      <charset val="136"/>
    </font>
    <font>
      <b/>
      <sz val="12"/>
      <color rgb="FF000000"/>
      <name val="細明體"/>
      <family val="3"/>
      <charset val="136"/>
    </font>
    <font>
      <b/>
      <sz val="12"/>
      <color rgb="FF000000"/>
      <name val="Times New Roman"/>
      <family val="1"/>
    </font>
    <font>
      <b/>
      <sz val="12"/>
      <color rgb="FFFF0000"/>
      <name val="標楷體"/>
      <family val="4"/>
      <charset val="136"/>
    </font>
    <font>
      <sz val="10"/>
      <color rgb="FF000000"/>
      <name val="Times New Roman"/>
      <family val="1"/>
    </font>
    <font>
      <sz val="13"/>
      <color rgb="FF000000"/>
      <name val="Times New Roman"/>
      <family val="1"/>
    </font>
    <font>
      <b/>
      <sz val="14"/>
      <color rgb="FF000000"/>
      <name val="標楷體"/>
      <family val="4"/>
      <charset val="136"/>
    </font>
    <font>
      <sz val="8"/>
      <color rgb="FF000000"/>
      <name val="標楷體"/>
      <family val="4"/>
      <charset val="136"/>
    </font>
    <font>
      <sz val="10"/>
      <color rgb="FFFF0000"/>
      <name val="標楷體"/>
      <family val="4"/>
      <charset val="136"/>
    </font>
    <font>
      <b/>
      <sz val="10"/>
      <color rgb="FF000000"/>
      <name val="Times New Roman"/>
      <family val="1"/>
    </font>
    <font>
      <sz val="8"/>
      <color rgb="FF000000"/>
      <name val="Times New Roman"/>
      <family val="1"/>
    </font>
    <font>
      <sz val="10"/>
      <color rgb="FFFF0000"/>
      <name val="Times New Roman"/>
      <family val="1"/>
    </font>
    <font>
      <b/>
      <sz val="14"/>
      <color rgb="FF000000"/>
      <name val="細明體"/>
      <family val="3"/>
      <charset val="136"/>
    </font>
    <font>
      <b/>
      <sz val="9"/>
      <color rgb="FF000000"/>
      <name val="標楷體"/>
      <family val="4"/>
      <charset val="136"/>
    </font>
    <font>
      <b/>
      <sz val="9"/>
      <color rgb="FF000000"/>
      <name val="Times New Roman"/>
      <family val="1"/>
    </font>
    <font>
      <b/>
      <sz val="12"/>
      <color rgb="FF0000FF"/>
      <name val="標楷體"/>
      <family val="4"/>
      <charset val="136"/>
    </font>
    <font>
      <sz val="9"/>
      <color indexed="81"/>
      <name val="Tahoma"/>
      <family val="2"/>
    </font>
    <font>
      <b/>
      <sz val="9"/>
      <color indexed="81"/>
      <name val="Tahoma"/>
      <family val="2"/>
    </font>
    <font>
      <b/>
      <sz val="9"/>
      <color indexed="81"/>
      <name val="細明體"/>
      <family val="3"/>
      <charset val="136"/>
    </font>
    <font>
      <sz val="9"/>
      <color indexed="81"/>
      <name val="細明體"/>
      <family val="3"/>
      <charset val="136"/>
    </font>
    <font>
      <b/>
      <sz val="12"/>
      <color indexed="81"/>
      <name val="細明體"/>
      <family val="3"/>
      <charset val="136"/>
    </font>
    <font>
      <b/>
      <sz val="12"/>
      <color indexed="81"/>
      <name val="Tahoma"/>
      <family val="2"/>
    </font>
    <font>
      <sz val="12"/>
      <color indexed="81"/>
      <name val="Tahoma"/>
      <family val="2"/>
    </font>
    <font>
      <sz val="12"/>
      <color indexed="81"/>
      <name val="細明體"/>
      <family val="3"/>
      <charset val="136"/>
    </font>
    <font>
      <sz val="12"/>
      <color rgb="FF000000"/>
      <name val="Microsoft JhengHei"/>
      <family val="1"/>
    </font>
    <font>
      <sz val="22"/>
      <color rgb="FF000000"/>
      <name val="Times New Roman"/>
      <family val="1"/>
    </font>
    <font>
      <sz val="12"/>
      <color rgb="FFFFC000"/>
      <name val="Times New Roman"/>
      <family val="1"/>
    </font>
    <font>
      <sz val="12"/>
      <color rgb="FFFF0000"/>
      <name val="Times New Roman"/>
      <family val="1"/>
    </font>
    <font>
      <sz val="12"/>
      <color rgb="FFFF0000"/>
      <name val="Microsoft JhengHei"/>
      <family val="1"/>
    </font>
    <font>
      <sz val="18"/>
      <color rgb="FF000000"/>
      <name val="Microsoft JhengHei"/>
      <family val="1"/>
    </font>
    <font>
      <sz val="36"/>
      <color rgb="FF000000"/>
      <name val="851tegakizatsu"/>
      <family val="3"/>
      <charset val="136"/>
    </font>
    <font>
      <sz val="36"/>
      <color rgb="FF000000"/>
      <name val="新細明體"/>
      <family val="1"/>
      <charset val="136"/>
    </font>
    <font>
      <b/>
      <sz val="12"/>
      <color rgb="FFFFFFFF"/>
      <name val="標楷體"/>
      <family val="4"/>
      <charset val="136"/>
    </font>
    <font>
      <b/>
      <sz val="12"/>
      <color rgb="FFE8E8E8"/>
      <name val="標楷體"/>
      <family val="4"/>
      <charset val="136"/>
    </font>
    <font>
      <b/>
      <sz val="12"/>
      <name val="標楷體"/>
      <family val="4"/>
      <charset val="136"/>
    </font>
    <font>
      <b/>
      <sz val="12"/>
      <color theme="0"/>
      <name val="標楷體"/>
      <family val="4"/>
      <charset val="136"/>
    </font>
    <font>
      <sz val="12"/>
      <color rgb="FF000000"/>
      <name val="王漢宗中行書繁"/>
      <family val="3"/>
      <charset val="136"/>
    </font>
    <font>
      <sz val="22"/>
      <color rgb="FF000000"/>
      <name val="Microsoft JhengHei"/>
      <family val="1"/>
    </font>
    <font>
      <sz val="24"/>
      <color rgb="FF000000"/>
      <name val="Times New Roman"/>
      <family val="1"/>
    </font>
    <font>
      <b/>
      <sz val="24"/>
      <color rgb="FF000000"/>
      <name val="Times New Roman"/>
      <family val="1"/>
    </font>
    <font>
      <b/>
      <sz val="12"/>
      <color rgb="FF000000"/>
      <name val="王漢宗中行書繁"/>
      <family val="3"/>
      <charset val="136"/>
    </font>
    <font>
      <b/>
      <sz val="12"/>
      <color rgb="FF000000"/>
      <name val="Microsoft JhengHei"/>
      <family val="1"/>
    </font>
    <font>
      <sz val="22"/>
      <color rgb="FF000000"/>
      <name val="王漢宗中行書繁"/>
      <family val="3"/>
      <charset val="136"/>
    </font>
    <font>
      <b/>
      <sz val="16"/>
      <color rgb="FF000000"/>
      <name val="王漢宗中行書繁"/>
      <family val="3"/>
      <charset val="136"/>
    </font>
    <font>
      <sz val="8"/>
      <color rgb="FF000000"/>
      <name val="Microsoft JhengHei"/>
      <family val="1"/>
    </font>
  </fonts>
  <fills count="17">
    <fill>
      <patternFill patternType="none"/>
    </fill>
    <fill>
      <patternFill patternType="gray125"/>
    </fill>
    <fill>
      <patternFill patternType="solid">
        <fgColor rgb="FFCCFFCC"/>
        <bgColor rgb="FFCCFFCC"/>
      </patternFill>
    </fill>
    <fill>
      <patternFill patternType="solid">
        <fgColor rgb="FFCCFFCC"/>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92D050"/>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0">
    <xf numFmtId="0" fontId="0" fillId="0" borderId="0"/>
    <xf numFmtId="0" fontId="18" fillId="0" borderId="0" applyNumberFormat="0" applyFill="0" applyBorder="0" applyAlignment="0" applyProtection="0"/>
    <xf numFmtId="0" fontId="18" fillId="0" borderId="0" applyNumberForma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1" fillId="0" borderId="0" applyNumberFormat="0" applyFont="0" applyBorder="0" applyProtection="0"/>
    <xf numFmtId="0" fontId="2" fillId="0" borderId="0" applyNumberFormat="0" applyBorder="0" applyProtection="0"/>
    <xf numFmtId="0" fontId="2" fillId="0" borderId="0" applyNumberFormat="0" applyBorder="0" applyProtection="0"/>
    <xf numFmtId="178" fontId="1" fillId="0" borderId="0" applyFont="0" applyFill="0" applyBorder="0" applyAlignment="0" applyProtection="0"/>
    <xf numFmtId="9" fontId="1" fillId="0" borderId="0" applyFont="0" applyFill="0" applyBorder="0" applyAlignment="0" applyProtection="0">
      <alignment vertical="center"/>
    </xf>
  </cellStyleXfs>
  <cellXfs count="448">
    <xf numFmtId="0" fontId="0" fillId="0" borderId="0" xfId="0"/>
    <xf numFmtId="0" fontId="4" fillId="0" borderId="0" xfId="0" applyFont="1"/>
    <xf numFmtId="0" fontId="5" fillId="0" borderId="0" xfId="0" applyFont="1"/>
    <xf numFmtId="0" fontId="6" fillId="0" borderId="0" xfId="0" applyFont="1"/>
    <xf numFmtId="0" fontId="4" fillId="0" borderId="0" xfId="0" applyFont="1" applyAlignment="1">
      <alignment vertical="center"/>
    </xf>
    <xf numFmtId="0" fontId="0" fillId="0" borderId="5" xfId="0" applyBorder="1"/>
    <xf numFmtId="0" fontId="6" fillId="0" borderId="5" xfId="0" applyFont="1" applyBorder="1" applyAlignment="1">
      <alignment horizontal="right"/>
    </xf>
    <xf numFmtId="0" fontId="5" fillId="0" borderId="1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justify"/>
    </xf>
    <xf numFmtId="0" fontId="5" fillId="0" borderId="26" xfId="0" applyFont="1" applyBorder="1" applyAlignment="1">
      <alignment horizontal="center" vertical="center"/>
    </xf>
    <xf numFmtId="0" fontId="5" fillId="0" borderId="10" xfId="0" applyFont="1" applyBorder="1" applyAlignment="1">
      <alignment horizontal="center" vertical="center"/>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4" fillId="0" borderId="0" xfId="0" applyFont="1" applyProtection="1">
      <protection locked="0"/>
    </xf>
    <xf numFmtId="0" fontId="6" fillId="0" borderId="0" xfId="0" applyFont="1" applyProtection="1">
      <protection locked="0"/>
    </xf>
    <xf numFmtId="0" fontId="4" fillId="0" borderId="0" xfId="0" applyFont="1" applyAlignment="1" applyProtection="1">
      <alignment vertical="center"/>
      <protection locked="0"/>
    </xf>
    <xf numFmtId="177" fontId="4" fillId="0" borderId="0" xfId="4" applyFont="1" applyBorder="1" applyProtection="1">
      <protection locked="0"/>
    </xf>
    <xf numFmtId="0" fontId="8" fillId="0" borderId="0" xfId="5" applyFont="1" applyProtection="1">
      <protection locked="0"/>
    </xf>
    <xf numFmtId="0" fontId="5" fillId="0" borderId="0" xfId="6" applyFont="1" applyAlignment="1" applyProtection="1">
      <alignment horizontal="left"/>
    </xf>
    <xf numFmtId="177" fontId="4" fillId="0" borderId="0" xfId="4" applyFont="1" applyProtection="1"/>
    <xf numFmtId="0" fontId="5" fillId="0" borderId="0" xfId="7" applyFont="1" applyAlignment="1" applyProtection="1">
      <alignment horizontal="right"/>
    </xf>
    <xf numFmtId="0" fontId="6" fillId="0" borderId="1" xfId="0" applyFont="1" applyBorder="1" applyAlignment="1">
      <alignment horizontal="center" vertical="center"/>
    </xf>
    <xf numFmtId="0" fontId="5" fillId="0" borderId="1" xfId="0" applyFont="1" applyBorder="1" applyAlignment="1">
      <alignment horizontal="center" vertical="center"/>
    </xf>
    <xf numFmtId="177" fontId="5" fillId="0" borderId="2" xfId="4" applyFont="1" applyBorder="1" applyAlignment="1" applyProtection="1">
      <alignment horizontal="center" vertical="center"/>
    </xf>
    <xf numFmtId="0" fontId="6" fillId="0" borderId="1" xfId="0" applyFont="1" applyBorder="1" applyAlignment="1">
      <alignment horizontal="left" vertical="center"/>
    </xf>
    <xf numFmtId="179" fontId="5" fillId="0" borderId="1" xfId="4" applyNumberFormat="1" applyFont="1" applyFill="1" applyBorder="1" applyAlignment="1" applyProtection="1">
      <alignment vertical="center"/>
    </xf>
    <xf numFmtId="177" fontId="5" fillId="0" borderId="1" xfId="4" applyFont="1" applyFill="1" applyBorder="1" applyAlignment="1" applyProtection="1">
      <alignment vertical="center"/>
    </xf>
    <xf numFmtId="182" fontId="5" fillId="0" borderId="1" xfId="4" applyNumberFormat="1" applyFont="1" applyBorder="1" applyAlignment="1" applyProtection="1">
      <alignment vertical="center"/>
    </xf>
    <xf numFmtId="177" fontId="5" fillId="0" borderId="1" xfId="0" applyNumberFormat="1" applyFont="1" applyBorder="1" applyAlignment="1">
      <alignment vertical="center"/>
    </xf>
    <xf numFmtId="177" fontId="6" fillId="0" borderId="1" xfId="4" applyFont="1" applyFill="1" applyBorder="1" applyAlignment="1" applyProtection="1">
      <alignment vertical="center"/>
    </xf>
    <xf numFmtId="0" fontId="6" fillId="0" borderId="3" xfId="0" applyFont="1" applyBorder="1" applyAlignment="1">
      <alignment vertical="center"/>
    </xf>
    <xf numFmtId="179" fontId="6" fillId="0" borderId="1" xfId="4" applyNumberFormat="1" applyFont="1" applyFill="1" applyBorder="1" applyAlignment="1" applyProtection="1">
      <alignment vertical="center"/>
    </xf>
    <xf numFmtId="0" fontId="8" fillId="0" borderId="0" xfId="5" applyFont="1" applyProtection="1"/>
    <xf numFmtId="177" fontId="4" fillId="0" borderId="0" xfId="4" applyFont="1" applyBorder="1" applyProtection="1"/>
    <xf numFmtId="179" fontId="6" fillId="2" borderId="1" xfId="4" applyNumberFormat="1" applyFont="1" applyFill="1" applyBorder="1" applyAlignment="1" applyProtection="1">
      <alignment vertical="center"/>
      <protection locked="0"/>
    </xf>
    <xf numFmtId="182" fontId="6" fillId="2" borderId="1" xfId="4" applyNumberFormat="1" applyFont="1" applyFill="1" applyBorder="1" applyAlignment="1" applyProtection="1">
      <alignment vertical="center"/>
      <protection locked="0"/>
    </xf>
    <xf numFmtId="177" fontId="4" fillId="0" borderId="0" xfId="4" applyFont="1" applyProtection="1">
      <protection locked="0"/>
    </xf>
    <xf numFmtId="177" fontId="6" fillId="4" borderId="1" xfId="4" applyFont="1" applyFill="1" applyBorder="1" applyAlignment="1" applyProtection="1">
      <alignment vertical="center"/>
      <protection locked="0"/>
    </xf>
    <xf numFmtId="182" fontId="6" fillId="0" borderId="0" xfId="4" applyNumberFormat="1" applyFont="1" applyAlignment="1" applyProtection="1">
      <alignment vertical="center"/>
      <protection locked="0"/>
    </xf>
    <xf numFmtId="0" fontId="8" fillId="3" borderId="0" xfId="7" applyFont="1" applyFill="1" applyProtection="1">
      <protection locked="0"/>
    </xf>
    <xf numFmtId="0" fontId="8" fillId="3" borderId="0" xfId="5" applyFont="1" applyFill="1" applyProtection="1">
      <protection locked="0"/>
    </xf>
    <xf numFmtId="0" fontId="8" fillId="3" borderId="0" xfId="7" applyFont="1" applyFill="1" applyAlignment="1" applyProtection="1">
      <alignment horizontal="right"/>
      <protection locked="0"/>
    </xf>
    <xf numFmtId="180" fontId="8" fillId="3" borderId="0" xfId="7" applyNumberFormat="1" applyFont="1" applyFill="1" applyProtection="1">
      <protection locked="0"/>
    </xf>
    <xf numFmtId="177" fontId="4" fillId="0" borderId="0" xfId="0" applyNumberFormat="1" applyFont="1" applyAlignment="1" applyProtection="1">
      <alignment vertical="center"/>
      <protection locked="0"/>
    </xf>
    <xf numFmtId="179" fontId="4" fillId="0" borderId="0" xfId="0" applyNumberFormat="1" applyFont="1" applyAlignment="1" applyProtection="1">
      <alignment vertical="center"/>
      <protection locked="0"/>
    </xf>
    <xf numFmtId="182" fontId="5" fillId="0" borderId="1" xfId="4" applyNumberFormat="1" applyFont="1" applyFill="1" applyBorder="1" applyAlignment="1" applyProtection="1">
      <alignment vertical="center"/>
    </xf>
    <xf numFmtId="182" fontId="6" fillId="0" borderId="1" xfId="4" applyNumberFormat="1" applyFont="1" applyFill="1" applyBorder="1" applyAlignment="1" applyProtection="1">
      <alignment vertical="center"/>
    </xf>
    <xf numFmtId="0" fontId="6" fillId="0" borderId="0" xfId="0" applyFont="1" applyAlignment="1" applyProtection="1">
      <alignment vertical="center"/>
      <protection locked="0"/>
    </xf>
    <xf numFmtId="177" fontId="6" fillId="0" borderId="1" xfId="4" applyFont="1" applyFill="1" applyBorder="1" applyAlignment="1" applyProtection="1">
      <alignment vertical="center"/>
      <protection locked="0"/>
    </xf>
    <xf numFmtId="0" fontId="10" fillId="0" borderId="0" xfId="0" applyFont="1" applyAlignment="1" applyProtection="1">
      <alignment horizontal="center"/>
      <protection locked="0"/>
    </xf>
    <xf numFmtId="0" fontId="11" fillId="0" borderId="0" xfId="0" applyFont="1" applyProtection="1">
      <protection locked="0"/>
    </xf>
    <xf numFmtId="0" fontId="11" fillId="0" borderId="5" xfId="0" applyFont="1" applyBorder="1" applyProtection="1">
      <protection locked="0"/>
    </xf>
    <xf numFmtId="0" fontId="12" fillId="0" borderId="5" xfId="0" applyFont="1" applyBorder="1" applyProtection="1">
      <protection locked="0"/>
    </xf>
    <xf numFmtId="0" fontId="10" fillId="0" borderId="0" xfId="0" applyFont="1" applyProtection="1">
      <protection locked="0"/>
    </xf>
    <xf numFmtId="0" fontId="13" fillId="0" borderId="0" xfId="0" applyFont="1" applyAlignment="1" applyProtection="1">
      <alignment horizontal="center" vertical="center" wrapText="1"/>
      <protection locked="0"/>
    </xf>
    <xf numFmtId="0" fontId="13" fillId="0" borderId="0" xfId="0" applyFont="1" applyProtection="1">
      <protection locked="0"/>
    </xf>
    <xf numFmtId="0" fontId="11" fillId="0" borderId="15" xfId="0" applyFont="1" applyBorder="1" applyAlignment="1" applyProtection="1">
      <alignment horizontal="left"/>
      <protection locked="0"/>
    </xf>
    <xf numFmtId="179" fontId="11" fillId="2" borderId="16" xfId="0" applyNumberFormat="1" applyFont="1" applyFill="1" applyBorder="1" applyProtection="1">
      <protection locked="0"/>
    </xf>
    <xf numFmtId="179" fontId="11" fillId="0" borderId="16" xfId="0" applyNumberFormat="1" applyFont="1" applyBorder="1" applyProtection="1">
      <protection locked="0"/>
    </xf>
    <xf numFmtId="176" fontId="11" fillId="2" borderId="16" xfId="3" applyFont="1" applyFill="1" applyBorder="1" applyProtection="1">
      <protection locked="0"/>
    </xf>
    <xf numFmtId="179" fontId="11" fillId="0" borderId="17" xfId="0" applyNumberFormat="1" applyFont="1" applyBorder="1" applyProtection="1">
      <protection locked="0"/>
    </xf>
    <xf numFmtId="179" fontId="11" fillId="2" borderId="1" xfId="0" applyNumberFormat="1" applyFont="1" applyFill="1" applyBorder="1" applyProtection="1">
      <protection locked="0"/>
    </xf>
    <xf numFmtId="179" fontId="11" fillId="0" borderId="1" xfId="0" applyNumberFormat="1" applyFont="1" applyBorder="1" applyProtection="1">
      <protection locked="0"/>
    </xf>
    <xf numFmtId="2" fontId="11" fillId="2" borderId="16" xfId="0" applyNumberFormat="1" applyFont="1" applyFill="1" applyBorder="1" applyProtection="1">
      <protection locked="0"/>
    </xf>
    <xf numFmtId="0" fontId="11" fillId="0" borderId="15" xfId="0" applyFont="1" applyBorder="1" applyProtection="1">
      <protection locked="0"/>
    </xf>
    <xf numFmtId="179" fontId="11" fillId="0" borderId="19" xfId="0" applyNumberFormat="1" applyFont="1" applyBorder="1" applyAlignment="1" applyProtection="1">
      <alignment horizontal="left"/>
      <protection locked="0"/>
    </xf>
    <xf numFmtId="179" fontId="11" fillId="0" borderId="20" xfId="0" applyNumberFormat="1" applyFont="1" applyBorder="1" applyAlignment="1" applyProtection="1">
      <alignment horizontal="right"/>
      <protection locked="0"/>
    </xf>
    <xf numFmtId="179" fontId="11" fillId="0" borderId="0" xfId="0" applyNumberFormat="1" applyFont="1" applyAlignment="1" applyProtection="1">
      <alignment horizontal="left"/>
      <protection locked="0"/>
    </xf>
    <xf numFmtId="0" fontId="14" fillId="0" borderId="0" xfId="0" applyFont="1" applyProtection="1">
      <protection locked="0"/>
    </xf>
    <xf numFmtId="179" fontId="14" fillId="0" borderId="0" xfId="0" applyNumberFormat="1" applyFont="1" applyProtection="1">
      <protection locked="0"/>
    </xf>
    <xf numFmtId="0" fontId="15" fillId="0" borderId="0" xfId="0" applyFont="1" applyAlignment="1" applyProtection="1">
      <alignment horizontal="left" vertical="top" wrapText="1"/>
      <protection locked="0"/>
    </xf>
    <xf numFmtId="0" fontId="16" fillId="0" borderId="0" xfId="5" applyFont="1" applyProtection="1">
      <protection locked="0"/>
    </xf>
    <xf numFmtId="0" fontId="11" fillId="0" borderId="0" xfId="7" applyFont="1" applyAlignment="1" applyProtection="1">
      <alignment horizontal="right"/>
      <protection locked="0"/>
    </xf>
    <xf numFmtId="0" fontId="11" fillId="0" borderId="0" xfId="5" applyFont="1" applyProtection="1">
      <protection locked="0"/>
    </xf>
    <xf numFmtId="179" fontId="11" fillId="0" borderId="0" xfId="0" applyNumberFormat="1" applyFont="1" applyProtection="1">
      <protection locked="0"/>
    </xf>
    <xf numFmtId="179" fontId="11" fillId="0" borderId="0" xfId="5" applyNumberFormat="1" applyFont="1" applyProtection="1">
      <protection locked="0"/>
    </xf>
    <xf numFmtId="0" fontId="10" fillId="0" borderId="6" xfId="0" applyFont="1" applyBorder="1"/>
    <xf numFmtId="0" fontId="10" fillId="0" borderId="7" xfId="0" applyFont="1" applyBorder="1"/>
    <xf numFmtId="0" fontId="10" fillId="0" borderId="6"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2" fillId="0" borderId="0" xfId="0" applyFont="1" applyProtection="1">
      <protection locked="0"/>
    </xf>
    <xf numFmtId="0" fontId="10" fillId="0" borderId="0" xfId="0" applyFont="1" applyAlignment="1" applyProtection="1">
      <alignment horizontal="center" vertical="center" wrapText="1"/>
      <protection locked="0"/>
    </xf>
    <xf numFmtId="0" fontId="12" fillId="0" borderId="17" xfId="0" applyFont="1" applyBorder="1" applyProtection="1">
      <protection locked="0"/>
    </xf>
    <xf numFmtId="179" fontId="12" fillId="0" borderId="19" xfId="0" applyNumberFormat="1" applyFont="1" applyBorder="1" applyAlignment="1" applyProtection="1">
      <alignment horizontal="left"/>
      <protection locked="0"/>
    </xf>
    <xf numFmtId="179" fontId="12" fillId="0" borderId="19" xfId="0" applyNumberFormat="1" applyFont="1" applyBorder="1" applyAlignment="1" applyProtection="1">
      <alignment horizontal="right"/>
      <protection locked="0"/>
    </xf>
    <xf numFmtId="0" fontId="12" fillId="0" borderId="20" xfId="0" applyFont="1" applyBorder="1" applyProtection="1">
      <protection locked="0"/>
    </xf>
    <xf numFmtId="179" fontId="12" fillId="0" borderId="0" xfId="0" applyNumberFormat="1" applyFont="1" applyAlignment="1" applyProtection="1">
      <alignment horizontal="left"/>
      <protection locked="0"/>
    </xf>
    <xf numFmtId="0" fontId="8" fillId="0" borderId="0" xfId="7" applyFont="1" applyAlignment="1" applyProtection="1">
      <alignment horizontal="right"/>
      <protection locked="0"/>
    </xf>
    <xf numFmtId="180" fontId="8" fillId="0" borderId="0" xfId="7" applyNumberFormat="1" applyFont="1" applyProtection="1">
      <protection locked="0"/>
    </xf>
    <xf numFmtId="179" fontId="12" fillId="0" borderId="0" xfId="0" applyNumberFormat="1" applyFont="1" applyProtection="1">
      <protection locked="0"/>
    </xf>
    <xf numFmtId="0" fontId="12" fillId="0" borderId="0" xfId="7" applyFont="1" applyAlignment="1" applyProtection="1">
      <alignment horizontal="right"/>
      <protection locked="0"/>
    </xf>
    <xf numFmtId="0" fontId="12" fillId="0" borderId="0" xfId="5" applyFont="1" applyProtection="1">
      <protection locked="0"/>
    </xf>
    <xf numFmtId="179" fontId="12" fillId="0" borderId="0" xfId="5" applyNumberFormat="1" applyFont="1" applyProtection="1">
      <protection locked="0"/>
    </xf>
    <xf numFmtId="180" fontId="12" fillId="0" borderId="0" xfId="7" applyNumberFormat="1" applyFont="1" applyProtection="1">
      <protection locked="0"/>
    </xf>
    <xf numFmtId="0" fontId="12" fillId="0" borderId="0" xfId="0" applyFont="1"/>
    <xf numFmtId="0" fontId="10" fillId="0" borderId="21" xfId="0" applyFont="1" applyBorder="1" applyAlignment="1">
      <alignment horizontal="center" vertical="center" wrapText="1"/>
    </xf>
    <xf numFmtId="0" fontId="10" fillId="0" borderId="22" xfId="0" applyFont="1" applyBorder="1" applyAlignment="1">
      <alignment vertical="center" wrapText="1"/>
    </xf>
    <xf numFmtId="0" fontId="10" fillId="0" borderId="23" xfId="0" applyFont="1" applyBorder="1" applyAlignment="1">
      <alignment horizontal="center" vertical="center" wrapText="1"/>
    </xf>
    <xf numFmtId="0" fontId="0" fillId="0" borderId="0" xfId="0" applyProtection="1">
      <protection locked="0"/>
    </xf>
    <xf numFmtId="0" fontId="0" fillId="0" borderId="0" xfId="0" applyAlignment="1" applyProtection="1">
      <alignment vertical="center"/>
      <protection locked="0"/>
    </xf>
    <xf numFmtId="181" fontId="0" fillId="0" borderId="19" xfId="0" applyNumberFormat="1" applyBorder="1" applyProtection="1">
      <protection locked="0"/>
    </xf>
    <xf numFmtId="181" fontId="0" fillId="0" borderId="20" xfId="0" applyNumberFormat="1" applyBorder="1" applyProtection="1">
      <protection locked="0"/>
    </xf>
    <xf numFmtId="0" fontId="20" fillId="0" borderId="0" xfId="0" applyFont="1" applyProtection="1">
      <protection locked="0"/>
    </xf>
    <xf numFmtId="0" fontId="16" fillId="0" borderId="0" xfId="0" applyFont="1" applyProtection="1">
      <protection locked="0"/>
    </xf>
    <xf numFmtId="0" fontId="21" fillId="0" borderId="0" xfId="7" applyFont="1" applyAlignment="1" applyProtection="1">
      <alignment horizontal="right"/>
      <protection locked="0"/>
    </xf>
    <xf numFmtId="0" fontId="21" fillId="0" borderId="0" xfId="5" applyFont="1" applyProtection="1">
      <protection locked="0"/>
    </xf>
    <xf numFmtId="0" fontId="17" fillId="0" borderId="7" xfId="0" applyFont="1" applyBorder="1" applyAlignment="1">
      <alignment horizontal="center" vertical="center"/>
    </xf>
    <xf numFmtId="0" fontId="19" fillId="0" borderId="15" xfId="0" applyFont="1" applyBorder="1" applyAlignment="1">
      <alignment horizontal="center"/>
    </xf>
    <xf numFmtId="0" fontId="0" fillId="0" borderId="1" xfId="0" applyBorder="1"/>
    <xf numFmtId="0" fontId="0" fillId="0" borderId="17" xfId="0" applyBorder="1"/>
    <xf numFmtId="0" fontId="23" fillId="0" borderId="1"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26" fillId="0" borderId="1" xfId="0" applyFont="1" applyBorder="1" applyAlignment="1" applyProtection="1">
      <alignment horizontal="left"/>
      <protection locked="0"/>
    </xf>
    <xf numFmtId="0" fontId="0" fillId="0" borderId="0" xfId="0" applyAlignment="1" applyProtection="1">
      <alignment horizontal="left"/>
      <protection locked="0"/>
    </xf>
    <xf numFmtId="0" fontId="20" fillId="2" borderId="1" xfId="0" applyFont="1" applyFill="1" applyBorder="1" applyProtection="1">
      <protection locked="0"/>
    </xf>
    <xf numFmtId="0" fontId="20" fillId="0" borderId="1" xfId="0" applyFont="1" applyBorder="1" applyProtection="1">
      <protection locked="0"/>
    </xf>
    <xf numFmtId="2" fontId="20" fillId="0" borderId="1" xfId="0" applyNumberFormat="1" applyFont="1" applyBorder="1" applyProtection="1">
      <protection locked="0"/>
    </xf>
    <xf numFmtId="0" fontId="0" fillId="0" borderId="16" xfId="0" applyBorder="1" applyProtection="1">
      <protection locked="0"/>
    </xf>
    <xf numFmtId="0" fontId="24" fillId="0" borderId="0" xfId="0" applyFont="1" applyProtection="1">
      <protection locked="0"/>
    </xf>
    <xf numFmtId="0" fontId="21" fillId="0" borderId="0" xfId="7" applyFont="1" applyProtection="1">
      <protection locked="0"/>
    </xf>
    <xf numFmtId="180" fontId="21" fillId="0" borderId="0" xfId="7" applyNumberFormat="1" applyFont="1" applyProtection="1">
      <protection locked="0"/>
    </xf>
    <xf numFmtId="0" fontId="8" fillId="0" borderId="0" xfId="7" applyFont="1" applyProtection="1">
      <protection locked="0"/>
    </xf>
    <xf numFmtId="0" fontId="8" fillId="0" borderId="0" xfId="5" applyFont="1" applyBorder="1" applyProtection="1">
      <protection locked="0"/>
    </xf>
    <xf numFmtId="0" fontId="0" fillId="0" borderId="0" xfId="0" applyAlignment="1" applyProtection="1">
      <alignment horizontal="center"/>
      <protection locked="0"/>
    </xf>
    <xf numFmtId="0" fontId="23" fillId="0" borderId="1" xfId="0" applyFont="1" applyBorder="1" applyAlignment="1">
      <alignment horizontal="center" vertical="center"/>
    </xf>
    <xf numFmtId="0" fontId="25" fillId="0" borderId="1" xfId="0" applyFont="1" applyBorder="1" applyAlignment="1">
      <alignment horizontal="center"/>
    </xf>
    <xf numFmtId="0" fontId="26" fillId="0" borderId="1" xfId="0" applyFont="1" applyBorder="1" applyAlignment="1">
      <alignment horizontal="left"/>
    </xf>
    <xf numFmtId="0" fontId="4" fillId="0" borderId="1" xfId="0" applyFont="1" applyBorder="1" applyAlignment="1">
      <alignment horizontal="center" vertical="center" wrapText="1"/>
    </xf>
    <xf numFmtId="0" fontId="24" fillId="0" borderId="16" xfId="0" applyFont="1" applyBorder="1" applyAlignment="1">
      <alignment horizontal="center" vertical="center"/>
    </xf>
    <xf numFmtId="0" fontId="20" fillId="0" borderId="1" xfId="0" applyFont="1" applyBorder="1" applyAlignment="1">
      <alignment horizontal="right"/>
    </xf>
    <xf numFmtId="0" fontId="20" fillId="0" borderId="1" xfId="0" applyFont="1" applyBorder="1" applyAlignment="1">
      <alignment horizontal="center" wrapText="1"/>
    </xf>
    <xf numFmtId="0" fontId="0" fillId="0" borderId="16" xfId="0" applyBorder="1" applyAlignment="1">
      <alignment horizontal="left"/>
    </xf>
    <xf numFmtId="0" fontId="18" fillId="0" borderId="0" xfId="0" applyFont="1" applyAlignment="1" applyProtection="1">
      <alignment vertical="center"/>
      <protection locked="0"/>
    </xf>
    <xf numFmtId="0" fontId="18" fillId="0" borderId="27" xfId="0" applyFont="1" applyBorder="1" applyAlignment="1" applyProtection="1">
      <alignment horizontal="left"/>
      <protection locked="0"/>
    </xf>
    <xf numFmtId="0" fontId="0" fillId="0" borderId="28" xfId="0" applyBorder="1" applyProtection="1">
      <protection locked="0"/>
    </xf>
    <xf numFmtId="0" fontId="6" fillId="0" borderId="28" xfId="0" applyFont="1" applyBorder="1" applyProtection="1">
      <protection locked="0"/>
    </xf>
    <xf numFmtId="0" fontId="0" fillId="0" borderId="28" xfId="0" applyBorder="1" applyAlignment="1" applyProtection="1">
      <alignment horizontal="center"/>
      <protection locked="0"/>
    </xf>
    <xf numFmtId="0" fontId="0" fillId="0" borderId="29" xfId="0" applyBorder="1" applyProtection="1">
      <protection locked="0"/>
    </xf>
    <xf numFmtId="0" fontId="6" fillId="0" borderId="28" xfId="0" applyFont="1" applyBorder="1" applyAlignment="1" applyProtection="1">
      <alignment horizontal="center"/>
      <protection locked="0"/>
    </xf>
    <xf numFmtId="0" fontId="6" fillId="0" borderId="30" xfId="0" applyFont="1" applyBorder="1" applyProtection="1">
      <protection locked="0"/>
    </xf>
    <xf numFmtId="0" fontId="0" fillId="0" borderId="30" xfId="0" applyBorder="1" applyAlignment="1" applyProtection="1">
      <alignment horizontal="center"/>
      <protection locked="0"/>
    </xf>
    <xf numFmtId="0" fontId="0" fillId="0" borderId="30" xfId="0" applyBorder="1" applyAlignment="1" applyProtection="1">
      <alignment horizontal="left"/>
      <protection locked="0"/>
    </xf>
    <xf numFmtId="0" fontId="6" fillId="0" borderId="30" xfId="0" applyFont="1" applyBorder="1" applyAlignment="1" applyProtection="1">
      <alignment horizontal="left"/>
      <protection locked="0"/>
    </xf>
    <xf numFmtId="179" fontId="0" fillId="0" borderId="32" xfId="0" applyNumberFormat="1" applyBorder="1" applyProtection="1">
      <protection locked="0"/>
    </xf>
    <xf numFmtId="0" fontId="5" fillId="0" borderId="0" xfId="0" applyFont="1" applyAlignment="1" applyProtection="1">
      <alignment horizontal="left"/>
      <protection locked="0"/>
    </xf>
    <xf numFmtId="0" fontId="6" fillId="0" borderId="0" xfId="0" applyFont="1" applyAlignment="1" applyProtection="1">
      <alignment horizontal="left"/>
      <protection locked="0"/>
    </xf>
    <xf numFmtId="179" fontId="0" fillId="0" borderId="0" xfId="0" applyNumberFormat="1" applyProtection="1">
      <protection locked="0"/>
    </xf>
    <xf numFmtId="0" fontId="4" fillId="0" borderId="0" xfId="0" applyFont="1" applyAlignment="1" applyProtection="1">
      <alignment horizontal="left"/>
      <protection locked="0"/>
    </xf>
    <xf numFmtId="0" fontId="20" fillId="0" borderId="0" xfId="0" applyFont="1" applyAlignment="1" applyProtection="1">
      <alignment horizontal="center"/>
      <protection locked="0"/>
    </xf>
    <xf numFmtId="0" fontId="8" fillId="0" borderId="0" xfId="7" applyFont="1" applyAlignment="1" applyProtection="1">
      <alignment horizontal="center"/>
      <protection locked="0"/>
    </xf>
    <xf numFmtId="180" fontId="8" fillId="0" borderId="0" xfId="7" applyNumberFormat="1" applyFont="1" applyAlignment="1" applyProtection="1">
      <alignment horizontal="right"/>
      <protection locked="0"/>
    </xf>
    <xf numFmtId="0" fontId="7" fillId="0" borderId="0" xfId="0" applyFont="1" applyAlignment="1" applyProtection="1">
      <alignment vertical="center"/>
      <protection locked="0"/>
    </xf>
    <xf numFmtId="0" fontId="18" fillId="0" borderId="0" xfId="0" applyFont="1" applyProtection="1">
      <protection locked="0"/>
    </xf>
    <xf numFmtId="0" fontId="0" fillId="2" borderId="15" xfId="0" applyFill="1" applyBorder="1" applyAlignment="1" applyProtection="1">
      <alignment horizontal="left"/>
      <protection locked="0"/>
    </xf>
    <xf numFmtId="0" fontId="6" fillId="2" borderId="16" xfId="0" applyFont="1" applyFill="1" applyBorder="1" applyProtection="1">
      <protection locked="0"/>
    </xf>
    <xf numFmtId="179" fontId="0" fillId="2" borderId="16" xfId="0" applyNumberFormat="1" applyFill="1" applyBorder="1" applyProtection="1">
      <protection locked="0"/>
    </xf>
    <xf numFmtId="0" fontId="0" fillId="2" borderId="16" xfId="0" applyFill="1" applyBorder="1" applyProtection="1">
      <protection locked="0"/>
    </xf>
    <xf numFmtId="2" fontId="0" fillId="0" borderId="16" xfId="0" applyNumberFormat="1" applyBorder="1" applyProtection="1">
      <protection locked="0"/>
    </xf>
    <xf numFmtId="179" fontId="0" fillId="0" borderId="17" xfId="0" applyNumberFormat="1" applyBorder="1" applyProtection="1">
      <protection locked="0"/>
    </xf>
    <xf numFmtId="0" fontId="6" fillId="2" borderId="1" xfId="0" applyFont="1" applyFill="1" applyBorder="1" applyProtection="1">
      <protection locked="0"/>
    </xf>
    <xf numFmtId="0" fontId="0" fillId="2" borderId="1" xfId="0" applyFill="1" applyBorder="1" applyAlignment="1" applyProtection="1">
      <alignment horizontal="center"/>
      <protection locked="0"/>
    </xf>
    <xf numFmtId="179" fontId="0" fillId="2" borderId="1" xfId="0" applyNumberFormat="1" applyFill="1" applyBorder="1" applyProtection="1">
      <protection locked="0"/>
    </xf>
    <xf numFmtId="179" fontId="0" fillId="0" borderId="30" xfId="0" applyNumberFormat="1" applyBorder="1" applyProtection="1">
      <protection locked="0"/>
    </xf>
    <xf numFmtId="2" fontId="0" fillId="0" borderId="30" xfId="0" applyNumberFormat="1" applyBorder="1" applyProtection="1">
      <protection locked="0"/>
    </xf>
    <xf numFmtId="2" fontId="0" fillId="0" borderId="0" xfId="0" applyNumberFormat="1" applyProtection="1">
      <protection locked="0"/>
    </xf>
    <xf numFmtId="179" fontId="0" fillId="0" borderId="16" xfId="0" applyNumberFormat="1" applyBorder="1" applyProtection="1">
      <protection locked="0"/>
    </xf>
    <xf numFmtId="183" fontId="0" fillId="0" borderId="16" xfId="0" applyNumberFormat="1" applyBorder="1" applyProtection="1">
      <protection locked="0"/>
    </xf>
    <xf numFmtId="183" fontId="0" fillId="0" borderId="30" xfId="0" applyNumberFormat="1" applyBorder="1" applyProtection="1">
      <protection locked="0"/>
    </xf>
    <xf numFmtId="179" fontId="0" fillId="0" borderId="0" xfId="0" applyNumberFormat="1" applyAlignment="1" applyProtection="1">
      <alignment horizontal="center"/>
      <protection locked="0"/>
    </xf>
    <xf numFmtId="183" fontId="0" fillId="0" borderId="0" xfId="0" applyNumberFormat="1" applyProtection="1">
      <protection locked="0"/>
    </xf>
    <xf numFmtId="0" fontId="7" fillId="0" borderId="6" xfId="0" applyFont="1" applyBorder="1" applyAlignment="1">
      <alignment vertical="center"/>
    </xf>
    <xf numFmtId="0" fontId="7" fillId="0" borderId="7" xfId="0" applyFont="1" applyBorder="1" applyAlignment="1">
      <alignment vertical="center"/>
    </xf>
    <xf numFmtId="0" fontId="7" fillId="0" borderId="10" xfId="0" applyFont="1" applyBorder="1" applyAlignment="1">
      <alignment horizontal="center" vertical="center"/>
    </xf>
    <xf numFmtId="0" fontId="7" fillId="0" borderId="10" xfId="0" applyFont="1" applyBorder="1" applyAlignment="1">
      <alignment horizontal="center" vertical="center" wrapText="1"/>
    </xf>
    <xf numFmtId="0" fontId="29"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21" xfId="0" applyBorder="1"/>
    <xf numFmtId="0" fontId="0" fillId="0" borderId="33" xfId="0" applyBorder="1"/>
    <xf numFmtId="0" fontId="0" fillId="0" borderId="23" xfId="0" applyBorder="1"/>
    <xf numFmtId="183" fontId="0" fillId="0" borderId="33" xfId="0" applyNumberFormat="1" applyBorder="1"/>
    <xf numFmtId="0" fontId="4" fillId="0" borderId="1"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4" fillId="0" borderId="34"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 xfId="0" applyFont="1" applyBorder="1" applyAlignment="1" applyProtection="1">
      <alignment horizontal="right"/>
      <protection locked="0"/>
    </xf>
    <xf numFmtId="0" fontId="4" fillId="0" borderId="16" xfId="0" applyFont="1" applyBorder="1" applyAlignment="1" applyProtection="1">
      <alignment horizontal="center" wrapText="1"/>
      <protection locked="0"/>
    </xf>
    <xf numFmtId="0" fontId="4" fillId="0" borderId="28" xfId="0" applyFont="1" applyBorder="1" applyProtection="1">
      <protection locked="0"/>
    </xf>
    <xf numFmtId="0" fontId="4" fillId="0" borderId="16" xfId="0" applyFont="1" applyBorder="1" applyProtection="1">
      <protection locked="0"/>
    </xf>
    <xf numFmtId="0" fontId="4" fillId="0" borderId="34" xfId="0" applyFont="1" applyBorder="1" applyProtection="1">
      <protection locked="0"/>
    </xf>
    <xf numFmtId="0" fontId="4" fillId="2" borderId="1" xfId="0" applyFont="1" applyFill="1" applyBorder="1" applyProtection="1">
      <protection locked="0"/>
    </xf>
    <xf numFmtId="0" fontId="4" fillId="0" borderId="1" xfId="0" applyFont="1" applyBorder="1" applyProtection="1">
      <protection locked="0"/>
    </xf>
    <xf numFmtId="2" fontId="4" fillId="0" borderId="16" xfId="0" applyNumberFormat="1" applyFont="1" applyBorder="1" applyProtection="1">
      <protection locked="0"/>
    </xf>
    <xf numFmtId="0" fontId="4" fillId="0" borderId="4" xfId="0" applyFont="1" applyBorder="1" applyProtection="1">
      <protection locked="0"/>
    </xf>
    <xf numFmtId="2" fontId="4" fillId="0" borderId="0" xfId="0" applyNumberFormat="1" applyFont="1" applyProtection="1">
      <protection locked="0"/>
    </xf>
    <xf numFmtId="0" fontId="4" fillId="0" borderId="1" xfId="0" applyFont="1" applyBorder="1" applyAlignment="1">
      <alignment horizontal="right"/>
    </xf>
    <xf numFmtId="0" fontId="4" fillId="0" borderId="16" xfId="0" applyFont="1" applyBorder="1" applyAlignment="1">
      <alignment horizontal="center" wrapText="1"/>
    </xf>
    <xf numFmtId="0" fontId="7" fillId="0" borderId="16" xfId="0" applyFont="1" applyBorder="1" applyAlignment="1">
      <alignment horizontal="left"/>
    </xf>
    <xf numFmtId="0" fontId="4" fillId="0" borderId="34" xfId="0" applyFont="1" applyBorder="1" applyAlignment="1">
      <alignment horizontal="left"/>
    </xf>
    <xf numFmtId="0" fontId="4" fillId="0" borderId="1" xfId="0" applyFont="1" applyBorder="1" applyAlignment="1">
      <alignment horizontal="left"/>
    </xf>
    <xf numFmtId="0" fontId="4" fillId="0" borderId="16" xfId="0" applyFont="1" applyBorder="1" applyAlignment="1">
      <alignment horizontal="center" vertical="center" wrapText="1"/>
    </xf>
    <xf numFmtId="0" fontId="4" fillId="0" borderId="16" xfId="0" applyFont="1" applyBorder="1" applyAlignment="1">
      <alignment horizontal="center" vertical="center"/>
    </xf>
    <xf numFmtId="0" fontId="4" fillId="0" borderId="34" xfId="0" applyFont="1" applyBorder="1" applyAlignment="1">
      <alignment horizontal="center" vertical="center"/>
    </xf>
    <xf numFmtId="0" fontId="5" fillId="0" borderId="35" xfId="0" applyFont="1" applyBorder="1" applyProtection="1">
      <protection locked="0"/>
    </xf>
    <xf numFmtId="0" fontId="6" fillId="0" borderId="36" xfId="0" applyFont="1" applyBorder="1" applyProtection="1">
      <protection locked="0"/>
    </xf>
    <xf numFmtId="0" fontId="6" fillId="0" borderId="33" xfId="0" applyFont="1" applyBorder="1" applyProtection="1">
      <protection locked="0"/>
    </xf>
    <xf numFmtId="0" fontId="6" fillId="0" borderId="23" xfId="0" applyFont="1" applyBorder="1" applyProtection="1">
      <protection locked="0"/>
    </xf>
    <xf numFmtId="0" fontId="6" fillId="0" borderId="37" xfId="0" applyFont="1" applyBorder="1" applyProtection="1">
      <protection locked="0"/>
    </xf>
    <xf numFmtId="0" fontId="5" fillId="0" borderId="37" xfId="0" applyFont="1" applyBorder="1" applyProtection="1">
      <protection locked="0"/>
    </xf>
    <xf numFmtId="0" fontId="6" fillId="0" borderId="39" xfId="0" applyFont="1" applyBorder="1" applyProtection="1">
      <protection locked="0"/>
    </xf>
    <xf numFmtId="0" fontId="5" fillId="0" borderId="5" xfId="0" applyFont="1" applyBorder="1" applyAlignment="1" applyProtection="1">
      <alignment horizontal="left"/>
      <protection locked="0"/>
    </xf>
    <xf numFmtId="0" fontId="5" fillId="0" borderId="30" xfId="0" applyFont="1" applyBorder="1" applyAlignment="1" applyProtection="1">
      <alignment horizontal="left"/>
      <protection locked="0"/>
    </xf>
    <xf numFmtId="179" fontId="6" fillId="0" borderId="30" xfId="0" applyNumberFormat="1" applyFont="1" applyBorder="1" applyProtection="1">
      <protection locked="0"/>
    </xf>
    <xf numFmtId="179" fontId="6" fillId="0" borderId="32" xfId="0" applyNumberFormat="1" applyFont="1" applyBorder="1" applyProtection="1">
      <protection locked="0"/>
    </xf>
    <xf numFmtId="0" fontId="18" fillId="0" borderId="0" xfId="0" applyFont="1" applyAlignment="1" applyProtection="1">
      <alignment horizontal="left"/>
      <protection locked="0"/>
    </xf>
    <xf numFmtId="0" fontId="6" fillId="0" borderId="0" xfId="0" applyFont="1" applyAlignment="1" applyProtection="1">
      <alignment horizontal="center"/>
      <protection locked="0"/>
    </xf>
    <xf numFmtId="0" fontId="5" fillId="0" borderId="0" xfId="0" applyFont="1" applyAlignment="1" applyProtection="1">
      <alignment horizontal="left" vertical="center"/>
      <protection locked="0"/>
    </xf>
    <xf numFmtId="0" fontId="5" fillId="0" borderId="0" xfId="0" applyFont="1" applyAlignment="1" applyProtection="1">
      <alignment horizontal="center" vertical="center" wrapText="1"/>
      <protection locked="0"/>
    </xf>
    <xf numFmtId="179" fontId="6" fillId="0" borderId="0" xfId="0" applyNumberFormat="1" applyFont="1" applyProtection="1">
      <protection locked="0"/>
    </xf>
    <xf numFmtId="0" fontId="5" fillId="0" borderId="26" xfId="0" applyFont="1" applyBorder="1" applyAlignment="1">
      <alignment horizontal="center" vertical="center" wrapText="1"/>
    </xf>
    <xf numFmtId="0" fontId="6" fillId="0" borderId="0" xfId="0" applyFont="1" applyAlignment="1" applyProtection="1">
      <alignment horizontal="left" vertical="top"/>
      <protection locked="0"/>
    </xf>
    <xf numFmtId="0" fontId="7" fillId="0" borderId="35" xfId="0" applyFont="1" applyBorder="1" applyAlignment="1" applyProtection="1">
      <alignment horizontal="center" vertical="center"/>
      <protection locked="0"/>
    </xf>
    <xf numFmtId="0" fontId="4" fillId="0" borderId="33" xfId="0" applyFont="1" applyBorder="1" applyAlignment="1" applyProtection="1">
      <alignment horizontal="center" vertical="center"/>
      <protection locked="0"/>
    </xf>
    <xf numFmtId="0" fontId="4" fillId="0" borderId="33" xfId="0" applyFont="1" applyBorder="1" applyAlignment="1" applyProtection="1">
      <alignment horizontal="left"/>
      <protection locked="0"/>
    </xf>
    <xf numFmtId="0" fontId="4" fillId="0" borderId="33" xfId="0" applyFont="1" applyBorder="1" applyProtection="1">
      <protection locked="0"/>
    </xf>
    <xf numFmtId="179" fontId="4" fillId="0" borderId="33" xfId="0" applyNumberFormat="1" applyFont="1" applyBorder="1" applyProtection="1">
      <protection locked="0"/>
    </xf>
    <xf numFmtId="179" fontId="4" fillId="0" borderId="23" xfId="0" applyNumberFormat="1" applyFont="1" applyBorder="1" applyProtection="1">
      <protection locked="0"/>
    </xf>
    <xf numFmtId="179" fontId="4" fillId="0" borderId="17" xfId="0" applyNumberFormat="1" applyFont="1" applyBorder="1" applyProtection="1">
      <protection locked="0"/>
    </xf>
    <xf numFmtId="0" fontId="7" fillId="0" borderId="30" xfId="0" applyFont="1" applyBorder="1" applyAlignment="1" applyProtection="1">
      <alignment horizontal="center" vertical="center"/>
      <protection locked="0"/>
    </xf>
    <xf numFmtId="0" fontId="7" fillId="0" borderId="30" xfId="0" applyFont="1" applyBorder="1" applyAlignment="1" applyProtection="1">
      <alignment horizontal="left"/>
      <protection locked="0"/>
    </xf>
    <xf numFmtId="0" fontId="7" fillId="0" borderId="7" xfId="0" applyFont="1" applyBorder="1" applyAlignment="1" applyProtection="1">
      <alignment horizontal="left"/>
      <protection locked="0"/>
    </xf>
    <xf numFmtId="179" fontId="4" fillId="0" borderId="7" xfId="0" applyNumberFormat="1" applyFont="1" applyBorder="1" applyProtection="1">
      <protection locked="0"/>
    </xf>
    <xf numFmtId="179" fontId="4" fillId="0" borderId="9" xfId="0" applyNumberFormat="1" applyFont="1" applyBorder="1" applyProtection="1">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left" vertical="top"/>
      <protection locked="0"/>
    </xf>
    <xf numFmtId="0" fontId="31" fillId="0" borderId="0" xfId="0" applyFont="1" applyProtection="1">
      <protection locked="0"/>
    </xf>
    <xf numFmtId="0" fontId="4" fillId="0" borderId="0" xfId="0" applyFont="1" applyAlignment="1">
      <alignment horizontal="center" vertical="center"/>
    </xf>
    <xf numFmtId="0" fontId="4" fillId="0" borderId="0" xfId="0" applyFont="1" applyAlignment="1">
      <alignment horizontal="right"/>
    </xf>
    <xf numFmtId="0" fontId="5" fillId="0" borderId="0" xfId="0" applyFont="1" applyAlignment="1" applyProtection="1">
      <alignment vertical="center"/>
      <protection locked="0"/>
    </xf>
    <xf numFmtId="0" fontId="5" fillId="0" borderId="27" xfId="0" applyFont="1" applyBorder="1" applyAlignment="1" applyProtection="1">
      <alignment horizontal="left"/>
      <protection locked="0"/>
    </xf>
    <xf numFmtId="0" fontId="6" fillId="0" borderId="29" xfId="0" applyFont="1" applyBorder="1" applyProtection="1">
      <protection locked="0"/>
    </xf>
    <xf numFmtId="0" fontId="6" fillId="0" borderId="30" xfId="0" applyFont="1" applyBorder="1" applyAlignment="1" applyProtection="1">
      <alignment horizontal="center"/>
      <protection locked="0"/>
    </xf>
    <xf numFmtId="0" fontId="6" fillId="0" borderId="5" xfId="0" applyFont="1" applyBorder="1"/>
    <xf numFmtId="0" fontId="16" fillId="0" borderId="0" xfId="7" applyFont="1" applyAlignment="1" applyProtection="1">
      <alignment horizontal="right"/>
      <protection locked="0"/>
    </xf>
    <xf numFmtId="180" fontId="16" fillId="0" borderId="0" xfId="7" applyNumberFormat="1" applyFont="1" applyProtection="1">
      <protection locked="0"/>
    </xf>
    <xf numFmtId="0" fontId="0" fillId="3" borderId="0" xfId="0" applyFill="1" applyProtection="1">
      <protection locked="0"/>
    </xf>
    <xf numFmtId="0" fontId="20" fillId="3" borderId="1" xfId="0" applyFont="1" applyFill="1" applyBorder="1" applyAlignment="1" applyProtection="1">
      <alignment horizontal="center"/>
      <protection locked="0"/>
    </xf>
    <xf numFmtId="0" fontId="25" fillId="3" borderId="1" xfId="0" applyFont="1" applyFill="1" applyBorder="1" applyAlignment="1" applyProtection="1">
      <alignment horizontal="center"/>
      <protection locked="0"/>
    </xf>
    <xf numFmtId="0" fontId="11" fillId="3" borderId="15" xfId="0" applyFont="1" applyFill="1" applyBorder="1" applyAlignment="1" applyProtection="1">
      <alignment horizontal="left"/>
      <protection locked="0"/>
    </xf>
    <xf numFmtId="2" fontId="12" fillId="3" borderId="1" xfId="0" applyNumberFormat="1" applyFont="1" applyFill="1" applyBorder="1" applyProtection="1">
      <protection locked="0"/>
    </xf>
    <xf numFmtId="179" fontId="12" fillId="3" borderId="1" xfId="0" applyNumberFormat="1" applyFont="1" applyFill="1" applyBorder="1" applyProtection="1">
      <protection locked="0"/>
    </xf>
    <xf numFmtId="0" fontId="0" fillId="3" borderId="15" xfId="0" applyFill="1" applyBorder="1" applyAlignment="1" applyProtection="1">
      <alignment horizontal="left"/>
      <protection locked="0"/>
    </xf>
    <xf numFmtId="181" fontId="0" fillId="3" borderId="1" xfId="0" applyNumberFormat="1" applyFill="1" applyBorder="1" applyProtection="1">
      <protection locked="0"/>
    </xf>
    <xf numFmtId="181" fontId="0" fillId="3" borderId="17" xfId="0" applyNumberFormat="1" applyFill="1" applyBorder="1" applyProtection="1">
      <protection locked="0"/>
    </xf>
    <xf numFmtId="0" fontId="12" fillId="3" borderId="15" xfId="0" applyFont="1" applyFill="1" applyBorder="1" applyAlignment="1" applyProtection="1">
      <alignment horizontal="left"/>
      <protection locked="0"/>
    </xf>
    <xf numFmtId="0" fontId="12" fillId="3" borderId="15" xfId="0" applyFont="1" applyFill="1" applyBorder="1" applyProtection="1">
      <protection locked="0"/>
    </xf>
    <xf numFmtId="0" fontId="0" fillId="3" borderId="27" xfId="0" applyFill="1" applyBorder="1" applyAlignment="1" applyProtection="1">
      <alignment horizontal="right"/>
      <protection locked="0"/>
    </xf>
    <xf numFmtId="0" fontId="0" fillId="3" borderId="28" xfId="0" applyFill="1" applyBorder="1" applyProtection="1">
      <protection locked="0"/>
    </xf>
    <xf numFmtId="0" fontId="6" fillId="3" borderId="28" xfId="0" applyFont="1" applyFill="1" applyBorder="1" applyAlignment="1" applyProtection="1">
      <alignment horizontal="center"/>
      <protection locked="0"/>
    </xf>
    <xf numFmtId="0" fontId="6" fillId="3" borderId="28" xfId="0" applyFont="1" applyFill="1" applyBorder="1" applyAlignment="1" applyProtection="1">
      <alignment horizontal="left"/>
      <protection locked="0"/>
    </xf>
    <xf numFmtId="0" fontId="0" fillId="3" borderId="28" xfId="0" applyFill="1" applyBorder="1" applyAlignment="1" applyProtection="1">
      <alignment horizontal="center"/>
      <protection locked="0"/>
    </xf>
    <xf numFmtId="179" fontId="0" fillId="3" borderId="29" xfId="0" applyNumberFormat="1" applyFill="1" applyBorder="1" applyProtection="1">
      <protection locked="0"/>
    </xf>
    <xf numFmtId="0" fontId="0" fillId="3" borderId="28" xfId="0" applyFill="1" applyBorder="1" applyAlignment="1" applyProtection="1">
      <alignment horizontal="left"/>
      <protection locked="0"/>
    </xf>
    <xf numFmtId="0" fontId="6" fillId="3" borderId="28" xfId="0" applyFont="1" applyFill="1" applyBorder="1" applyProtection="1">
      <protection locked="0"/>
    </xf>
    <xf numFmtId="0" fontId="6" fillId="3" borderId="27" xfId="0" applyFont="1" applyFill="1" applyBorder="1" applyAlignment="1" applyProtection="1">
      <alignment horizontal="center"/>
      <protection locked="0"/>
    </xf>
    <xf numFmtId="0" fontId="18" fillId="3" borderId="27" xfId="0" applyFont="1" applyFill="1" applyBorder="1" applyAlignment="1" applyProtection="1">
      <alignment horizontal="left"/>
      <protection locked="0"/>
    </xf>
    <xf numFmtId="0" fontId="6" fillId="3" borderId="27" xfId="0" applyFont="1" applyFill="1" applyBorder="1" applyAlignment="1" applyProtection="1">
      <alignment horizontal="right"/>
      <protection locked="0"/>
    </xf>
    <xf numFmtId="0" fontId="6" fillId="3" borderId="15" xfId="0" applyFont="1" applyFill="1" applyBorder="1" applyAlignment="1" applyProtection="1">
      <alignment horizontal="center"/>
      <protection locked="0"/>
    </xf>
    <xf numFmtId="0" fontId="6" fillId="3" borderId="24" xfId="0" applyFont="1" applyFill="1" applyBorder="1" applyAlignment="1" applyProtection="1">
      <alignment horizontal="center"/>
      <protection locked="0"/>
    </xf>
    <xf numFmtId="0" fontId="0" fillId="3" borderId="30" xfId="0" applyFill="1" applyBorder="1" applyProtection="1">
      <protection locked="0"/>
    </xf>
    <xf numFmtId="0" fontId="6" fillId="3" borderId="30" xfId="0" applyFont="1" applyFill="1" applyBorder="1" applyProtection="1">
      <protection locked="0"/>
    </xf>
    <xf numFmtId="0" fontId="0" fillId="3" borderId="30" xfId="0" applyFill="1" applyBorder="1" applyAlignment="1" applyProtection="1">
      <alignment horizontal="center"/>
      <protection locked="0"/>
    </xf>
    <xf numFmtId="179" fontId="0" fillId="3" borderId="20" xfId="0" applyNumberFormat="1" applyFill="1" applyBorder="1" applyProtection="1">
      <protection locked="0"/>
    </xf>
    <xf numFmtId="0" fontId="6" fillId="3" borderId="38" xfId="0" applyFont="1" applyFill="1" applyBorder="1" applyAlignment="1" applyProtection="1">
      <alignment horizontal="left"/>
      <protection locked="0"/>
    </xf>
    <xf numFmtId="0" fontId="6" fillId="3" borderId="16" xfId="0" applyFont="1" applyFill="1" applyBorder="1" applyProtection="1">
      <protection locked="0"/>
    </xf>
    <xf numFmtId="179" fontId="6" fillId="3" borderId="16" xfId="0" applyNumberFormat="1" applyFont="1" applyFill="1" applyBorder="1" applyProtection="1">
      <protection locked="0"/>
    </xf>
    <xf numFmtId="0" fontId="6" fillId="3" borderId="16" xfId="0" applyFont="1" applyFill="1" applyBorder="1" applyAlignment="1" applyProtection="1">
      <alignment horizontal="right"/>
      <protection locked="0"/>
    </xf>
    <xf numFmtId="0" fontId="6" fillId="3" borderId="16" xfId="0" applyFont="1" applyFill="1" applyBorder="1" applyAlignment="1" applyProtection="1">
      <alignment horizontal="center"/>
      <protection locked="0"/>
    </xf>
    <xf numFmtId="179" fontId="6" fillId="3" borderId="17" xfId="0" applyNumberFormat="1" applyFont="1" applyFill="1" applyBorder="1" applyProtection="1">
      <protection locked="0"/>
    </xf>
    <xf numFmtId="0" fontId="6" fillId="3" borderId="38" xfId="0" applyFont="1" applyFill="1" applyBorder="1" applyAlignment="1" applyProtection="1">
      <alignment horizontal="right"/>
      <protection locked="0"/>
    </xf>
    <xf numFmtId="0" fontId="6" fillId="3" borderId="38" xfId="0" applyFont="1" applyFill="1" applyBorder="1" applyProtection="1">
      <protection locked="0"/>
    </xf>
    <xf numFmtId="0" fontId="6" fillId="3" borderId="40" xfId="0" applyFont="1" applyFill="1" applyBorder="1" applyAlignment="1" applyProtection="1">
      <alignment horizontal="right"/>
      <protection locked="0"/>
    </xf>
    <xf numFmtId="0" fontId="6" fillId="3" borderId="41" xfId="0" applyFont="1" applyFill="1" applyBorder="1" applyProtection="1">
      <protection locked="0"/>
    </xf>
    <xf numFmtId="179" fontId="6" fillId="3" borderId="41" xfId="0" applyNumberFormat="1" applyFont="1" applyFill="1" applyBorder="1" applyProtection="1">
      <protection locked="0"/>
    </xf>
    <xf numFmtId="179" fontId="6" fillId="3" borderId="20" xfId="0" applyNumberFormat="1" applyFont="1" applyFill="1" applyBorder="1" applyProtection="1">
      <protection locked="0"/>
    </xf>
    <xf numFmtId="179" fontId="6" fillId="3" borderId="29" xfId="0" applyNumberFormat="1" applyFont="1" applyFill="1" applyBorder="1" applyProtection="1">
      <protection locked="0"/>
    </xf>
    <xf numFmtId="0" fontId="6" fillId="3" borderId="27" xfId="0" applyFont="1" applyFill="1" applyBorder="1" applyAlignment="1" applyProtection="1">
      <alignment horizontal="left"/>
      <protection locked="0"/>
    </xf>
    <xf numFmtId="0" fontId="6" fillId="3" borderId="27" xfId="0" applyFont="1" applyFill="1" applyBorder="1" applyProtection="1">
      <protection locked="0"/>
    </xf>
    <xf numFmtId="0" fontId="6" fillId="3" borderId="31" xfId="0" applyFont="1" applyFill="1" applyBorder="1" applyProtection="1">
      <protection locked="0"/>
    </xf>
    <xf numFmtId="179" fontId="6" fillId="3" borderId="32" xfId="0" applyNumberFormat="1" applyFont="1" applyFill="1" applyBorder="1" applyProtection="1">
      <protection locked="0"/>
    </xf>
    <xf numFmtId="0" fontId="5" fillId="3" borderId="0" xfId="0" applyFont="1" applyFill="1" applyAlignment="1" applyProtection="1">
      <alignment horizontal="left" vertical="center"/>
      <protection locked="0"/>
    </xf>
    <xf numFmtId="0" fontId="6" fillId="3" borderId="0" xfId="0" applyFont="1" applyFill="1" applyProtection="1">
      <protection locked="0"/>
    </xf>
    <xf numFmtId="0" fontId="5" fillId="3" borderId="0" xfId="0" applyFont="1" applyFill="1" applyProtection="1">
      <protection locked="0"/>
    </xf>
    <xf numFmtId="0" fontId="6" fillId="3" borderId="0" xfId="0" applyFont="1" applyFill="1" applyAlignment="1" applyProtection="1">
      <alignment horizontal="left"/>
      <protection locked="0"/>
    </xf>
    <xf numFmtId="0" fontId="6" fillId="3" borderId="0" xfId="0" applyFont="1" applyFill="1" applyAlignment="1" applyProtection="1">
      <alignment horizontal="left" vertical="center"/>
      <protection locked="0"/>
    </xf>
    <xf numFmtId="0" fontId="6" fillId="3" borderId="0" xfId="0" applyFont="1" applyFill="1" applyAlignment="1" applyProtection="1">
      <alignment horizontal="right"/>
      <protection locked="0"/>
    </xf>
    <xf numFmtId="0" fontId="6" fillId="3" borderId="0" xfId="0" applyFont="1" applyFill="1" applyAlignment="1" applyProtection="1">
      <alignment horizontal="center"/>
      <protection locked="0"/>
    </xf>
    <xf numFmtId="0" fontId="4" fillId="3" borderId="15"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vertical="center"/>
      <protection locked="0"/>
    </xf>
    <xf numFmtId="0" fontId="4" fillId="3" borderId="16" xfId="0" applyFont="1" applyFill="1" applyBorder="1" applyAlignment="1" applyProtection="1">
      <alignment horizontal="center"/>
      <protection locked="0"/>
    </xf>
    <xf numFmtId="0" fontId="4" fillId="3" borderId="16" xfId="0" applyFont="1" applyFill="1" applyBorder="1" applyProtection="1">
      <protection locked="0"/>
    </xf>
    <xf numFmtId="179" fontId="4" fillId="3" borderId="16" xfId="0" applyNumberFormat="1" applyFont="1" applyFill="1" applyBorder="1" applyProtection="1">
      <protection locked="0"/>
    </xf>
    <xf numFmtId="0" fontId="4" fillId="3" borderId="16" xfId="0" applyFont="1" applyFill="1" applyBorder="1" applyAlignment="1" applyProtection="1">
      <alignment horizontal="left"/>
      <protection locked="0"/>
    </xf>
    <xf numFmtId="0" fontId="4" fillId="3" borderId="37" xfId="0" applyFont="1" applyFill="1" applyBorder="1" applyAlignment="1" applyProtection="1">
      <alignment horizontal="right" vertical="center"/>
      <protection locked="0"/>
    </xf>
    <xf numFmtId="179" fontId="4" fillId="3" borderId="1" xfId="0" applyNumberFormat="1" applyFont="1" applyFill="1" applyBorder="1" applyProtection="1">
      <protection locked="0"/>
    </xf>
    <xf numFmtId="0" fontId="7" fillId="3" borderId="37" xfId="0" applyFont="1" applyFill="1" applyBorder="1" applyAlignment="1" applyProtection="1">
      <alignment horizontal="center" vertical="center"/>
      <protection locked="0"/>
    </xf>
    <xf numFmtId="0" fontId="4" fillId="3" borderId="39" xfId="0" applyFont="1" applyFill="1" applyBorder="1" applyAlignment="1" applyProtection="1">
      <alignment horizontal="right" vertical="center"/>
      <protection locked="0"/>
    </xf>
    <xf numFmtId="0" fontId="4" fillId="3" borderId="41" xfId="0" applyFont="1" applyFill="1" applyBorder="1" applyAlignment="1" applyProtection="1">
      <alignment horizontal="center" vertical="center"/>
      <protection locked="0"/>
    </xf>
    <xf numFmtId="0" fontId="4" fillId="3" borderId="41" xfId="0" applyFont="1" applyFill="1" applyBorder="1" applyProtection="1">
      <protection locked="0"/>
    </xf>
    <xf numFmtId="179" fontId="4" fillId="3" borderId="19" xfId="0" applyNumberFormat="1" applyFont="1" applyFill="1" applyBorder="1" applyProtection="1">
      <protection locked="0"/>
    </xf>
    <xf numFmtId="0" fontId="6" fillId="3" borderId="28" xfId="0" applyFont="1" applyFill="1" applyBorder="1" applyAlignment="1" applyProtection="1">
      <alignment horizontal="justify"/>
      <protection locked="0"/>
    </xf>
    <xf numFmtId="0" fontId="5" fillId="3" borderId="27" xfId="0" applyFont="1" applyFill="1" applyBorder="1" applyAlignment="1" applyProtection="1">
      <alignment horizontal="left"/>
      <protection locked="0"/>
    </xf>
    <xf numFmtId="0" fontId="6" fillId="3" borderId="30" xfId="0" applyFont="1" applyFill="1" applyBorder="1" applyAlignment="1" applyProtection="1">
      <alignment horizontal="center"/>
      <protection locked="0"/>
    </xf>
    <xf numFmtId="0" fontId="10" fillId="0" borderId="18" xfId="0" applyFont="1" applyBorder="1" applyAlignment="1">
      <alignment horizontal="center"/>
    </xf>
    <xf numFmtId="0" fontId="10" fillId="0" borderId="24" xfId="0" applyFont="1" applyBorder="1" applyAlignment="1">
      <alignment horizontal="center"/>
    </xf>
    <xf numFmtId="0" fontId="5" fillId="0" borderId="24" xfId="0" applyFont="1" applyBorder="1" applyAlignment="1">
      <alignment horizontal="center"/>
    </xf>
    <xf numFmtId="0" fontId="4" fillId="0" borderId="1" xfId="0" applyFont="1" applyBorder="1" applyAlignment="1">
      <alignment horizontal="center"/>
    </xf>
    <xf numFmtId="0" fontId="5" fillId="0" borderId="31" xfId="0" applyFont="1" applyBorder="1" applyAlignment="1">
      <alignment horizontal="left"/>
    </xf>
    <xf numFmtId="0" fontId="5" fillId="0" borderId="18" xfId="0" applyFont="1" applyBorder="1" applyAlignment="1">
      <alignment horizontal="left"/>
    </xf>
    <xf numFmtId="0" fontId="5" fillId="0" borderId="31" xfId="0" applyFont="1" applyBorder="1" applyAlignment="1">
      <alignment horizontal="left" vertical="center"/>
    </xf>
    <xf numFmtId="0" fontId="7" fillId="0" borderId="31" xfId="0" applyFont="1" applyBorder="1" applyAlignment="1">
      <alignment horizontal="left" vertical="center"/>
    </xf>
    <xf numFmtId="0" fontId="3" fillId="3" borderId="0" xfId="0" applyFont="1" applyFill="1" applyAlignment="1" applyProtection="1">
      <alignment horizontal="center"/>
      <protection locked="0"/>
    </xf>
    <xf numFmtId="0" fontId="10" fillId="0" borderId="22" xfId="0" applyFont="1" applyBorder="1" applyAlignment="1">
      <alignment horizontal="center" vertical="center" wrapText="1"/>
    </xf>
    <xf numFmtId="0" fontId="0" fillId="2" borderId="1" xfId="0" applyFill="1" applyBorder="1" applyProtection="1">
      <protection locked="0"/>
    </xf>
    <xf numFmtId="0" fontId="0" fillId="2" borderId="16" xfId="0" applyFill="1" applyBorder="1" applyAlignment="1" applyProtection="1">
      <alignment horizontal="center"/>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10" fillId="3" borderId="7" xfId="0" applyFont="1" applyFill="1" applyBorder="1" applyProtection="1">
      <protection locked="0"/>
    </xf>
    <xf numFmtId="0" fontId="10" fillId="3" borderId="8" xfId="0" applyFont="1" applyFill="1" applyBorder="1" applyProtection="1">
      <protection locked="0"/>
    </xf>
    <xf numFmtId="0" fontId="10" fillId="3" borderId="5" xfId="0" applyFont="1" applyFill="1" applyBorder="1" applyProtection="1">
      <protection locked="0"/>
    </xf>
    <xf numFmtId="0" fontId="10" fillId="3" borderId="9" xfId="0" applyFont="1" applyFill="1" applyBorder="1" applyProtection="1">
      <protection locked="0"/>
    </xf>
    <xf numFmtId="0" fontId="7" fillId="3" borderId="7" xfId="0" applyFont="1" applyFill="1" applyBorder="1" applyAlignment="1">
      <alignment vertical="center"/>
    </xf>
    <xf numFmtId="0" fontId="7" fillId="3" borderId="5" xfId="0" applyFont="1" applyFill="1" applyBorder="1" applyAlignment="1">
      <alignment vertical="center"/>
    </xf>
    <xf numFmtId="0" fontId="7" fillId="3" borderId="9" xfId="0" applyFont="1" applyFill="1" applyBorder="1" applyAlignment="1">
      <alignment horizontal="right" vertical="center"/>
    </xf>
    <xf numFmtId="0" fontId="29" fillId="0" borderId="0" xfId="0" applyFont="1"/>
    <xf numFmtId="0" fontId="40" fillId="0" borderId="0" xfId="0" applyFont="1"/>
    <xf numFmtId="0" fontId="41" fillId="0" borderId="0" xfId="0" applyFont="1" applyAlignment="1">
      <alignment horizontal="distributed"/>
    </xf>
    <xf numFmtId="0" fontId="0" fillId="6" borderId="0" xfId="0" applyFill="1"/>
    <xf numFmtId="0" fontId="29" fillId="0" borderId="0" xfId="0" applyFont="1" applyAlignment="1">
      <alignment horizontal="center" vertical="center" wrapText="1"/>
    </xf>
    <xf numFmtId="184" fontId="0" fillId="5" borderId="0" xfId="0" applyNumberFormat="1" applyFill="1"/>
    <xf numFmtId="184" fontId="0" fillId="6" borderId="0" xfId="0" applyNumberFormat="1" applyFill="1"/>
    <xf numFmtId="184" fontId="0" fillId="0" borderId="0" xfId="0" applyNumberFormat="1"/>
    <xf numFmtId="0" fontId="3" fillId="3" borderId="0" xfId="0" applyFont="1" applyFill="1" applyAlignment="1" applyProtection="1">
      <alignment horizontal="center"/>
      <protection locked="0"/>
    </xf>
    <xf numFmtId="0" fontId="3" fillId="0" borderId="0" xfId="0" applyFont="1" applyAlignment="1">
      <alignment horizontal="center"/>
    </xf>
    <xf numFmtId="177" fontId="5" fillId="3" borderId="0" xfId="4" applyFont="1" applyFill="1" applyAlignment="1" applyProtection="1">
      <alignment horizontal="center"/>
      <protection locked="0"/>
    </xf>
    <xf numFmtId="177" fontId="5" fillId="0" borderId="1" xfId="4" applyFont="1" applyFill="1" applyBorder="1" applyAlignment="1" applyProtection="1">
      <alignment horizontal="center" vertical="center"/>
    </xf>
    <xf numFmtId="0" fontId="10" fillId="3" borderId="0" xfId="0" applyFont="1" applyFill="1" applyAlignment="1" applyProtection="1">
      <alignment horizontal="center"/>
      <protection locked="0"/>
    </xf>
    <xf numFmtId="0" fontId="14" fillId="0" borderId="0" xfId="0" applyFont="1" applyAlignment="1" applyProtection="1">
      <alignment horizontal="left" vertical="top" wrapText="1"/>
      <protection locked="0"/>
    </xf>
    <xf numFmtId="0" fontId="0" fillId="3" borderId="1" xfId="0" applyFill="1" applyBorder="1" applyProtection="1">
      <protection locked="0"/>
    </xf>
    <xf numFmtId="0" fontId="0" fillId="0" borderId="19" xfId="0" applyBorder="1" applyProtection="1">
      <protection locked="0"/>
    </xf>
    <xf numFmtId="0" fontId="10" fillId="0" borderId="22" xfId="0" applyFont="1" applyBorder="1" applyAlignment="1">
      <alignment horizontal="center" vertical="center" wrapText="1"/>
    </xf>
    <xf numFmtId="0" fontId="6" fillId="0" borderId="0" xfId="0" applyFont="1" applyAlignment="1" applyProtection="1">
      <alignment horizontal="left" vertical="top" wrapText="1"/>
      <protection locked="0"/>
    </xf>
    <xf numFmtId="0" fontId="22" fillId="3" borderId="0" xfId="0" applyFont="1" applyFill="1" applyAlignment="1" applyProtection="1">
      <alignment horizontal="center"/>
      <protection locked="0"/>
    </xf>
    <xf numFmtId="0" fontId="3" fillId="3" borderId="25" xfId="0" applyFont="1" applyFill="1" applyBorder="1" applyAlignment="1" applyProtection="1">
      <alignment horizontal="center" vertical="center"/>
      <protection locked="0"/>
    </xf>
    <xf numFmtId="0" fontId="28" fillId="3" borderId="0" xfId="0" applyFont="1" applyFill="1" applyAlignment="1" applyProtection="1">
      <alignment horizontal="center"/>
      <protection locked="0"/>
    </xf>
    <xf numFmtId="0" fontId="4" fillId="0" borderId="0" xfId="0" applyFont="1" applyAlignment="1" applyProtection="1">
      <alignment horizontal="left" vertical="top" wrapText="1"/>
      <protection locked="0"/>
    </xf>
    <xf numFmtId="0" fontId="4" fillId="0" borderId="0" xfId="0" applyFont="1" applyAlignment="1" applyProtection="1">
      <alignment vertical="top" wrapText="1"/>
      <protection locked="0"/>
    </xf>
    <xf numFmtId="179" fontId="0" fillId="2" borderId="1" xfId="0" applyNumberFormat="1" applyFill="1" applyBorder="1" applyAlignment="1" applyProtection="1">
      <alignment horizontal="center"/>
      <protection locked="0"/>
    </xf>
    <xf numFmtId="0" fontId="0" fillId="2" borderId="1" xfId="0" applyFill="1" applyBorder="1" applyProtection="1">
      <protection locked="0"/>
    </xf>
    <xf numFmtId="0" fontId="0" fillId="0" borderId="7" xfId="0" applyBorder="1" applyProtection="1">
      <protection locked="0"/>
    </xf>
    <xf numFmtId="0" fontId="0" fillId="2" borderId="16" xfId="0" applyFill="1" applyBorder="1" applyAlignment="1" applyProtection="1">
      <alignment horizontal="center"/>
      <protection locked="0"/>
    </xf>
    <xf numFmtId="0" fontId="0" fillId="2" borderId="34" xfId="0" applyFill="1" applyBorder="1" applyAlignment="1" applyProtection="1">
      <alignment horizontal="center"/>
      <protection locked="0"/>
    </xf>
    <xf numFmtId="0" fontId="7" fillId="0" borderId="7" xfId="0" applyFont="1" applyBorder="1" applyAlignment="1">
      <alignment horizontal="center" vertical="center" wrapText="1"/>
    </xf>
    <xf numFmtId="0" fontId="0" fillId="0" borderId="22" xfId="0" applyBorder="1"/>
    <xf numFmtId="0" fontId="0" fillId="0" borderId="0" xfId="0" applyProtection="1">
      <protection locked="0"/>
    </xf>
    <xf numFmtId="0" fontId="5" fillId="0" borderId="6" xfId="0" applyFont="1" applyBorder="1" applyAlignment="1">
      <alignment horizontal="center" vertical="center"/>
    </xf>
    <xf numFmtId="0" fontId="24" fillId="0" borderId="0" xfId="0" applyFont="1" applyAlignment="1" applyProtection="1">
      <alignment horizontal="left" vertical="top" wrapText="1"/>
      <protection locked="0"/>
    </xf>
    <xf numFmtId="0" fontId="22" fillId="3" borderId="0" xfId="0"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40" fillId="0" borderId="0" xfId="0" applyFont="1" applyAlignment="1">
      <alignment horizontal="center" vertical="center" textRotation="255" wrapText="1" readingOrder="1"/>
    </xf>
    <xf numFmtId="184" fontId="0" fillId="4" borderId="0" xfId="0" applyNumberFormat="1" applyFill="1"/>
    <xf numFmtId="184" fontId="42" fillId="10" borderId="0" xfId="0" applyNumberFormat="1" applyFont="1" applyFill="1"/>
    <xf numFmtId="184" fontId="0" fillId="11" borderId="0" xfId="0" applyNumberFormat="1" applyFill="1"/>
    <xf numFmtId="184" fontId="0" fillId="12" borderId="0" xfId="0" applyNumberFormat="1" applyFill="1"/>
    <xf numFmtId="184" fontId="0" fillId="13" borderId="0" xfId="0" applyNumberFormat="1" applyFill="1"/>
    <xf numFmtId="184" fontId="0" fillId="14" borderId="0" xfId="0" applyNumberFormat="1" applyFill="1"/>
    <xf numFmtId="184" fontId="43" fillId="14" borderId="0" xfId="0" applyNumberFormat="1" applyFont="1" applyFill="1"/>
    <xf numFmtId="184" fontId="43" fillId="8" borderId="0" xfId="0" applyNumberFormat="1" applyFont="1" applyFill="1"/>
    <xf numFmtId="184" fontId="43" fillId="9" borderId="0" xfId="0" applyNumberFormat="1" applyFont="1" applyFill="1"/>
    <xf numFmtId="184" fontId="43" fillId="5" borderId="0" xfId="0" applyNumberFormat="1" applyFont="1" applyFill="1"/>
    <xf numFmtId="185" fontId="43" fillId="5" borderId="0" xfId="0" applyNumberFormat="1" applyFont="1" applyFill="1"/>
    <xf numFmtId="184" fontId="43" fillId="4" borderId="0" xfId="0" applyNumberFormat="1" applyFont="1" applyFill="1"/>
    <xf numFmtId="184" fontId="43" fillId="7" borderId="0" xfId="0" applyNumberFormat="1" applyFont="1" applyFill="1"/>
    <xf numFmtId="0" fontId="43" fillId="0" borderId="0" xfId="0" applyFont="1"/>
    <xf numFmtId="0" fontId="40" fillId="12" borderId="0" xfId="0" applyFont="1" applyFill="1"/>
    <xf numFmtId="0" fontId="0" fillId="0" borderId="0" xfId="0" applyNumberFormat="1"/>
    <xf numFmtId="0" fontId="40" fillId="13" borderId="0" xfId="0" applyFont="1" applyFill="1"/>
    <xf numFmtId="0" fontId="40" fillId="11" borderId="0" xfId="0" applyFont="1" applyFill="1"/>
    <xf numFmtId="184" fontId="0" fillId="15" borderId="0" xfId="0" applyNumberFormat="1" applyFill="1"/>
    <xf numFmtId="0" fontId="40" fillId="15" borderId="0" xfId="0" applyFont="1" applyFill="1"/>
    <xf numFmtId="0" fontId="44" fillId="0" borderId="0" xfId="0" applyFont="1"/>
    <xf numFmtId="0" fontId="40" fillId="4" borderId="0" xfId="0" applyFont="1" applyFill="1"/>
    <xf numFmtId="184" fontId="0" fillId="0" borderId="0" xfId="0" applyNumberFormat="1" applyAlignment="1">
      <alignment horizontal="right"/>
    </xf>
    <xf numFmtId="0" fontId="0" fillId="0" borderId="0" xfId="0" applyAlignment="1">
      <alignment horizontal="center"/>
    </xf>
    <xf numFmtId="184" fontId="43" fillId="6" borderId="0" xfId="0" applyNumberFormat="1" applyFont="1" applyFill="1"/>
    <xf numFmtId="9" fontId="0" fillId="0" borderId="0" xfId="9" applyFont="1" applyAlignment="1"/>
    <xf numFmtId="10" fontId="0" fillId="0" borderId="0" xfId="9" applyNumberFormat="1" applyFont="1" applyAlignment="1"/>
    <xf numFmtId="0" fontId="22" fillId="0" borderId="0" xfId="0" applyFont="1"/>
    <xf numFmtId="0" fontId="3" fillId="0" borderId="0" xfId="0" applyFont="1"/>
    <xf numFmtId="184" fontId="43" fillId="16" borderId="0" xfId="0" applyNumberFormat="1" applyFont="1" applyFill="1"/>
    <xf numFmtId="184" fontId="0" fillId="16" borderId="0" xfId="0" applyNumberFormat="1" applyFill="1"/>
    <xf numFmtId="2" fontId="0" fillId="16" borderId="0" xfId="0" applyNumberFormat="1" applyFill="1"/>
    <xf numFmtId="0" fontId="40" fillId="14" borderId="0" xfId="0" applyFont="1" applyFill="1"/>
    <xf numFmtId="0" fontId="46" fillId="0" borderId="0" xfId="0" applyFont="1" applyAlignment="1">
      <alignment horizontal="distributed"/>
    </xf>
    <xf numFmtId="0" fontId="47" fillId="0" borderId="0" xfId="0" applyFont="1" applyAlignment="1">
      <alignment horizontal="distributed"/>
    </xf>
    <xf numFmtId="0" fontId="5" fillId="7" borderId="42" xfId="0" applyFont="1" applyFill="1" applyBorder="1" applyAlignment="1">
      <alignment horizontal="left" vertical="center" wrapText="1"/>
    </xf>
    <xf numFmtId="0" fontId="5" fillId="7" borderId="43" xfId="0" applyFont="1" applyFill="1" applyBorder="1" applyAlignment="1">
      <alignment horizontal="left" vertical="center" wrapText="1"/>
    </xf>
    <xf numFmtId="0" fontId="5" fillId="7" borderId="43" xfId="0" applyFont="1" applyFill="1" applyBorder="1" applyAlignment="1">
      <alignment horizontal="left" vertical="center"/>
    </xf>
    <xf numFmtId="0" fontId="5" fillId="7" borderId="44" xfId="0" applyFont="1" applyFill="1" applyBorder="1" applyAlignment="1">
      <alignment horizontal="left" vertical="center"/>
    </xf>
    <xf numFmtId="0" fontId="5" fillId="4" borderId="42" xfId="0" applyFont="1" applyFill="1" applyBorder="1" applyAlignment="1">
      <alignment horizontal="left" vertical="center" wrapText="1"/>
    </xf>
    <xf numFmtId="0" fontId="5" fillId="4" borderId="43" xfId="0" applyFont="1" applyFill="1" applyBorder="1" applyAlignment="1">
      <alignment horizontal="left" vertical="center" wrapText="1"/>
    </xf>
    <xf numFmtId="0" fontId="5" fillId="4" borderId="43" xfId="0" applyFont="1" applyFill="1" applyBorder="1" applyAlignment="1">
      <alignment horizontal="left" vertical="center"/>
    </xf>
    <xf numFmtId="0" fontId="5" fillId="4" borderId="44" xfId="0" applyFont="1" applyFill="1" applyBorder="1" applyAlignment="1">
      <alignment horizontal="left" vertical="center"/>
    </xf>
    <xf numFmtId="0" fontId="50" fillId="4" borderId="43" xfId="0" applyFont="1" applyFill="1" applyBorder="1" applyAlignment="1">
      <alignment horizontal="left" vertical="center" wrapText="1"/>
    </xf>
    <xf numFmtId="0" fontId="5" fillId="16" borderId="42" xfId="0" applyFont="1" applyFill="1" applyBorder="1" applyAlignment="1">
      <alignment horizontal="left" vertical="center" wrapText="1"/>
    </xf>
    <xf numFmtId="0" fontId="5" fillId="16" borderId="43" xfId="0" applyFont="1" applyFill="1" applyBorder="1" applyAlignment="1">
      <alignment horizontal="left" vertical="center" wrapText="1"/>
    </xf>
    <xf numFmtId="0" fontId="5" fillId="16" borderId="43" xfId="0" applyFont="1" applyFill="1" applyBorder="1" applyAlignment="1">
      <alignment horizontal="left" vertical="center"/>
    </xf>
    <xf numFmtId="0" fontId="5" fillId="16" borderId="43" xfId="0" applyFont="1" applyFill="1" applyBorder="1" applyAlignment="1">
      <alignment horizontal="justify" vertical="center" wrapText="1"/>
    </xf>
    <xf numFmtId="0" fontId="5" fillId="8" borderId="42" xfId="0" applyFont="1" applyFill="1" applyBorder="1" applyAlignment="1">
      <alignment horizontal="left" vertical="center" wrapText="1"/>
    </xf>
    <xf numFmtId="0" fontId="5" fillId="8" borderId="43" xfId="0" applyFont="1" applyFill="1" applyBorder="1" applyAlignment="1">
      <alignment horizontal="left" vertical="center" wrapText="1"/>
    </xf>
    <xf numFmtId="0" fontId="5" fillId="8" borderId="43" xfId="0" applyFont="1" applyFill="1" applyBorder="1" applyAlignment="1">
      <alignment horizontal="justify" vertical="center" wrapText="1"/>
    </xf>
    <xf numFmtId="0" fontId="5" fillId="14" borderId="42" xfId="0" applyFont="1" applyFill="1" applyBorder="1" applyAlignment="1">
      <alignment horizontal="left" vertical="center" wrapText="1"/>
    </xf>
    <xf numFmtId="0" fontId="5" fillId="14" borderId="43" xfId="0" applyFont="1" applyFill="1" applyBorder="1" applyAlignment="1">
      <alignment horizontal="left" vertical="center" wrapText="1"/>
    </xf>
    <xf numFmtId="0" fontId="52" fillId="0" borderId="0" xfId="0" applyFont="1" applyAlignment="1">
      <alignment horizontal="right"/>
    </xf>
    <xf numFmtId="0" fontId="41" fillId="0" borderId="0" xfId="0" applyFont="1" applyAlignment="1">
      <alignment horizontal="center"/>
    </xf>
    <xf numFmtId="0" fontId="53" fillId="0" borderId="0" xfId="0" applyFont="1" applyAlignment="1">
      <alignment horizontal="center"/>
    </xf>
    <xf numFmtId="0" fontId="54" fillId="0" borderId="0" xfId="0" applyFont="1"/>
    <xf numFmtId="0" fontId="55" fillId="0" borderId="0" xfId="0" applyFont="1"/>
    <xf numFmtId="0" fontId="40" fillId="0" borderId="0" xfId="0" applyFont="1" applyAlignment="1">
      <alignment horizontal="center"/>
    </xf>
    <xf numFmtId="184" fontId="40" fillId="0" borderId="0" xfId="0" applyNumberFormat="1" applyFont="1"/>
    <xf numFmtId="0" fontId="18" fillId="0" borderId="0" xfId="1"/>
    <xf numFmtId="0" fontId="18" fillId="0" borderId="0" xfId="1" applyAlignment="1">
      <alignment horizontal="right"/>
    </xf>
    <xf numFmtId="0" fontId="18" fillId="0" borderId="0" xfId="2" applyAlignment="1">
      <alignment horizontal="distributed"/>
    </xf>
    <xf numFmtId="0" fontId="18" fillId="0" borderId="0" xfId="2" applyAlignment="1">
      <alignment horizontal="center"/>
    </xf>
    <xf numFmtId="0" fontId="18" fillId="0" borderId="0" xfId="2"/>
    <xf numFmtId="184" fontId="18" fillId="5" borderId="0" xfId="2" applyNumberFormat="1" applyFill="1"/>
    <xf numFmtId="184" fontId="18" fillId="6" borderId="0" xfId="2" applyNumberFormat="1" applyFill="1"/>
    <xf numFmtId="184" fontId="18" fillId="0" borderId="0" xfId="2" applyNumberFormat="1" applyAlignment="1">
      <alignment horizontal="right"/>
    </xf>
    <xf numFmtId="0" fontId="18" fillId="0" borderId="0" xfId="2" applyAlignment="1">
      <alignment horizontal="center"/>
    </xf>
    <xf numFmtId="0" fontId="55" fillId="0" borderId="0" xfId="1" applyFont="1" applyAlignment="1">
      <alignment horizontal="right"/>
    </xf>
    <xf numFmtId="0" fontId="58" fillId="0" borderId="0" xfId="0" applyFont="1"/>
    <xf numFmtId="0" fontId="59" fillId="0" borderId="0" xfId="0" applyFont="1" applyFill="1"/>
    <xf numFmtId="0" fontId="60" fillId="0" borderId="0" xfId="0" applyFont="1" applyAlignment="1">
      <alignment horizontal="left" vertical="center" wrapText="1" indent="2"/>
    </xf>
  </cellXfs>
  <cellStyles count="10">
    <cellStyle name="一般" xfId="0" builtinId="0" customBuiltin="1"/>
    <cellStyle name="一般_Sheet1" xfId="6" xr:uid="{00000000-0005-0000-0000-000001000000}"/>
    <cellStyle name="一般_Sheet2" xfId="7" xr:uid="{00000000-0005-0000-0000-000002000000}"/>
    <cellStyle name="一般_期中報告-會計報告" xfId="5" xr:uid="{00000000-0005-0000-0000-000003000000}"/>
    <cellStyle name="千分位" xfId="3" builtinId="3" customBuiltin="1"/>
    <cellStyle name="千分位[0]" xfId="4" builtinId="6" customBuiltin="1"/>
    <cellStyle name="大綱列_1" xfId="1" builtinId="1" iLevel="0"/>
    <cellStyle name="大綱欄_1" xfId="2" builtinId="2" iLevel="0"/>
    <cellStyle name="百分比" xfId="9" builtinId="5"/>
    <cellStyle name="貨幣[0]_Sheet1" xfId="8" xr:uid="{00000000-0005-0000-0000-00000600000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zh-TW">
                <a:latin typeface="851tegakizatsu" panose="02000600000000000000" pitchFamily="2" charset="-120"/>
                <a:ea typeface="851tegakizatsu" panose="02000600000000000000" pitchFamily="2" charset="-120"/>
                <a:cs typeface="851tegakizatsu" panose="02000600000000000000" pitchFamily="2" charset="-120"/>
              </a:rPr>
              <a:t>研發費用分配比例</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zh-TW"/>
        </a:p>
      </c:txPr>
    </c:title>
    <c:autoTitleDeleted val="0"/>
    <c:view3D>
      <c:rotX val="30"/>
      <c:rotY val="2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zh-TW"/>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計畫架構!$E$97:$E$104</c:f>
              <c:strCache>
                <c:ptCount val="8"/>
                <c:pt idx="0">
                  <c:v>材料費</c:v>
                </c:pt>
                <c:pt idx="1">
                  <c:v>研發設備</c:v>
                </c:pt>
                <c:pt idx="2">
                  <c:v>委託開發</c:v>
                </c:pt>
                <c:pt idx="3">
                  <c:v>技術引進</c:v>
                </c:pt>
                <c:pt idx="4">
                  <c:v>驗證費用</c:v>
                </c:pt>
                <c:pt idx="5">
                  <c:v>顧問費用</c:v>
                </c:pt>
                <c:pt idx="6">
                  <c:v>其他費用</c:v>
                </c:pt>
                <c:pt idx="7">
                  <c:v>人事費用</c:v>
                </c:pt>
              </c:strCache>
            </c:strRef>
          </c:cat>
          <c:val>
            <c:numRef>
              <c:f>計畫架構!$F$97:$F$104</c:f>
              <c:numCache>
                <c:formatCode>0.00_);[Red]\(0.00\)</c:formatCode>
                <c:ptCount val="8"/>
                <c:pt idx="0">
                  <c:v>100</c:v>
                </c:pt>
                <c:pt idx="1">
                  <c:v>647.79999999999995</c:v>
                </c:pt>
                <c:pt idx="2">
                  <c:v>500</c:v>
                </c:pt>
                <c:pt idx="3">
                  <c:v>1045</c:v>
                </c:pt>
                <c:pt idx="4">
                  <c:v>493.34000000000003</c:v>
                </c:pt>
                <c:pt idx="5">
                  <c:v>300</c:v>
                </c:pt>
                <c:pt idx="6">
                  <c:v>60</c:v>
                </c:pt>
                <c:pt idx="7" formatCode="General">
                  <c:v>900</c:v>
                </c:pt>
              </c:numCache>
            </c:numRef>
          </c:val>
          <c:extLst>
            <c:ext xmlns:c16="http://schemas.microsoft.com/office/drawing/2014/chart" uri="{C3380CC4-5D6E-409C-BE32-E72D297353CC}">
              <c16:uniqueId val="{00000000-22AB-4769-94B8-5E3C54667340}"/>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TW" altLang="en-US">
                <a:latin typeface="851tegakizatsu" panose="02000600000000000000" pitchFamily="2" charset="-120"/>
                <a:ea typeface="851tegakizatsu" panose="02000600000000000000" pitchFamily="2" charset="-120"/>
                <a:cs typeface="851tegakizatsu" panose="02000600000000000000" pitchFamily="2" charset="-120"/>
              </a:rPr>
              <a:t>各分項計畫權重比例</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計畫架構!$H$97:$H$101</c:f>
              <c:strCache>
                <c:ptCount val="5"/>
                <c:pt idx="0">
                  <c:v>A分項計畫  商業資訊中心設置計畫</c:v>
                </c:pt>
                <c:pt idx="1">
                  <c:v>B分項計畫物業安全中心設置</c:v>
                </c:pt>
                <c:pt idx="2">
                  <c:v>C分項計畫 資訊、勞務系統開發</c:v>
                </c:pt>
                <c:pt idx="3">
                  <c:v>D分項計畫 各分项計畫串接結合及驗證控管</c:v>
                </c:pt>
                <c:pt idx="4">
                  <c:v>E分項計畫  計畫管考設備採購暨友善勞動制度及產業需求研發</c:v>
                </c:pt>
              </c:strCache>
            </c:strRef>
          </c:cat>
          <c:val>
            <c:numRef>
              <c:f>計畫架構!$I$97:$I$101</c:f>
              <c:numCache>
                <c:formatCode>General</c:formatCode>
                <c:ptCount val="5"/>
                <c:pt idx="0">
                  <c:v>1465</c:v>
                </c:pt>
                <c:pt idx="1">
                  <c:v>200</c:v>
                </c:pt>
                <c:pt idx="2">
                  <c:v>620</c:v>
                </c:pt>
                <c:pt idx="3">
                  <c:v>633.33999999999992</c:v>
                </c:pt>
                <c:pt idx="4">
                  <c:v>1127.8</c:v>
                </c:pt>
              </c:numCache>
            </c:numRef>
          </c:val>
          <c:extLst>
            <c:ext xmlns:c16="http://schemas.microsoft.com/office/drawing/2014/chart" uri="{C3380CC4-5D6E-409C-BE32-E72D297353CC}">
              <c16:uniqueId val="{00000000-2B35-4F89-9136-D72919B3D7F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6</xdr:col>
      <xdr:colOff>172919</xdr:colOff>
      <xdr:row>104</xdr:row>
      <xdr:rowOff>189140</xdr:rowOff>
    </xdr:from>
    <xdr:to>
      <xdr:col>14</xdr:col>
      <xdr:colOff>222899</xdr:colOff>
      <xdr:row>122</xdr:row>
      <xdr:rowOff>118727</xdr:rowOff>
    </xdr:to>
    <xdr:graphicFrame macro="">
      <xdr:nvGraphicFramePr>
        <xdr:cNvPr id="3" name="圖表 2">
          <a:extLst>
            <a:ext uri="{FF2B5EF4-FFF2-40B4-BE49-F238E27FC236}">
              <a16:creationId xmlns:a16="http://schemas.microsoft.com/office/drawing/2014/main" id="{85C97AA9-36DB-BC94-4551-89F66E7DB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443345</xdr:colOff>
      <xdr:row>105</xdr:row>
      <xdr:rowOff>27710</xdr:rowOff>
    </xdr:from>
    <xdr:to>
      <xdr:col>5</xdr:col>
      <xdr:colOff>429490</xdr:colOff>
      <xdr:row>123</xdr:row>
      <xdr:rowOff>13855</xdr:rowOff>
    </xdr:to>
    <xdr:graphicFrame macro="">
      <xdr:nvGraphicFramePr>
        <xdr:cNvPr id="4" name="圖表 3">
          <a:extLst>
            <a:ext uri="{FF2B5EF4-FFF2-40B4-BE49-F238E27FC236}">
              <a16:creationId xmlns:a16="http://schemas.microsoft.com/office/drawing/2014/main" id="{64D2BB79-44F0-F9B7-3E09-DCB796AF2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30480</xdr:colOff>
      <xdr:row>99</xdr:row>
      <xdr:rowOff>137160</xdr:rowOff>
    </xdr:to>
    <xdr:pic>
      <xdr:nvPicPr>
        <xdr:cNvPr id="2" name="圖片 1">
          <a:extLst>
            <a:ext uri="{FF2B5EF4-FFF2-40B4-BE49-F238E27FC236}">
              <a16:creationId xmlns:a16="http://schemas.microsoft.com/office/drawing/2014/main" id="{8CC70C38-9432-76AF-0801-14CC657231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448800" cy="19933920"/>
        </a:xfrm>
        <a:prstGeom prst="rect">
          <a:avLst/>
        </a:prstGeom>
        <a:noFill/>
        <a:ln>
          <a:noFill/>
        </a:ln>
      </xdr:spPr>
    </xdr:pic>
    <xdr:clientData/>
  </xdr:twoCellAnchor>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1EF14F-4E07-42F8-BF53-5482ED817B36}">
  <we:reference id="wa200002671" version="1.0.0.4" store="zh-TW" storeType="OMEX"/>
  <we:alternateReferences>
    <we:reference id="WA200002671" version="1.0.0.4" store="WA2000026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S50"/>
  <sheetViews>
    <sheetView view="pageBreakPreview" zoomScale="91" zoomScaleNormal="60" zoomScaleSheetLayoutView="91" workbookViewId="0">
      <selection activeCell="A2" sqref="A2:M2"/>
    </sheetView>
  </sheetViews>
  <sheetFormatPr defaultColWidth="13.19921875" defaultRowHeight="13.8"/>
  <cols>
    <col min="1" max="1" width="37.59765625" style="1" customWidth="1"/>
    <col min="2" max="2" width="15.69921875" style="34" customWidth="1"/>
    <col min="3" max="4" width="18.09765625" style="34" customWidth="1"/>
    <col min="5" max="7" width="15.59765625" style="34" customWidth="1"/>
    <col min="8" max="10" width="15.69921875" style="34" customWidth="1"/>
    <col min="11" max="13" width="15.69921875" style="1" customWidth="1"/>
    <col min="14" max="14" width="13.19921875" style="1" customWidth="1"/>
    <col min="15" max="16384" width="13.19921875" style="1"/>
  </cols>
  <sheetData>
    <row r="1" spans="1:19" ht="30" customHeight="1">
      <c r="A1" s="347" t="s">
        <v>267</v>
      </c>
      <c r="B1" s="347"/>
      <c r="C1" s="347"/>
      <c r="D1" s="347"/>
      <c r="E1" s="347"/>
      <c r="F1" s="347"/>
      <c r="G1" s="347"/>
      <c r="H1" s="347"/>
      <c r="I1" s="347"/>
      <c r="J1" s="347"/>
      <c r="K1" s="347"/>
      <c r="L1" s="347"/>
      <c r="M1" s="347"/>
      <c r="N1" s="14"/>
      <c r="O1" s="14"/>
      <c r="P1" s="14"/>
      <c r="Q1" s="14"/>
      <c r="R1" s="14"/>
      <c r="S1" s="14"/>
    </row>
    <row r="2" spans="1:19" ht="22.2">
      <c r="A2" s="348" t="s">
        <v>0</v>
      </c>
      <c r="B2" s="348"/>
      <c r="C2" s="348"/>
      <c r="D2" s="348"/>
      <c r="E2" s="348"/>
      <c r="F2" s="348"/>
      <c r="G2" s="348"/>
      <c r="H2" s="348"/>
      <c r="I2" s="348"/>
      <c r="J2" s="348"/>
      <c r="K2" s="348"/>
      <c r="L2" s="348"/>
      <c r="M2" s="348"/>
      <c r="N2" s="14"/>
      <c r="O2" s="14"/>
      <c r="P2" s="14"/>
      <c r="Q2" s="14"/>
      <c r="R2" s="14"/>
      <c r="S2" s="14"/>
    </row>
    <row r="3" spans="1:19" ht="28.5" customHeight="1">
      <c r="A3" s="349" t="s">
        <v>1</v>
      </c>
      <c r="B3" s="349"/>
      <c r="C3" s="349"/>
      <c r="D3" s="349"/>
      <c r="E3" s="349"/>
      <c r="F3" s="349"/>
      <c r="G3" s="349"/>
      <c r="H3" s="349"/>
      <c r="I3" s="349"/>
      <c r="J3" s="349"/>
      <c r="K3" s="349"/>
      <c r="L3" s="349"/>
      <c r="M3" s="349"/>
      <c r="N3" s="14"/>
      <c r="O3" s="14"/>
      <c r="P3" s="14"/>
      <c r="Q3" s="14"/>
      <c r="R3" s="14"/>
      <c r="S3" s="14"/>
    </row>
    <row r="4" spans="1:19" ht="21" customHeight="1">
      <c r="A4" s="19"/>
      <c r="B4" s="20"/>
      <c r="C4" s="20"/>
      <c r="D4" s="20"/>
      <c r="E4" s="20"/>
      <c r="F4" s="20"/>
      <c r="G4" s="2"/>
      <c r="H4" s="20"/>
      <c r="I4" s="20"/>
      <c r="J4" s="20"/>
      <c r="M4" s="21" t="s">
        <v>2</v>
      </c>
      <c r="N4" s="14"/>
      <c r="O4" s="14"/>
      <c r="P4" s="14"/>
      <c r="Q4" s="14"/>
      <c r="R4" s="14"/>
      <c r="S4" s="14"/>
    </row>
    <row r="5" spans="1:19" s="3" customFormat="1" ht="33.75" customHeight="1">
      <c r="A5" s="22"/>
      <c r="B5" s="350" t="s">
        <v>3</v>
      </c>
      <c r="C5" s="350"/>
      <c r="D5" s="350"/>
      <c r="E5" s="350" t="s">
        <v>4</v>
      </c>
      <c r="F5" s="350"/>
      <c r="G5" s="350"/>
      <c r="H5" s="350" t="s">
        <v>5</v>
      </c>
      <c r="I5" s="350"/>
      <c r="J5" s="350"/>
      <c r="K5" s="350" t="s">
        <v>6</v>
      </c>
      <c r="L5" s="350"/>
      <c r="M5" s="350"/>
      <c r="N5" s="15"/>
      <c r="O5" s="15"/>
      <c r="P5" s="15"/>
      <c r="Q5" s="15"/>
      <c r="R5" s="15"/>
      <c r="S5" s="15"/>
    </row>
    <row r="6" spans="1:19" ht="16.2">
      <c r="A6" s="23" t="s">
        <v>7</v>
      </c>
      <c r="B6" s="24" t="s">
        <v>8</v>
      </c>
      <c r="C6" s="24" t="s">
        <v>9</v>
      </c>
      <c r="D6" s="24" t="s">
        <v>10</v>
      </c>
      <c r="E6" s="24" t="s">
        <v>8</v>
      </c>
      <c r="F6" s="24" t="s">
        <v>9</v>
      </c>
      <c r="G6" s="24" t="s">
        <v>10</v>
      </c>
      <c r="H6" s="24" t="s">
        <v>8</v>
      </c>
      <c r="I6" s="24" t="s">
        <v>9</v>
      </c>
      <c r="J6" s="24" t="s">
        <v>10</v>
      </c>
      <c r="K6" s="24" t="s">
        <v>8</v>
      </c>
      <c r="L6" s="24" t="s">
        <v>9</v>
      </c>
      <c r="M6" s="24" t="s">
        <v>10</v>
      </c>
      <c r="N6" s="14"/>
      <c r="O6" s="14"/>
      <c r="P6" s="14"/>
      <c r="Q6" s="14"/>
      <c r="R6" s="14"/>
      <c r="S6" s="14"/>
    </row>
    <row r="7" spans="1:19" s="4" customFormat="1" ht="23.25" customHeight="1">
      <c r="A7" s="25" t="s">
        <v>11</v>
      </c>
      <c r="B7" s="26"/>
      <c r="C7" s="26"/>
      <c r="D7" s="27"/>
      <c r="E7" s="46"/>
      <c r="F7" s="46"/>
      <c r="G7" s="28"/>
      <c r="H7" s="28"/>
      <c r="I7" s="28"/>
      <c r="J7" s="27"/>
      <c r="K7" s="29"/>
      <c r="L7" s="29"/>
      <c r="M7" s="29"/>
      <c r="N7" s="16"/>
      <c r="O7" s="16"/>
      <c r="P7" s="16"/>
      <c r="Q7" s="16"/>
      <c r="R7" s="16"/>
      <c r="S7" s="16"/>
    </row>
    <row r="8" spans="1:19" s="4" customFormat="1" ht="23.25" customHeight="1">
      <c r="A8" s="25" t="s">
        <v>12</v>
      </c>
      <c r="B8" s="35">
        <f>計畫架構!F104*1000*0.3</f>
        <v>270000</v>
      </c>
      <c r="C8" s="35">
        <f>計畫架構!F104*1000*0.7</f>
        <v>630000</v>
      </c>
      <c r="D8" s="30">
        <f>B8+C8</f>
        <v>900000</v>
      </c>
      <c r="E8" s="36"/>
      <c r="F8" s="36"/>
      <c r="G8" s="30">
        <f>E8+F8</f>
        <v>0</v>
      </c>
      <c r="H8" s="30">
        <f>IF(J8+G8&gt;=D8,B8-E8,ROUND(J8/D8*B8,0))</f>
        <v>34905</v>
      </c>
      <c r="I8" s="30">
        <f>J8-H8</f>
        <v>81445</v>
      </c>
      <c r="J8" s="49">
        <f>ROUND(人事費!I13,0)</f>
        <v>116350</v>
      </c>
      <c r="K8" s="30">
        <f t="shared" ref="K8:L12" si="0">E8+H8</f>
        <v>34905</v>
      </c>
      <c r="L8" s="30">
        <f t="shared" si="0"/>
        <v>81445</v>
      </c>
      <c r="M8" s="30">
        <f>K8+L8</f>
        <v>116350</v>
      </c>
      <c r="N8" s="16"/>
      <c r="O8" s="44"/>
      <c r="P8" s="45"/>
      <c r="Q8" s="45"/>
      <c r="R8" s="16"/>
      <c r="S8" s="16"/>
    </row>
    <row r="9" spans="1:19" s="4" customFormat="1" ht="23.25" customHeight="1">
      <c r="A9" s="25" t="s">
        <v>13</v>
      </c>
      <c r="B9" s="35">
        <f>計畫架構!F102*0.4*1000</f>
        <v>120000</v>
      </c>
      <c r="C9" s="35">
        <f>計畫架構!F102*0.6*1000</f>
        <v>180000</v>
      </c>
      <c r="D9" s="30">
        <f>B9+C9</f>
        <v>300000</v>
      </c>
      <c r="E9" s="36"/>
      <c r="F9" s="36"/>
      <c r="G9" s="30">
        <f>E9+F9</f>
        <v>0</v>
      </c>
      <c r="H9" s="30">
        <f>IF(J9+G9&gt;=D9,B9-E9,ROUND(J9/D9*B9,0))</f>
        <v>8000</v>
      </c>
      <c r="I9" s="30">
        <f>J9-H9</f>
        <v>12000</v>
      </c>
      <c r="J9" s="49">
        <f>ROUND(顧問!E15,0)</f>
        <v>20000</v>
      </c>
      <c r="K9" s="30">
        <f t="shared" si="0"/>
        <v>8000</v>
      </c>
      <c r="L9" s="30">
        <f t="shared" si="0"/>
        <v>12000</v>
      </c>
      <c r="M9" s="30">
        <f>K9+L9</f>
        <v>20000</v>
      </c>
      <c r="N9" s="16"/>
      <c r="O9" s="44"/>
      <c r="P9" s="45"/>
      <c r="Q9" s="45"/>
      <c r="R9" s="16"/>
      <c r="S9" s="16"/>
    </row>
    <row r="10" spans="1:19" s="4" customFormat="1" ht="23.25" customHeight="1">
      <c r="A10" s="25" t="s">
        <v>14</v>
      </c>
      <c r="B10" s="35">
        <f>計畫架構!F97*1000*0.4</f>
        <v>40000</v>
      </c>
      <c r="C10" s="35">
        <f>計畫架構!F97*1000*0.6</f>
        <v>60000</v>
      </c>
      <c r="D10" s="30">
        <f>B10+C10</f>
        <v>100000</v>
      </c>
      <c r="E10" s="36"/>
      <c r="F10" s="36"/>
      <c r="G10" s="30">
        <f>E10+F10</f>
        <v>0</v>
      </c>
      <c r="H10" s="30">
        <f>IF(J10+G10&gt;=D10,B10-E10,ROUND(J10/D10*B10,0))</f>
        <v>2880</v>
      </c>
      <c r="I10" s="30">
        <f>J10-H10</f>
        <v>4320</v>
      </c>
      <c r="J10" s="49">
        <f>ROUND(材料費!J27,0)</f>
        <v>7200</v>
      </c>
      <c r="K10" s="30">
        <f t="shared" si="0"/>
        <v>2880</v>
      </c>
      <c r="L10" s="30">
        <f t="shared" si="0"/>
        <v>4320</v>
      </c>
      <c r="M10" s="30">
        <f>K10+L10</f>
        <v>7200</v>
      </c>
      <c r="N10" s="16"/>
      <c r="O10" s="44"/>
      <c r="P10" s="45"/>
      <c r="Q10" s="45"/>
      <c r="R10" s="16"/>
      <c r="S10" s="16"/>
    </row>
    <row r="11" spans="1:19" s="4" customFormat="1" ht="21.75" customHeight="1">
      <c r="A11" s="25" t="s">
        <v>15</v>
      </c>
      <c r="B11" s="35">
        <f>計畫架構!F98*1000/60*12/4</f>
        <v>32390</v>
      </c>
      <c r="C11" s="35">
        <f>計畫架構!F98*1000/60*12/6</f>
        <v>21593.333333333332</v>
      </c>
      <c r="D11" s="30">
        <f>B11+C11</f>
        <v>53983.333333333328</v>
      </c>
      <c r="E11" s="36"/>
      <c r="F11" s="36"/>
      <c r="G11" s="30">
        <f>E11+F11</f>
        <v>0</v>
      </c>
      <c r="H11" s="30">
        <f>IF(J11+G11&gt;=D11,B11-E11,ROUND(J11/D11*B11,0))</f>
        <v>32390</v>
      </c>
      <c r="I11" s="30">
        <f>J11-H11</f>
        <v>44943</v>
      </c>
      <c r="J11" s="49">
        <f>ROUND(設備使用費!K26,0)</f>
        <v>77333</v>
      </c>
      <c r="K11" s="30">
        <f t="shared" si="0"/>
        <v>32390</v>
      </c>
      <c r="L11" s="30">
        <f t="shared" si="0"/>
        <v>44943</v>
      </c>
      <c r="M11" s="30">
        <f>K11+L11</f>
        <v>77333</v>
      </c>
      <c r="N11" s="16"/>
      <c r="O11" s="44"/>
      <c r="P11" s="45"/>
      <c r="Q11" s="45"/>
      <c r="R11" s="16"/>
      <c r="S11" s="16"/>
    </row>
    <row r="12" spans="1:19" s="4" customFormat="1" ht="23.25" customHeight="1">
      <c r="A12" s="25" t="s">
        <v>16</v>
      </c>
      <c r="B12" s="35">
        <f>計畫架構!F98*1000*0.02</f>
        <v>12956</v>
      </c>
      <c r="C12" s="35">
        <f>計畫架構!F98*1000*0.03</f>
        <v>19434</v>
      </c>
      <c r="D12" s="30">
        <f>B12+C12</f>
        <v>32390</v>
      </c>
      <c r="E12" s="36"/>
      <c r="F12" s="36"/>
      <c r="G12" s="30">
        <f>E12+F12</f>
        <v>0</v>
      </c>
      <c r="H12" s="30">
        <f>IF(J12+G12&gt;=D12,B12-E12,ROUND(J12/D12*B12,0))</f>
        <v>1200</v>
      </c>
      <c r="I12" s="30">
        <f>J12-H12</f>
        <v>1800</v>
      </c>
      <c r="J12" s="49">
        <f>ROUND(設備維護費!M16,0)</f>
        <v>3000</v>
      </c>
      <c r="K12" s="30">
        <f t="shared" si="0"/>
        <v>1200</v>
      </c>
      <c r="L12" s="30">
        <f t="shared" si="0"/>
        <v>1800</v>
      </c>
      <c r="M12" s="30">
        <f>K12+L12</f>
        <v>3000</v>
      </c>
      <c r="N12" s="16"/>
      <c r="O12" s="44"/>
      <c r="P12" s="45"/>
      <c r="Q12" s="45"/>
      <c r="R12" s="16"/>
      <c r="S12" s="16"/>
    </row>
    <row r="13" spans="1:19" s="4" customFormat="1" ht="23.25" customHeight="1">
      <c r="A13" s="25" t="s">
        <v>17</v>
      </c>
      <c r="B13" s="26"/>
      <c r="C13" s="26"/>
      <c r="D13" s="27"/>
      <c r="E13" s="46"/>
      <c r="F13" s="46"/>
      <c r="G13" s="30"/>
      <c r="H13" s="30"/>
      <c r="I13" s="30"/>
      <c r="J13" s="30"/>
      <c r="K13" s="30"/>
      <c r="L13" s="30"/>
      <c r="M13" s="30"/>
      <c r="N13" s="16"/>
      <c r="O13" s="44"/>
      <c r="P13" s="45"/>
      <c r="Q13" s="45"/>
      <c r="R13" s="16"/>
      <c r="S13" s="16"/>
    </row>
    <row r="14" spans="1:19" s="4" customFormat="1" ht="23.25" customHeight="1">
      <c r="A14" s="25" t="s">
        <v>18</v>
      </c>
      <c r="B14" s="35">
        <f>計畫架構!F100*1000*0.4</f>
        <v>418000</v>
      </c>
      <c r="C14" s="35">
        <f>計畫架構!F100*1000*0.6</f>
        <v>627000</v>
      </c>
      <c r="D14" s="30">
        <f>B14+C14</f>
        <v>1045000</v>
      </c>
      <c r="E14" s="36"/>
      <c r="F14" s="36"/>
      <c r="G14" s="30">
        <f>E14+F14</f>
        <v>0</v>
      </c>
      <c r="H14" s="30">
        <f>IF(J14+G14&gt;=D14,B14-E14,ROUND(J14/D14*B14,0))</f>
        <v>120000</v>
      </c>
      <c r="I14" s="30">
        <f>J14-H14</f>
        <v>180000</v>
      </c>
      <c r="J14" s="38">
        <f>ROUND(技術購買費!F15,0)</f>
        <v>300000</v>
      </c>
      <c r="K14" s="30">
        <f t="shared" ref="K14:L20" si="1">E14+H14</f>
        <v>120000</v>
      </c>
      <c r="L14" s="30">
        <f t="shared" si="1"/>
        <v>180000</v>
      </c>
      <c r="M14" s="30">
        <f>K14+L14</f>
        <v>300000</v>
      </c>
      <c r="N14" s="16"/>
      <c r="O14" s="44"/>
      <c r="P14" s="45"/>
      <c r="Q14" s="45"/>
      <c r="R14" s="16"/>
      <c r="S14" s="16"/>
    </row>
    <row r="15" spans="1:19" s="4" customFormat="1" ht="23.25" customHeight="1">
      <c r="A15" s="25" t="s">
        <v>19</v>
      </c>
      <c r="B15" s="35">
        <f>計畫架構!F99*1000*0.4</f>
        <v>200000</v>
      </c>
      <c r="C15" s="35">
        <f>計畫架構!F99*1000*0.6</f>
        <v>300000</v>
      </c>
      <c r="D15" s="30">
        <f>B15+C15</f>
        <v>500000</v>
      </c>
      <c r="E15" s="36"/>
      <c r="F15" s="36"/>
      <c r="G15" s="30">
        <f>E15+F15</f>
        <v>0</v>
      </c>
      <c r="H15" s="30">
        <f>IF(J15+G15&gt;=D15,B15-E15,ROUND(J15/D15*B15,0))</f>
        <v>140000</v>
      </c>
      <c r="I15" s="30">
        <f>J15-H15</f>
        <v>210000</v>
      </c>
      <c r="J15" s="38">
        <f>ROUND(委託研究費!F15,0)</f>
        <v>350000</v>
      </c>
      <c r="K15" s="30">
        <f t="shared" si="1"/>
        <v>140000</v>
      </c>
      <c r="L15" s="30">
        <f t="shared" si="1"/>
        <v>210000</v>
      </c>
      <c r="M15" s="30">
        <f>K15+L15</f>
        <v>350000</v>
      </c>
      <c r="N15" s="16"/>
      <c r="O15" s="44"/>
      <c r="P15" s="45"/>
      <c r="Q15" s="45"/>
      <c r="R15" s="16"/>
      <c r="S15" s="16"/>
    </row>
    <row r="16" spans="1:19" s="4" customFormat="1" ht="23.25" customHeight="1">
      <c r="A16" s="25" t="s">
        <v>20</v>
      </c>
      <c r="B16" s="35">
        <v>100000</v>
      </c>
      <c r="C16" s="35">
        <v>200000</v>
      </c>
      <c r="D16" s="30">
        <f>B16+C16</f>
        <v>300000</v>
      </c>
      <c r="E16" s="36"/>
      <c r="F16" s="36"/>
      <c r="G16" s="30">
        <f>E16+F16</f>
        <v>0</v>
      </c>
      <c r="H16" s="30">
        <f>IF(J16+G16&gt;=D16,B16-E16,ROUND(J16/D16*B16,0))</f>
        <v>100000</v>
      </c>
      <c r="I16" s="30">
        <f>J16-H16</f>
        <v>300000</v>
      </c>
      <c r="J16" s="38">
        <f>ROUND(委託勞務費!F15,0)</f>
        <v>400000</v>
      </c>
      <c r="K16" s="30">
        <f t="shared" si="1"/>
        <v>100000</v>
      </c>
      <c r="L16" s="30">
        <f t="shared" si="1"/>
        <v>300000</v>
      </c>
      <c r="M16" s="30">
        <f>K16+L16</f>
        <v>400000</v>
      </c>
      <c r="N16" s="16"/>
      <c r="O16" s="44"/>
      <c r="P16" s="45"/>
      <c r="Q16" s="45"/>
      <c r="R16" s="16"/>
      <c r="S16" s="16"/>
    </row>
    <row r="17" spans="1:19" s="4" customFormat="1" ht="23.25" customHeight="1">
      <c r="A17" s="25" t="s">
        <v>21</v>
      </c>
      <c r="B17" s="32"/>
      <c r="C17" s="32"/>
      <c r="D17" s="30"/>
      <c r="E17" s="47"/>
      <c r="F17" s="47"/>
      <c r="G17" s="30"/>
      <c r="H17" s="30"/>
      <c r="I17" s="30"/>
      <c r="J17" s="30"/>
      <c r="K17" s="30"/>
      <c r="L17" s="30"/>
      <c r="M17" s="30"/>
      <c r="N17" s="16"/>
      <c r="O17" s="44"/>
      <c r="P17" s="45"/>
      <c r="Q17" s="45"/>
      <c r="R17" s="16"/>
      <c r="S17" s="16"/>
    </row>
    <row r="18" spans="1:19" s="4" customFormat="1" ht="22.5" customHeight="1">
      <c r="A18" s="25" t="s">
        <v>22</v>
      </c>
      <c r="B18" s="35">
        <v>5000</v>
      </c>
      <c r="C18" s="35">
        <v>10000</v>
      </c>
      <c r="D18" s="30">
        <f t="shared" ref="D18:D19" si="2">B18+C18</f>
        <v>15000</v>
      </c>
      <c r="E18" s="36"/>
      <c r="F18" s="36"/>
      <c r="G18" s="30">
        <f t="shared" ref="G18:G19" si="3">E18+F18</f>
        <v>0</v>
      </c>
      <c r="H18" s="30">
        <f t="shared" ref="H18" si="4">IF(J18+G18&gt;=D18,B18-E18,ROUND(J18/D18*B18,0))</f>
        <v>617</v>
      </c>
      <c r="I18" s="30">
        <f t="shared" ref="I18:I19" si="5">J18-H18</f>
        <v>1233</v>
      </c>
      <c r="J18" s="49">
        <f>ROUND(國內差旅費!N14,0)</f>
        <v>1850</v>
      </c>
      <c r="K18" s="30">
        <f t="shared" ref="K18:K19" si="6">E18+H18</f>
        <v>617</v>
      </c>
      <c r="L18" s="30">
        <f t="shared" ref="L18:L19" si="7">F18+I18</f>
        <v>1233</v>
      </c>
      <c r="M18" s="30">
        <f t="shared" ref="M18:M19" si="8">K18+L18</f>
        <v>1850</v>
      </c>
      <c r="N18" s="16"/>
      <c r="O18" s="44"/>
      <c r="P18" s="45"/>
      <c r="Q18" s="45"/>
      <c r="R18" s="16"/>
      <c r="S18" s="16"/>
    </row>
    <row r="19" spans="1:19" s="4" customFormat="1" ht="22.5" customHeight="1">
      <c r="A19" s="25" t="s">
        <v>23</v>
      </c>
      <c r="B19" s="35"/>
      <c r="C19" s="35">
        <v>0</v>
      </c>
      <c r="D19" s="30">
        <f t="shared" si="2"/>
        <v>0</v>
      </c>
      <c r="E19" s="36"/>
      <c r="F19" s="36"/>
      <c r="G19" s="30">
        <f t="shared" si="3"/>
        <v>0</v>
      </c>
      <c r="H19" s="30">
        <v>0</v>
      </c>
      <c r="I19" s="30">
        <f t="shared" si="5"/>
        <v>2000</v>
      </c>
      <c r="J19" s="49">
        <f>ROUND(國外差旅費!N14,0)</f>
        <v>2000</v>
      </c>
      <c r="K19" s="30">
        <f t="shared" si="6"/>
        <v>0</v>
      </c>
      <c r="L19" s="30">
        <f t="shared" si="7"/>
        <v>2000</v>
      </c>
      <c r="M19" s="30">
        <f t="shared" si="8"/>
        <v>2000</v>
      </c>
      <c r="N19" s="16"/>
      <c r="O19" s="44"/>
      <c r="P19" s="45"/>
      <c r="Q19" s="45"/>
      <c r="R19" s="16"/>
      <c r="S19" s="16"/>
    </row>
    <row r="20" spans="1:19" s="4" customFormat="1" ht="22.5" customHeight="1">
      <c r="A20" s="31" t="s">
        <v>24</v>
      </c>
      <c r="B20" s="35">
        <f>計畫架構!F101*1000*0.4</f>
        <v>197336.00000000003</v>
      </c>
      <c r="C20" s="35">
        <f>計畫架構!F101*1000*0.6</f>
        <v>296004</v>
      </c>
      <c r="D20" s="30">
        <f>B20+C20</f>
        <v>493340</v>
      </c>
      <c r="E20" s="36"/>
      <c r="F20" s="36"/>
      <c r="G20" s="30">
        <f>E20+F20</f>
        <v>0</v>
      </c>
      <c r="H20" s="30">
        <f>IF(J20+G20&gt;=D20,B20-E20,ROUND(J20/D20*B20,0))</f>
        <v>2880</v>
      </c>
      <c r="I20" s="30">
        <f>J20-H20</f>
        <v>4320</v>
      </c>
      <c r="J20" s="49">
        <f>ROUND(市場驗證費!J18,0)</f>
        <v>7200</v>
      </c>
      <c r="K20" s="30">
        <f t="shared" si="1"/>
        <v>2880</v>
      </c>
      <c r="L20" s="30">
        <f t="shared" si="1"/>
        <v>4320</v>
      </c>
      <c r="M20" s="30">
        <f>K20+L20</f>
        <v>7200</v>
      </c>
      <c r="N20" s="16"/>
      <c r="O20" s="44"/>
      <c r="P20" s="45"/>
      <c r="Q20" s="45"/>
      <c r="R20" s="16"/>
      <c r="S20" s="16"/>
    </row>
    <row r="21" spans="1:19" s="4" customFormat="1" ht="22.5" customHeight="1">
      <c r="A21" s="22" t="s">
        <v>25</v>
      </c>
      <c r="B21" s="32">
        <f t="shared" ref="B21:M21" si="9">SUM(B8:B20)</f>
        <v>1395682</v>
      </c>
      <c r="C21" s="32">
        <f t="shared" si="9"/>
        <v>2344031.3333333335</v>
      </c>
      <c r="D21" s="32">
        <f t="shared" si="9"/>
        <v>3739713.333333333</v>
      </c>
      <c r="E21" s="32">
        <f t="shared" si="9"/>
        <v>0</v>
      </c>
      <c r="F21" s="32">
        <f t="shared" si="9"/>
        <v>0</v>
      </c>
      <c r="G21" s="30">
        <f t="shared" si="9"/>
        <v>0</v>
      </c>
      <c r="H21" s="30">
        <f t="shared" si="9"/>
        <v>442872</v>
      </c>
      <c r="I21" s="30">
        <f t="shared" si="9"/>
        <v>842061</v>
      </c>
      <c r="J21" s="30">
        <f t="shared" si="9"/>
        <v>1284933</v>
      </c>
      <c r="K21" s="30">
        <f t="shared" si="9"/>
        <v>442872</v>
      </c>
      <c r="L21" s="30">
        <f t="shared" si="9"/>
        <v>842061</v>
      </c>
      <c r="M21" s="30">
        <f t="shared" si="9"/>
        <v>1284933</v>
      </c>
      <c r="N21" s="16"/>
      <c r="O21" s="44"/>
      <c r="P21" s="45"/>
      <c r="Q21" s="45"/>
      <c r="R21" s="16"/>
      <c r="S21" s="16"/>
    </row>
    <row r="22" spans="1:19" s="4" customFormat="1" ht="16.2">
      <c r="A22" s="48"/>
      <c r="B22" s="48"/>
      <c r="C22" s="48"/>
      <c r="D22" s="39"/>
      <c r="E22" s="39"/>
      <c r="F22" s="39"/>
      <c r="G22" s="39"/>
      <c r="H22" s="39"/>
      <c r="I22" s="39"/>
      <c r="J22" s="39"/>
      <c r="K22" s="39"/>
      <c r="L22" s="39"/>
      <c r="M22" s="39"/>
      <c r="N22" s="16"/>
      <c r="O22" s="16"/>
      <c r="P22" s="16"/>
      <c r="Q22" s="16"/>
      <c r="R22" s="16"/>
      <c r="S22" s="16"/>
    </row>
    <row r="23" spans="1:19">
      <c r="A23" s="14" t="s">
        <v>26</v>
      </c>
      <c r="B23" s="37"/>
      <c r="C23" s="37"/>
      <c r="D23" s="37"/>
      <c r="E23" s="37"/>
      <c r="F23" s="37"/>
      <c r="G23" s="37"/>
      <c r="H23" s="37"/>
      <c r="I23" s="37"/>
      <c r="J23" s="37"/>
      <c r="K23" s="14"/>
      <c r="L23" s="14"/>
      <c r="M23" s="14"/>
      <c r="N23" s="14"/>
      <c r="O23" s="14"/>
      <c r="P23" s="14"/>
      <c r="Q23" s="14"/>
      <c r="R23" s="14"/>
      <c r="S23" s="14"/>
    </row>
    <row r="24" spans="1:19" ht="13.5" customHeight="1">
      <c r="A24" s="14" t="s">
        <v>27</v>
      </c>
      <c r="B24" s="37"/>
      <c r="C24" s="37"/>
      <c r="D24" s="37"/>
      <c r="E24" s="37"/>
      <c r="F24" s="37"/>
      <c r="G24" s="17"/>
      <c r="H24" s="17"/>
      <c r="I24" s="37"/>
      <c r="J24" s="37"/>
      <c r="K24" s="14"/>
      <c r="L24" s="14"/>
      <c r="M24" s="14"/>
      <c r="N24" s="14"/>
      <c r="O24" s="14"/>
      <c r="P24" s="14"/>
      <c r="Q24" s="14"/>
      <c r="R24" s="14"/>
      <c r="S24" s="14"/>
    </row>
    <row r="25" spans="1:19">
      <c r="A25" s="14" t="s">
        <v>28</v>
      </c>
      <c r="B25" s="37"/>
      <c r="C25" s="37"/>
      <c r="D25" s="37"/>
      <c r="E25" s="37"/>
      <c r="F25" s="37"/>
      <c r="G25" s="37"/>
      <c r="H25" s="37"/>
      <c r="I25" s="37"/>
      <c r="J25" s="37"/>
      <c r="K25" s="14"/>
      <c r="L25" s="14"/>
      <c r="M25" s="14"/>
      <c r="N25" s="14"/>
      <c r="O25" s="14"/>
      <c r="P25" s="14"/>
      <c r="Q25" s="14"/>
      <c r="R25" s="14"/>
      <c r="S25" s="14"/>
    </row>
    <row r="26" spans="1:19">
      <c r="A26" s="14" t="s">
        <v>29</v>
      </c>
      <c r="B26" s="37"/>
      <c r="C26" s="37"/>
      <c r="D26" s="37"/>
      <c r="E26" s="37"/>
      <c r="F26" s="37"/>
      <c r="G26" s="37"/>
      <c r="H26" s="37"/>
      <c r="I26" s="37"/>
      <c r="J26" s="37"/>
      <c r="K26" s="14"/>
      <c r="L26" s="14"/>
      <c r="M26" s="14"/>
      <c r="N26" s="14"/>
      <c r="O26" s="14"/>
      <c r="P26" s="14"/>
      <c r="Q26" s="14"/>
      <c r="R26" s="14"/>
      <c r="S26" s="14"/>
    </row>
    <row r="27" spans="1:19">
      <c r="A27" s="14"/>
      <c r="B27" s="37"/>
      <c r="C27" s="37"/>
      <c r="D27" s="37"/>
      <c r="E27" s="37"/>
      <c r="F27" s="37"/>
      <c r="G27" s="37"/>
      <c r="H27" s="37"/>
      <c r="I27" s="37"/>
      <c r="J27" s="37"/>
      <c r="K27" s="14"/>
      <c r="L27" s="14"/>
      <c r="M27" s="14"/>
      <c r="N27" s="14"/>
      <c r="O27" s="14"/>
      <c r="P27" s="14"/>
      <c r="Q27" s="14"/>
      <c r="R27" s="14"/>
      <c r="S27" s="14"/>
    </row>
    <row r="28" spans="1:19" s="33" customFormat="1" ht="17.399999999999999">
      <c r="A28" s="40" t="s">
        <v>30</v>
      </c>
      <c r="B28" s="41"/>
      <c r="C28" s="42" t="s">
        <v>31</v>
      </c>
      <c r="D28" s="41"/>
      <c r="E28" s="41"/>
      <c r="F28" s="41"/>
      <c r="G28" s="41"/>
      <c r="H28" s="42" t="s">
        <v>32</v>
      </c>
      <c r="I28" s="40"/>
      <c r="J28" s="41"/>
      <c r="K28" s="43" t="s">
        <v>33</v>
      </c>
      <c r="L28" s="41"/>
      <c r="M28" s="41"/>
      <c r="N28" s="18"/>
      <c r="O28" s="18"/>
      <c r="P28" s="18"/>
      <c r="Q28" s="18"/>
      <c r="R28" s="18"/>
      <c r="S28" s="18"/>
    </row>
    <row r="29" spans="1:19">
      <c r="A29" s="14"/>
      <c r="B29" s="37"/>
      <c r="C29" s="37"/>
      <c r="D29" s="37"/>
      <c r="E29" s="37"/>
      <c r="F29" s="37"/>
      <c r="G29" s="37"/>
      <c r="H29" s="37"/>
      <c r="I29" s="37"/>
      <c r="J29" s="37"/>
      <c r="K29" s="14"/>
      <c r="L29" s="14"/>
      <c r="M29" s="14"/>
      <c r="N29" s="14"/>
      <c r="O29" s="14"/>
      <c r="P29" s="14"/>
      <c r="Q29" s="14"/>
      <c r="R29" s="14"/>
      <c r="S29" s="14"/>
    </row>
    <row r="30" spans="1:19">
      <c r="A30" s="14"/>
      <c r="B30" s="37"/>
      <c r="C30" s="37"/>
      <c r="D30" s="37"/>
      <c r="E30" s="37"/>
      <c r="F30" s="37"/>
      <c r="G30" s="37"/>
      <c r="H30" s="37"/>
      <c r="I30" s="37"/>
      <c r="J30" s="37"/>
      <c r="K30" s="14"/>
      <c r="L30" s="14"/>
      <c r="M30" s="14"/>
      <c r="N30" s="14"/>
      <c r="O30" s="14"/>
      <c r="P30" s="14"/>
      <c r="Q30" s="14"/>
      <c r="R30" s="14"/>
      <c r="S30" s="14"/>
    </row>
    <row r="31" spans="1:19">
      <c r="A31" s="14"/>
      <c r="B31" s="37"/>
      <c r="C31" s="37"/>
      <c r="D31" s="37"/>
      <c r="E31" s="37"/>
      <c r="F31" s="37"/>
      <c r="G31" s="37"/>
      <c r="H31" s="37"/>
      <c r="I31" s="37"/>
      <c r="J31" s="37"/>
      <c r="K31" s="14"/>
      <c r="L31" s="14"/>
      <c r="M31" s="14"/>
      <c r="N31" s="14"/>
      <c r="O31" s="14"/>
      <c r="P31" s="14"/>
      <c r="Q31" s="14"/>
      <c r="R31" s="14"/>
      <c r="S31" s="14"/>
    </row>
    <row r="32" spans="1:19">
      <c r="A32" s="14"/>
      <c r="B32" s="17"/>
      <c r="C32" s="17"/>
      <c r="D32" s="17"/>
      <c r="E32" s="17"/>
      <c r="F32" s="17"/>
      <c r="G32" s="17"/>
      <c r="H32" s="17"/>
      <c r="I32" s="17"/>
      <c r="J32" s="17"/>
      <c r="K32" s="14"/>
      <c r="L32" s="14"/>
      <c r="M32" s="14"/>
      <c r="N32" s="14"/>
      <c r="O32" s="14"/>
      <c r="P32" s="14"/>
      <c r="Q32" s="14"/>
      <c r="R32" s="14"/>
      <c r="S32" s="14"/>
    </row>
    <row r="33" spans="1:19">
      <c r="A33" s="14"/>
      <c r="B33" s="17"/>
      <c r="C33" s="17"/>
      <c r="D33" s="17"/>
      <c r="E33" s="17"/>
      <c r="F33" s="17"/>
      <c r="G33" s="17"/>
      <c r="H33" s="17"/>
      <c r="I33" s="17"/>
      <c r="J33" s="17"/>
      <c r="K33" s="14"/>
      <c r="L33" s="14"/>
      <c r="M33" s="14"/>
      <c r="N33" s="14"/>
      <c r="O33" s="14"/>
      <c r="P33" s="14"/>
      <c r="Q33" s="14"/>
      <c r="R33" s="14"/>
      <c r="S33" s="14"/>
    </row>
    <row r="34" spans="1:19">
      <c r="A34" s="14"/>
      <c r="B34" s="17"/>
      <c r="C34" s="17"/>
      <c r="D34" s="17"/>
      <c r="E34" s="17"/>
      <c r="F34" s="17"/>
      <c r="G34" s="17"/>
      <c r="H34" s="17"/>
      <c r="I34" s="17"/>
      <c r="J34" s="17"/>
      <c r="K34" s="14"/>
      <c r="L34" s="14"/>
      <c r="M34" s="14"/>
      <c r="N34" s="14"/>
      <c r="O34" s="14"/>
      <c r="P34" s="14"/>
      <c r="Q34" s="14"/>
      <c r="R34" s="14"/>
      <c r="S34" s="14"/>
    </row>
    <row r="35" spans="1:19">
      <c r="A35" s="14"/>
      <c r="B35" s="17"/>
      <c r="C35" s="17"/>
      <c r="D35" s="17"/>
      <c r="E35" s="17"/>
      <c r="F35" s="17"/>
      <c r="G35" s="17"/>
      <c r="H35" s="17"/>
      <c r="I35" s="17"/>
      <c r="J35" s="17"/>
      <c r="K35" s="14"/>
      <c r="L35" s="14"/>
      <c r="M35" s="14"/>
      <c r="N35" s="14"/>
      <c r="O35" s="14"/>
      <c r="P35" s="14"/>
      <c r="Q35" s="14"/>
      <c r="R35" s="14"/>
      <c r="S35" s="14"/>
    </row>
    <row r="36" spans="1:19">
      <c r="A36" s="14"/>
      <c r="B36" s="17"/>
      <c r="C36" s="17"/>
      <c r="D36" s="17"/>
      <c r="E36" s="17"/>
      <c r="F36" s="17"/>
      <c r="G36" s="17"/>
      <c r="H36" s="17"/>
      <c r="I36" s="17"/>
      <c r="J36" s="17"/>
      <c r="K36" s="14"/>
      <c r="L36" s="14"/>
      <c r="M36" s="14"/>
      <c r="N36" s="14"/>
      <c r="O36" s="14"/>
      <c r="P36" s="14"/>
      <c r="Q36" s="14"/>
      <c r="R36" s="14"/>
      <c r="S36" s="14"/>
    </row>
    <row r="37" spans="1:19">
      <c r="A37" s="14"/>
      <c r="B37" s="17"/>
      <c r="C37" s="17"/>
      <c r="D37" s="17"/>
      <c r="E37" s="17"/>
      <c r="F37" s="17"/>
      <c r="G37" s="17"/>
      <c r="H37" s="17"/>
      <c r="I37" s="17"/>
      <c r="J37" s="17"/>
      <c r="K37" s="14"/>
      <c r="L37" s="14"/>
      <c r="M37" s="14"/>
      <c r="N37" s="14"/>
      <c r="O37" s="14"/>
      <c r="P37" s="14"/>
      <c r="Q37" s="14"/>
      <c r="R37" s="14"/>
      <c r="S37" s="14"/>
    </row>
    <row r="38" spans="1:19">
      <c r="A38" s="14"/>
      <c r="B38" s="17"/>
      <c r="C38" s="17"/>
      <c r="D38" s="17"/>
      <c r="E38" s="17"/>
      <c r="F38" s="17"/>
      <c r="G38" s="17"/>
      <c r="H38" s="17"/>
      <c r="I38" s="17"/>
      <c r="J38" s="17"/>
      <c r="K38" s="14"/>
      <c r="L38" s="14"/>
      <c r="M38" s="14"/>
      <c r="N38" s="14"/>
      <c r="O38" s="14"/>
      <c r="P38" s="14"/>
      <c r="Q38" s="14"/>
      <c r="R38" s="14"/>
      <c r="S38" s="14"/>
    </row>
    <row r="39" spans="1:19">
      <c r="A39" s="14"/>
      <c r="B39" s="17"/>
      <c r="C39" s="17"/>
      <c r="D39" s="17"/>
      <c r="E39" s="17"/>
      <c r="F39" s="17"/>
      <c r="G39" s="17"/>
      <c r="H39" s="17"/>
      <c r="I39" s="17"/>
      <c r="J39" s="17"/>
      <c r="K39" s="14"/>
      <c r="L39" s="14"/>
      <c r="M39" s="14"/>
      <c r="N39" s="14"/>
      <c r="O39" s="14"/>
      <c r="P39" s="14"/>
      <c r="Q39" s="14"/>
      <c r="R39" s="14"/>
      <c r="S39" s="14"/>
    </row>
    <row r="40" spans="1:19">
      <c r="A40" s="14"/>
      <c r="B40" s="17"/>
      <c r="C40" s="17"/>
      <c r="D40" s="17"/>
      <c r="E40" s="17"/>
      <c r="F40" s="17"/>
      <c r="G40" s="17"/>
      <c r="H40" s="17"/>
      <c r="I40" s="17"/>
      <c r="J40" s="17"/>
      <c r="K40" s="14"/>
      <c r="L40" s="14"/>
      <c r="M40" s="14"/>
      <c r="N40" s="14"/>
      <c r="O40" s="14"/>
      <c r="P40" s="14"/>
      <c r="Q40" s="14"/>
      <c r="R40" s="14"/>
      <c r="S40" s="14"/>
    </row>
    <row r="41" spans="1:19">
      <c r="A41" s="14"/>
      <c r="B41" s="17"/>
      <c r="C41" s="17"/>
      <c r="D41" s="17"/>
      <c r="E41" s="17"/>
      <c r="F41" s="17"/>
      <c r="G41" s="17"/>
      <c r="H41" s="17"/>
      <c r="I41" s="17"/>
      <c r="J41" s="17"/>
      <c r="K41" s="14"/>
      <c r="L41" s="14"/>
      <c r="M41" s="14"/>
      <c r="N41" s="14"/>
      <c r="O41" s="14"/>
      <c r="P41" s="14"/>
      <c r="Q41" s="14"/>
      <c r="R41" s="14"/>
      <c r="S41" s="14"/>
    </row>
    <row r="42" spans="1:19">
      <c r="A42" s="14"/>
      <c r="B42" s="17"/>
      <c r="C42" s="17"/>
      <c r="D42" s="17"/>
      <c r="E42" s="17"/>
      <c r="F42" s="17"/>
      <c r="G42" s="17"/>
      <c r="H42" s="17"/>
      <c r="I42" s="17"/>
      <c r="J42" s="17"/>
      <c r="K42" s="14"/>
      <c r="L42" s="14"/>
      <c r="M42" s="14"/>
      <c r="N42" s="14"/>
      <c r="O42" s="14"/>
      <c r="P42" s="14"/>
      <c r="Q42" s="14"/>
      <c r="R42" s="14"/>
      <c r="S42" s="14"/>
    </row>
    <row r="43" spans="1:19">
      <c r="A43" s="14"/>
      <c r="B43" s="17"/>
      <c r="C43" s="17"/>
      <c r="D43" s="17"/>
      <c r="E43" s="17"/>
      <c r="F43" s="17"/>
      <c r="G43" s="17"/>
      <c r="H43" s="17"/>
      <c r="I43" s="17"/>
      <c r="J43" s="17"/>
      <c r="K43" s="14"/>
      <c r="L43" s="14"/>
      <c r="M43" s="14"/>
      <c r="N43" s="14"/>
      <c r="O43" s="14"/>
      <c r="P43" s="14"/>
      <c r="Q43" s="14"/>
      <c r="R43" s="14"/>
      <c r="S43" s="14"/>
    </row>
    <row r="44" spans="1:19">
      <c r="A44" s="14"/>
      <c r="B44" s="17"/>
      <c r="C44" s="17"/>
      <c r="D44" s="17"/>
      <c r="E44" s="17"/>
      <c r="F44" s="17"/>
      <c r="G44" s="17"/>
      <c r="H44" s="17"/>
      <c r="I44" s="17"/>
      <c r="J44" s="17"/>
      <c r="K44" s="14"/>
      <c r="L44" s="14"/>
      <c r="M44" s="14"/>
      <c r="N44" s="14"/>
      <c r="O44" s="14"/>
      <c r="P44" s="14"/>
      <c r="Q44" s="14"/>
      <c r="R44" s="14"/>
      <c r="S44" s="14"/>
    </row>
    <row r="45" spans="1:19">
      <c r="A45" s="14"/>
      <c r="B45" s="17"/>
      <c r="C45" s="17"/>
      <c r="D45" s="17"/>
      <c r="E45" s="17"/>
      <c r="F45" s="17"/>
      <c r="G45" s="17"/>
      <c r="H45" s="17"/>
      <c r="I45" s="17"/>
      <c r="J45" s="17"/>
      <c r="K45" s="14"/>
      <c r="L45" s="14"/>
      <c r="M45" s="14"/>
      <c r="N45" s="14"/>
      <c r="O45" s="14"/>
      <c r="P45" s="14"/>
      <c r="Q45" s="14"/>
      <c r="R45" s="14"/>
      <c r="S45" s="14"/>
    </row>
    <row r="46" spans="1:19">
      <c r="A46" s="14"/>
      <c r="B46" s="17"/>
      <c r="C46" s="17"/>
      <c r="D46" s="17"/>
      <c r="E46" s="17"/>
      <c r="F46" s="17"/>
      <c r="G46" s="17"/>
      <c r="H46" s="17"/>
      <c r="I46" s="17"/>
      <c r="J46" s="17"/>
      <c r="K46" s="14"/>
      <c r="L46" s="14"/>
      <c r="M46" s="14"/>
      <c r="N46" s="14"/>
      <c r="O46" s="14"/>
      <c r="P46" s="14"/>
      <c r="Q46" s="14"/>
      <c r="R46" s="14"/>
      <c r="S46" s="14"/>
    </row>
    <row r="47" spans="1:19">
      <c r="A47" s="14"/>
      <c r="B47" s="17"/>
      <c r="C47" s="17"/>
      <c r="D47" s="17"/>
      <c r="E47" s="17"/>
      <c r="F47" s="17"/>
      <c r="G47" s="17"/>
      <c r="H47" s="17"/>
      <c r="I47" s="17"/>
      <c r="J47" s="17"/>
      <c r="K47" s="14"/>
      <c r="L47" s="14"/>
      <c r="M47" s="14"/>
      <c r="N47" s="14"/>
      <c r="O47" s="14"/>
      <c r="P47" s="14"/>
      <c r="Q47" s="14"/>
      <c r="R47" s="14"/>
      <c r="S47" s="14"/>
    </row>
    <row r="48" spans="1:19">
      <c r="A48" s="14"/>
      <c r="B48" s="17"/>
      <c r="C48" s="17"/>
      <c r="D48" s="17"/>
      <c r="E48" s="17"/>
      <c r="F48" s="17"/>
      <c r="G48" s="17"/>
      <c r="H48" s="17"/>
      <c r="I48" s="17"/>
      <c r="J48" s="17"/>
      <c r="K48" s="14"/>
      <c r="L48" s="14"/>
      <c r="M48" s="14"/>
      <c r="N48" s="14"/>
      <c r="O48" s="14"/>
      <c r="P48" s="14"/>
      <c r="Q48" s="14"/>
      <c r="R48" s="14"/>
      <c r="S48" s="14"/>
    </row>
    <row r="49" spans="1:19">
      <c r="A49" s="14"/>
      <c r="B49" s="17"/>
      <c r="C49" s="17"/>
      <c r="D49" s="17"/>
      <c r="E49" s="17"/>
      <c r="F49" s="17"/>
      <c r="G49" s="17"/>
      <c r="H49" s="17"/>
      <c r="I49" s="17"/>
      <c r="J49" s="17"/>
      <c r="K49" s="14"/>
      <c r="L49" s="14"/>
      <c r="M49" s="14"/>
      <c r="N49" s="14"/>
      <c r="O49" s="14"/>
      <c r="P49" s="14"/>
      <c r="Q49" s="14"/>
      <c r="R49" s="14"/>
      <c r="S49" s="14"/>
    </row>
    <row r="50" spans="1:19">
      <c r="A50" s="14"/>
      <c r="B50" s="17"/>
      <c r="C50" s="17"/>
      <c r="D50" s="17"/>
      <c r="E50" s="17"/>
      <c r="F50" s="17"/>
      <c r="G50" s="17"/>
      <c r="H50" s="17"/>
      <c r="I50" s="17"/>
      <c r="J50" s="17"/>
      <c r="K50" s="14"/>
      <c r="L50" s="14"/>
      <c r="M50" s="14"/>
      <c r="N50" s="14"/>
      <c r="O50" s="14"/>
      <c r="P50" s="14"/>
      <c r="Q50" s="14"/>
      <c r="R50" s="14"/>
      <c r="S50" s="14"/>
    </row>
  </sheetData>
  <sheetProtection algorithmName="SHA-512" hashValue="qRJe3yFpTdOa0B7FMYXnIuRGkGvc6htuxOMgqTvJfSjF9v5MQ94QXpdGUhhbEFBMZiMG/gGs6i37iHRq1TrYiA==" saltValue="GqXLqhSa1h0NlmnzJagkjQ==" spinCount="100000" sheet="1" formatCells="0" formatColumns="0" formatRows="0"/>
  <mergeCells count="7">
    <mergeCell ref="A1:M1"/>
    <mergeCell ref="A2:M2"/>
    <mergeCell ref="A3:M3"/>
    <mergeCell ref="B5:D5"/>
    <mergeCell ref="E5:G5"/>
    <mergeCell ref="H5:J5"/>
    <mergeCell ref="K5:M5"/>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58" fitToWidth="0" fitToHeight="0"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6DA9-3921-4233-9D56-E995915F9508}">
  <dimension ref="D2:D11"/>
  <sheetViews>
    <sheetView workbookViewId="0"/>
  </sheetViews>
  <sheetFormatPr defaultRowHeight="15.6"/>
  <cols>
    <col min="1" max="1" width="21.19921875" customWidth="1"/>
    <col min="2" max="2" width="12.59765625" bestFit="1" customWidth="1"/>
    <col min="3" max="3" width="9.3984375" bestFit="1" customWidth="1"/>
    <col min="4" max="4" width="8.3984375" bestFit="1" customWidth="1"/>
  </cols>
  <sheetData>
    <row r="2" spans="4:4">
      <c r="D2" s="390"/>
    </row>
    <row r="3" spans="4:4">
      <c r="D3" s="390"/>
    </row>
    <row r="4" spans="4:4">
      <c r="D4" s="390"/>
    </row>
    <row r="5" spans="4:4">
      <c r="D5" s="390"/>
    </row>
    <row r="6" spans="4:4">
      <c r="D6" s="390"/>
    </row>
    <row r="7" spans="4:4">
      <c r="D7" s="390"/>
    </row>
    <row r="8" spans="4:4">
      <c r="D8" s="390"/>
    </row>
    <row r="9" spans="4:4">
      <c r="D9" s="390"/>
    </row>
    <row r="10" spans="4:4">
      <c r="D10" s="390"/>
    </row>
    <row r="11" spans="4:4">
      <c r="D11" s="390"/>
    </row>
  </sheetData>
  <phoneticPr fontId="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4950-B864-4B9A-9492-D8214A9911DE}">
  <sheetPr>
    <outlinePr applyStyles="1"/>
    <pageSetUpPr fitToPage="1"/>
  </sheetPr>
  <dimension ref="B1:W105"/>
  <sheetViews>
    <sheetView tabSelected="1" topLeftCell="A79" zoomScale="55" zoomScaleNormal="55" workbookViewId="0">
      <selection sqref="A1:R96"/>
    </sheetView>
  </sheetViews>
  <sheetFormatPr defaultRowHeight="15.6" outlineLevelRow="1" outlineLevelCol="1"/>
  <cols>
    <col min="2" max="2" width="9.796875" customWidth="1"/>
    <col min="3" max="3" width="46.59765625" customWidth="1"/>
    <col min="4" max="4" width="2.8984375" customWidth="1"/>
    <col min="5" max="5" width="9" customWidth="1" outlineLevel="1"/>
    <col min="6" max="6" width="9.296875" customWidth="1" outlineLevel="1"/>
    <col min="7" max="16" width="8.796875" customWidth="1" outlineLevel="1"/>
    <col min="17" max="17" width="10.19921875" bestFit="1" customWidth="1"/>
    <col min="20" max="20" width="11" bestFit="1" customWidth="1"/>
  </cols>
  <sheetData>
    <row r="1" spans="2:23" ht="49.8">
      <c r="B1" s="408" t="s">
        <v>273</v>
      </c>
      <c r="C1" s="409"/>
      <c r="D1" s="409"/>
      <c r="E1" s="409"/>
      <c r="F1" s="409"/>
      <c r="G1" s="409"/>
      <c r="H1" s="409"/>
      <c r="I1" s="409"/>
      <c r="J1" s="409"/>
      <c r="K1" s="409"/>
      <c r="L1" s="409"/>
      <c r="M1" s="409"/>
      <c r="N1" s="409"/>
      <c r="O1" s="409"/>
      <c r="P1" s="409"/>
      <c r="Q1" s="437"/>
      <c r="R1" s="409"/>
      <c r="U1" s="100"/>
    </row>
    <row r="2" spans="2:23" ht="28.8">
      <c r="B2" s="341"/>
      <c r="C2" s="341"/>
      <c r="D2" s="341"/>
      <c r="E2" s="341"/>
      <c r="F2" s="341"/>
      <c r="G2" s="341"/>
      <c r="H2" s="341"/>
      <c r="I2" s="341"/>
      <c r="J2" s="341"/>
      <c r="K2" s="341"/>
      <c r="L2" s="341"/>
      <c r="M2" s="341"/>
      <c r="N2" s="341"/>
      <c r="O2" s="341"/>
      <c r="P2" s="430" t="s">
        <v>302</v>
      </c>
      <c r="Q2" s="438"/>
      <c r="R2" s="429"/>
    </row>
    <row r="3" spans="2:23" ht="31.2">
      <c r="B3" s="374" t="s">
        <v>251</v>
      </c>
      <c r="C3" s="445" t="str">
        <f>人事費!A7</f>
        <v>1.阮氏泉</v>
      </c>
      <c r="E3" t="s">
        <v>303</v>
      </c>
      <c r="F3" t="s">
        <v>304</v>
      </c>
      <c r="G3" t="s">
        <v>305</v>
      </c>
      <c r="H3" t="s">
        <v>306</v>
      </c>
      <c r="I3" t="s">
        <v>307</v>
      </c>
      <c r="J3" t="s">
        <v>308</v>
      </c>
      <c r="K3" t="s">
        <v>309</v>
      </c>
      <c r="L3" t="s">
        <v>310</v>
      </c>
      <c r="M3" t="s">
        <v>311</v>
      </c>
      <c r="N3" t="s">
        <v>312</v>
      </c>
      <c r="O3" t="s">
        <v>313</v>
      </c>
      <c r="P3" t="s">
        <v>314</v>
      </c>
      <c r="Q3" s="439"/>
    </row>
    <row r="4" spans="2:23" ht="22.8" thickBot="1">
      <c r="B4" s="374"/>
      <c r="C4" s="403" t="s">
        <v>265</v>
      </c>
      <c r="D4" s="2"/>
      <c r="Q4" s="439" t="s">
        <v>317</v>
      </c>
      <c r="R4" s="447" t="s">
        <v>322</v>
      </c>
    </row>
    <row r="5" spans="2:23">
      <c r="B5" s="374"/>
      <c r="C5" s="410" t="s">
        <v>274</v>
      </c>
      <c r="D5" s="343" t="s">
        <v>254</v>
      </c>
      <c r="E5" s="387">
        <v>0.25</v>
      </c>
      <c r="F5" s="344"/>
      <c r="G5" s="344"/>
      <c r="H5" s="344"/>
      <c r="I5" s="344"/>
      <c r="J5" s="387">
        <v>0.25</v>
      </c>
      <c r="K5" s="344"/>
      <c r="L5" s="344"/>
      <c r="M5" s="344"/>
      <c r="N5" s="344"/>
      <c r="O5" s="344"/>
      <c r="P5" s="344"/>
      <c r="Q5" s="440">
        <f>SUM(E5:P5)*40</f>
        <v>20</v>
      </c>
      <c r="R5" s="346">
        <f>Q5+Q6</f>
        <v>1065</v>
      </c>
    </row>
    <row r="6" spans="2:23">
      <c r="B6" s="374"/>
      <c r="C6" s="411"/>
      <c r="D6" s="343" t="s">
        <v>255</v>
      </c>
      <c r="E6" s="393">
        <v>500</v>
      </c>
      <c r="F6" s="345"/>
      <c r="G6" s="342"/>
      <c r="H6" s="345"/>
      <c r="I6" s="345"/>
      <c r="J6" s="393">
        <v>545</v>
      </c>
      <c r="K6" s="345"/>
      <c r="L6" s="345"/>
      <c r="M6" s="345"/>
      <c r="N6" s="345"/>
      <c r="O6" s="345"/>
      <c r="P6" s="345"/>
      <c r="Q6" s="441">
        <f>SUM(E6:P6)</f>
        <v>1045</v>
      </c>
      <c r="R6" s="401">
        <f>R5/F105</f>
        <v>0.26321382848838643</v>
      </c>
      <c r="T6" s="433"/>
      <c r="U6" s="433"/>
      <c r="V6" s="346"/>
    </row>
    <row r="7" spans="2:23">
      <c r="B7" s="374"/>
      <c r="C7" s="412" t="s">
        <v>275</v>
      </c>
      <c r="D7" s="343" t="s">
        <v>254</v>
      </c>
      <c r="E7" s="344"/>
      <c r="F7" s="387">
        <v>0.4</v>
      </c>
      <c r="G7" s="387">
        <v>0.4</v>
      </c>
      <c r="H7" s="387">
        <v>0.4</v>
      </c>
      <c r="I7" s="387">
        <v>0.4</v>
      </c>
      <c r="J7" s="387">
        <v>0.4</v>
      </c>
      <c r="K7" s="387">
        <v>0.4</v>
      </c>
      <c r="L7" s="387">
        <v>0.4</v>
      </c>
      <c r="M7" s="387">
        <v>0.4</v>
      </c>
      <c r="N7" s="387">
        <v>0.4</v>
      </c>
      <c r="O7" s="387">
        <v>0.4</v>
      </c>
      <c r="P7" s="387">
        <v>0.5</v>
      </c>
      <c r="Q7" s="440">
        <f>SUM(F7:P7)*40</f>
        <v>180</v>
      </c>
      <c r="R7" s="346">
        <f t="shared" ref="R7" si="0">Q7+Q8</f>
        <v>280</v>
      </c>
      <c r="U7" s="340"/>
      <c r="V7" s="346"/>
    </row>
    <row r="8" spans="2:23">
      <c r="B8" s="374"/>
      <c r="C8" s="412"/>
      <c r="D8" s="343" t="s">
        <v>255</v>
      </c>
      <c r="E8" s="345"/>
      <c r="F8" s="380">
        <v>10</v>
      </c>
      <c r="G8" s="380">
        <v>10</v>
      </c>
      <c r="H8" s="380">
        <v>10</v>
      </c>
      <c r="I8" s="380">
        <v>10</v>
      </c>
      <c r="J8" s="380">
        <v>10</v>
      </c>
      <c r="K8" s="380">
        <v>10</v>
      </c>
      <c r="L8" s="380">
        <v>10</v>
      </c>
      <c r="M8" s="380">
        <v>10</v>
      </c>
      <c r="N8" s="380">
        <v>10</v>
      </c>
      <c r="O8" s="380">
        <v>10</v>
      </c>
      <c r="P8" s="399"/>
      <c r="Q8" s="441">
        <f t="shared" ref="Q8" si="1">SUM(E8:P8)</f>
        <v>100</v>
      </c>
      <c r="R8" s="401">
        <f>R7/F105</f>
        <v>6.9201757724646207E-2</v>
      </c>
      <c r="T8" s="340"/>
      <c r="U8" s="400"/>
      <c r="V8" s="340"/>
    </row>
    <row r="9" spans="2:23">
      <c r="B9" s="374"/>
      <c r="C9" s="411" t="s">
        <v>276</v>
      </c>
      <c r="D9" s="343" t="s">
        <v>254</v>
      </c>
      <c r="E9" s="344"/>
      <c r="F9" s="387">
        <v>0.25</v>
      </c>
      <c r="G9" s="387">
        <v>0.25</v>
      </c>
      <c r="H9" s="387">
        <v>0.25</v>
      </c>
      <c r="I9" s="387">
        <v>0.25</v>
      </c>
      <c r="J9" s="344"/>
      <c r="K9" s="344"/>
      <c r="L9" s="344"/>
      <c r="M9" s="344"/>
      <c r="N9" s="344"/>
      <c r="O9" s="344"/>
      <c r="P9" s="344"/>
      <c r="Q9" s="440">
        <f t="shared" ref="Q9" si="2">SUM(F9:P9)*40</f>
        <v>40</v>
      </c>
      <c r="R9" s="346">
        <f t="shared" ref="R9" si="3">Q9+Q10</f>
        <v>40</v>
      </c>
      <c r="T9" s="340"/>
      <c r="U9" s="400"/>
      <c r="V9" s="340"/>
      <c r="W9" s="340"/>
    </row>
    <row r="10" spans="2:23">
      <c r="B10" s="374"/>
      <c r="C10" s="411"/>
      <c r="D10" s="343" t="s">
        <v>255</v>
      </c>
      <c r="E10" s="345"/>
      <c r="F10" s="345"/>
      <c r="G10" s="345"/>
      <c r="H10" s="345"/>
      <c r="I10" s="345"/>
      <c r="J10" s="345"/>
      <c r="K10" s="345"/>
      <c r="L10" s="345"/>
      <c r="M10" s="345"/>
      <c r="N10" s="345"/>
      <c r="O10" s="345"/>
      <c r="P10" s="345"/>
      <c r="Q10" s="441">
        <f t="shared" ref="Q10" si="4">SUM(E10:P10)</f>
        <v>0</v>
      </c>
      <c r="R10" s="401">
        <f>R9/F105</f>
        <v>9.8859653892351719E-3</v>
      </c>
    </row>
    <row r="11" spans="2:23">
      <c r="B11" s="374"/>
      <c r="C11" s="411" t="s">
        <v>277</v>
      </c>
      <c r="D11" s="343" t="s">
        <v>254</v>
      </c>
      <c r="E11" s="387">
        <v>0.25</v>
      </c>
      <c r="F11" s="387">
        <v>0.25</v>
      </c>
      <c r="G11" s="387">
        <v>0.25</v>
      </c>
      <c r="H11" s="387">
        <v>0.25</v>
      </c>
      <c r="I11" s="344"/>
      <c r="J11" s="344"/>
      <c r="K11" s="344"/>
      <c r="L11" s="344"/>
      <c r="M11" s="344"/>
      <c r="N11" s="344"/>
      <c r="O11" s="344"/>
      <c r="P11" s="344"/>
      <c r="Q11" s="440">
        <f>SUM(E11:P11)*40</f>
        <v>40</v>
      </c>
      <c r="R11" s="346">
        <f>Q11+Q8</f>
        <v>140</v>
      </c>
      <c r="T11" s="433"/>
      <c r="U11" s="433"/>
      <c r="V11" s="346"/>
    </row>
    <row r="12" spans="2:23">
      <c r="B12" s="374"/>
      <c r="C12" s="411"/>
      <c r="D12" s="343" t="s">
        <v>255</v>
      </c>
      <c r="E12" s="345"/>
      <c r="F12" s="345"/>
      <c r="G12" s="345"/>
      <c r="H12" s="345"/>
      <c r="I12" s="345"/>
      <c r="J12" s="345"/>
      <c r="K12" s="345"/>
      <c r="L12" s="345"/>
      <c r="M12" s="345"/>
      <c r="N12" s="345"/>
      <c r="O12" s="345"/>
      <c r="P12" s="345"/>
      <c r="Q12" s="441">
        <f t="shared" ref="Q12" si="5">SUM(E12:P12)</f>
        <v>0</v>
      </c>
      <c r="R12" s="401">
        <f>R11/F105</f>
        <v>3.4600878862323103E-2</v>
      </c>
      <c r="U12" s="340"/>
      <c r="V12" s="346"/>
    </row>
    <row r="13" spans="2:23">
      <c r="B13" s="374"/>
      <c r="C13" s="411" t="s">
        <v>278</v>
      </c>
      <c r="D13" s="343" t="s">
        <v>254</v>
      </c>
      <c r="E13" s="344"/>
      <c r="F13" s="344"/>
      <c r="G13" s="344"/>
      <c r="H13" s="344"/>
      <c r="I13" s="344"/>
      <c r="J13" s="387">
        <v>0.25</v>
      </c>
      <c r="K13" s="387">
        <v>0.25</v>
      </c>
      <c r="L13" s="344"/>
      <c r="M13" s="344"/>
      <c r="N13" s="344"/>
      <c r="O13" s="344"/>
      <c r="P13" s="344"/>
      <c r="Q13" s="440">
        <f>SUM(F13:P13)*40</f>
        <v>20</v>
      </c>
      <c r="R13" s="346">
        <f>Q13+Q67</f>
        <v>175.39999999999998</v>
      </c>
      <c r="T13" s="434"/>
      <c r="U13" s="400"/>
      <c r="V13" s="340"/>
    </row>
    <row r="14" spans="2:23">
      <c r="B14" s="374"/>
      <c r="C14" s="411"/>
      <c r="D14" s="343" t="s">
        <v>255</v>
      </c>
      <c r="E14" s="345"/>
      <c r="F14" s="345"/>
      <c r="G14" s="345"/>
      <c r="H14" s="345"/>
      <c r="I14" s="345"/>
      <c r="J14" s="345"/>
      <c r="K14" s="345"/>
      <c r="L14" s="345"/>
      <c r="M14" s="345"/>
      <c r="N14" s="345"/>
      <c r="O14" s="345"/>
      <c r="P14" s="345"/>
      <c r="Q14" s="441">
        <f t="shared" ref="Q14" si="6">SUM(E14:P14)</f>
        <v>0</v>
      </c>
      <c r="R14" s="401">
        <f>R13/F105</f>
        <v>4.3349958231796222E-2</v>
      </c>
      <c r="T14" s="434"/>
      <c r="U14" s="400"/>
      <c r="V14" s="340"/>
      <c r="W14" s="340"/>
    </row>
    <row r="15" spans="2:23">
      <c r="B15" s="374"/>
      <c r="C15" s="412" t="s">
        <v>279</v>
      </c>
      <c r="D15" s="343" t="s">
        <v>254</v>
      </c>
      <c r="E15" s="344"/>
      <c r="F15" s="344"/>
      <c r="G15" s="344"/>
      <c r="H15" s="344"/>
      <c r="I15" s="344"/>
      <c r="J15" s="344"/>
      <c r="K15" s="344"/>
      <c r="L15" s="344"/>
      <c r="M15" s="344"/>
      <c r="N15" s="344"/>
      <c r="O15" s="387">
        <v>0.25</v>
      </c>
      <c r="P15" s="387">
        <v>0.25</v>
      </c>
      <c r="Q15" s="440">
        <f t="shared" ref="Q15" si="7">SUM(F15:P15)*40</f>
        <v>20</v>
      </c>
      <c r="R15" s="346">
        <f t="shared" ref="R15" si="8">Q15+Q16</f>
        <v>20</v>
      </c>
    </row>
    <row r="16" spans="2:23" ht="16.2" thickBot="1">
      <c r="B16" s="374"/>
      <c r="C16" s="413"/>
      <c r="D16" s="343" t="s">
        <v>255</v>
      </c>
      <c r="E16" s="345"/>
      <c r="F16" s="345"/>
      <c r="G16" s="345"/>
      <c r="H16" s="345"/>
      <c r="I16" s="345"/>
      <c r="J16" s="345"/>
      <c r="K16" s="345"/>
      <c r="L16" s="345"/>
      <c r="M16" s="345"/>
      <c r="N16" s="345"/>
      <c r="O16" s="345"/>
      <c r="P16" s="345"/>
      <c r="Q16" s="441">
        <f t="shared" ref="Q16" si="9">SUM(E16:P16)</f>
        <v>0</v>
      </c>
      <c r="R16" s="401">
        <f>R15/F105</f>
        <v>4.942982694617586E-3</v>
      </c>
    </row>
    <row r="17" spans="2:18" ht="16.2">
      <c r="B17" s="340"/>
      <c r="C17" s="428" t="s">
        <v>249</v>
      </c>
      <c r="E17" s="397">
        <f>E5+E7+E9+E11+E13+E15</f>
        <v>0.5</v>
      </c>
      <c r="F17" s="397">
        <f t="shared" ref="F17:P17" si="10">F5+F7+F9+F11+F13+F15</f>
        <v>0.9</v>
      </c>
      <c r="G17" s="397">
        <f t="shared" si="10"/>
        <v>0.9</v>
      </c>
      <c r="H17" s="397">
        <f t="shared" si="10"/>
        <v>0.9</v>
      </c>
      <c r="I17" s="397">
        <f t="shared" si="10"/>
        <v>0.65</v>
      </c>
      <c r="J17" s="397">
        <f t="shared" si="10"/>
        <v>0.9</v>
      </c>
      <c r="K17" s="397">
        <f t="shared" si="10"/>
        <v>0.65</v>
      </c>
      <c r="L17" s="397">
        <f t="shared" si="10"/>
        <v>0.4</v>
      </c>
      <c r="M17" s="397">
        <f t="shared" si="10"/>
        <v>0.4</v>
      </c>
      <c r="N17" s="397">
        <f t="shared" si="10"/>
        <v>0.4</v>
      </c>
      <c r="O17" s="397">
        <f t="shared" si="10"/>
        <v>0.65</v>
      </c>
      <c r="P17" s="397">
        <f t="shared" si="10"/>
        <v>0.75</v>
      </c>
      <c r="Q17" s="442">
        <f>SUM(E17:P17)</f>
        <v>8.0000000000000018</v>
      </c>
    </row>
    <row r="18" spans="2:18" ht="16.2" outlineLevel="1">
      <c r="B18" s="340"/>
      <c r="C18" s="428" t="s">
        <v>250</v>
      </c>
      <c r="E18" s="398">
        <f>E17*40</f>
        <v>20</v>
      </c>
      <c r="F18" s="398">
        <f t="shared" ref="F18:P18" si="11">F17*40</f>
        <v>36</v>
      </c>
      <c r="G18" s="398">
        <f t="shared" si="11"/>
        <v>36</v>
      </c>
      <c r="H18" s="398">
        <f t="shared" si="11"/>
        <v>36</v>
      </c>
      <c r="I18" s="398">
        <f t="shared" si="11"/>
        <v>26</v>
      </c>
      <c r="J18" s="398">
        <f t="shared" si="11"/>
        <v>36</v>
      </c>
      <c r="K18" s="398">
        <f t="shared" si="11"/>
        <v>26</v>
      </c>
      <c r="L18" s="398">
        <f t="shared" si="11"/>
        <v>16</v>
      </c>
      <c r="M18" s="398">
        <f t="shared" si="11"/>
        <v>16</v>
      </c>
      <c r="N18" s="398">
        <f t="shared" si="11"/>
        <v>16</v>
      </c>
      <c r="O18" s="398">
        <f t="shared" si="11"/>
        <v>26</v>
      </c>
      <c r="P18" s="398">
        <f t="shared" si="11"/>
        <v>30</v>
      </c>
      <c r="Q18" s="443">
        <f>Q17*40</f>
        <v>320.00000000000006</v>
      </c>
    </row>
    <row r="19" spans="2:18" ht="16.2" outlineLevel="1">
      <c r="B19" s="340"/>
      <c r="C19" s="428" t="s">
        <v>252</v>
      </c>
      <c r="E19" s="397">
        <f>E6+E8+E10+E12+E14+E16</f>
        <v>500</v>
      </c>
      <c r="F19" s="397">
        <f t="shared" ref="F19:O19" si="12">F6+F8+F10+F12+F14+F16</f>
        <v>10</v>
      </c>
      <c r="G19" s="397">
        <f>G6+G8+G10+G12+G14+G16</f>
        <v>10</v>
      </c>
      <c r="H19" s="397">
        <f t="shared" si="12"/>
        <v>10</v>
      </c>
      <c r="I19" s="397">
        <f t="shared" si="12"/>
        <v>10</v>
      </c>
      <c r="J19" s="397">
        <f t="shared" si="12"/>
        <v>555</v>
      </c>
      <c r="K19" s="397">
        <f t="shared" si="12"/>
        <v>10</v>
      </c>
      <c r="L19" s="397">
        <f t="shared" si="12"/>
        <v>10</v>
      </c>
      <c r="M19" s="397">
        <f t="shared" si="12"/>
        <v>10</v>
      </c>
      <c r="N19" s="397">
        <f t="shared" si="12"/>
        <v>10</v>
      </c>
      <c r="O19" s="397">
        <f t="shared" si="12"/>
        <v>10</v>
      </c>
      <c r="P19" s="397"/>
      <c r="Q19" s="442">
        <f t="shared" ref="Q19" si="13">Q6+Q8+Q10+Q12+Q14+Q16</f>
        <v>1145</v>
      </c>
    </row>
    <row r="20" spans="2:18" ht="30">
      <c r="B20" s="435"/>
      <c r="C20" s="436" t="s">
        <v>315</v>
      </c>
      <c r="D20" s="435"/>
      <c r="E20" s="436">
        <f>SUM(E18:E19)</f>
        <v>520</v>
      </c>
      <c r="F20" s="436">
        <f t="shared" ref="F20:O20" si="14">SUM(F18:F19)</f>
        <v>46</v>
      </c>
      <c r="G20" s="436">
        <f t="shared" si="14"/>
        <v>46</v>
      </c>
      <c r="H20" s="436">
        <f t="shared" si="14"/>
        <v>46</v>
      </c>
      <c r="I20" s="436">
        <f t="shared" si="14"/>
        <v>36</v>
      </c>
      <c r="J20" s="436">
        <f t="shared" si="14"/>
        <v>591</v>
      </c>
      <c r="K20" s="436">
        <f t="shared" si="14"/>
        <v>36</v>
      </c>
      <c r="L20" s="436">
        <f t="shared" si="14"/>
        <v>26</v>
      </c>
      <c r="M20" s="436">
        <f t="shared" si="14"/>
        <v>26</v>
      </c>
      <c r="N20" s="436">
        <f t="shared" si="14"/>
        <v>26</v>
      </c>
      <c r="O20" s="436">
        <f t="shared" si="14"/>
        <v>36</v>
      </c>
      <c r="P20" s="436" t="s">
        <v>316</v>
      </c>
      <c r="Q20" s="444">
        <f>SUM(Q18:Q19)</f>
        <v>1465</v>
      </c>
      <c r="R20" s="435"/>
    </row>
    <row r="22" spans="2:18" ht="31.2">
      <c r="B22" s="374" t="s">
        <v>251</v>
      </c>
      <c r="C22" s="445" t="str">
        <f>人事費!A9</f>
        <v>3.蔣明諺</v>
      </c>
      <c r="E22">
        <v>7</v>
      </c>
      <c r="F22">
        <v>8</v>
      </c>
      <c r="G22">
        <v>9</v>
      </c>
      <c r="H22">
        <v>10</v>
      </c>
      <c r="I22">
        <v>11</v>
      </c>
      <c r="J22">
        <v>12</v>
      </c>
      <c r="K22">
        <v>1</v>
      </c>
      <c r="L22">
        <v>2</v>
      </c>
      <c r="M22">
        <v>3</v>
      </c>
      <c r="N22">
        <v>4</v>
      </c>
      <c r="O22">
        <v>5</v>
      </c>
      <c r="P22">
        <v>6</v>
      </c>
    </row>
    <row r="23" spans="2:18" ht="22.8" thickBot="1">
      <c r="B23" s="374"/>
      <c r="C23" s="403" t="s">
        <v>321</v>
      </c>
      <c r="D23" s="2"/>
      <c r="R23" s="447" t="s">
        <v>322</v>
      </c>
    </row>
    <row r="24" spans="2:18">
      <c r="B24" s="374"/>
      <c r="C24" s="414" t="s">
        <v>280</v>
      </c>
      <c r="D24" s="343" t="s">
        <v>254</v>
      </c>
      <c r="E24" s="386">
        <v>0.25</v>
      </c>
      <c r="F24" s="386">
        <v>0.5</v>
      </c>
      <c r="G24" s="386">
        <v>0.25</v>
      </c>
      <c r="H24" s="344"/>
      <c r="I24" s="344"/>
      <c r="J24" s="344"/>
      <c r="K24" s="344"/>
      <c r="L24" s="344"/>
      <c r="M24" s="344"/>
      <c r="N24" s="344"/>
      <c r="O24" s="344"/>
      <c r="P24" s="344"/>
      <c r="Q24" s="384">
        <f>SUM(F24:P24)*40</f>
        <v>30</v>
      </c>
      <c r="R24" s="346">
        <f>Q24+Q25</f>
        <v>30</v>
      </c>
    </row>
    <row r="25" spans="2:18">
      <c r="B25" s="374"/>
      <c r="C25" s="415"/>
      <c r="D25" s="343" t="s">
        <v>255</v>
      </c>
      <c r="E25" s="345"/>
      <c r="F25" s="345"/>
      <c r="G25" s="342"/>
      <c r="H25" s="345"/>
      <c r="I25" s="345"/>
      <c r="J25" s="345"/>
      <c r="K25" s="345"/>
      <c r="L25" s="345"/>
      <c r="M25" s="345"/>
      <c r="N25" s="345"/>
      <c r="O25" s="345"/>
      <c r="P25" s="345"/>
      <c r="Q25" s="345">
        <f>SUM(E25:P25)</f>
        <v>0</v>
      </c>
      <c r="R25" s="401">
        <f>R24/F105</f>
        <v>7.4144740419263789E-3</v>
      </c>
    </row>
    <row r="26" spans="2:18">
      <c r="B26" s="374"/>
      <c r="C26" s="416" t="s">
        <v>281</v>
      </c>
      <c r="D26" s="343" t="s">
        <v>254</v>
      </c>
      <c r="E26" s="386">
        <v>0.25</v>
      </c>
      <c r="F26" s="375"/>
      <c r="G26" s="386">
        <v>0.25</v>
      </c>
      <c r="H26" s="344"/>
      <c r="I26" s="344"/>
      <c r="J26" s="344"/>
      <c r="K26" s="344"/>
      <c r="L26" s="344"/>
      <c r="M26" s="344"/>
      <c r="N26" s="344"/>
      <c r="O26" s="344"/>
      <c r="P26" s="344"/>
      <c r="Q26" s="384">
        <f t="shared" ref="Q26" si="15">SUM(F26:P26)*40</f>
        <v>10</v>
      </c>
      <c r="R26" s="346">
        <f t="shared" ref="R26" si="16">Q26+Q27</f>
        <v>10</v>
      </c>
    </row>
    <row r="27" spans="2:18">
      <c r="B27" s="374"/>
      <c r="C27" s="416"/>
      <c r="D27" s="343" t="s">
        <v>255</v>
      </c>
      <c r="E27" s="345"/>
      <c r="F27" s="345"/>
      <c r="G27" s="345"/>
      <c r="H27" s="345"/>
      <c r="I27" s="345"/>
      <c r="J27" s="345"/>
      <c r="K27" s="345"/>
      <c r="L27" s="345"/>
      <c r="M27" s="345"/>
      <c r="N27" s="345"/>
      <c r="O27" s="345"/>
      <c r="P27" s="345"/>
      <c r="Q27" s="345">
        <f t="shared" ref="Q27" si="17">SUM(E27:P27)</f>
        <v>0</v>
      </c>
      <c r="R27" s="401">
        <f>R26/F105</f>
        <v>2.471491347308793E-3</v>
      </c>
    </row>
    <row r="28" spans="2:18">
      <c r="B28" s="374"/>
      <c r="C28" s="415" t="s">
        <v>282</v>
      </c>
      <c r="D28" s="343" t="s">
        <v>254</v>
      </c>
      <c r="E28" s="344"/>
      <c r="F28" s="344"/>
      <c r="G28" s="386">
        <v>0.25</v>
      </c>
      <c r="H28" s="386">
        <v>0.25</v>
      </c>
      <c r="I28" s="344"/>
      <c r="J28" s="344"/>
      <c r="K28" s="344"/>
      <c r="L28" s="344"/>
      <c r="M28" s="344"/>
      <c r="N28" s="344"/>
      <c r="O28" s="344"/>
      <c r="P28" s="344"/>
      <c r="Q28" s="384">
        <f t="shared" ref="Q28" si="18">SUM(F28:P28)*40</f>
        <v>20</v>
      </c>
      <c r="R28" s="346">
        <f t="shared" ref="R28" si="19">Q28+Q29</f>
        <v>20</v>
      </c>
    </row>
    <row r="29" spans="2:18">
      <c r="B29" s="374"/>
      <c r="C29" s="415"/>
      <c r="D29" s="343" t="s">
        <v>255</v>
      </c>
      <c r="E29" s="345"/>
      <c r="F29" s="345"/>
      <c r="G29" s="345"/>
      <c r="H29" s="345"/>
      <c r="I29" s="345"/>
      <c r="J29" s="345"/>
      <c r="K29" s="345"/>
      <c r="L29" s="345"/>
      <c r="M29" s="345"/>
      <c r="N29" s="345"/>
      <c r="O29" s="345"/>
      <c r="P29" s="345"/>
      <c r="Q29" s="345">
        <f t="shared" ref="Q29" si="20">SUM(E29:P29)</f>
        <v>0</v>
      </c>
      <c r="R29" s="401">
        <f>R28/F105</f>
        <v>4.942982694617586E-3</v>
      </c>
    </row>
    <row r="30" spans="2:18">
      <c r="B30" s="374"/>
      <c r="C30" s="415" t="s">
        <v>283</v>
      </c>
      <c r="D30" s="343" t="s">
        <v>254</v>
      </c>
      <c r="E30" s="344"/>
      <c r="F30" s="344"/>
      <c r="G30" s="344"/>
      <c r="H30" s="344"/>
      <c r="I30" s="386">
        <v>0.25</v>
      </c>
      <c r="J30" s="386">
        <v>0.25</v>
      </c>
      <c r="K30" s="386">
        <v>0.25</v>
      </c>
      <c r="L30" s="386">
        <v>0.25</v>
      </c>
      <c r="M30" s="386">
        <v>0.25</v>
      </c>
      <c r="N30" s="386">
        <v>0.25</v>
      </c>
      <c r="O30" s="386">
        <v>0.25</v>
      </c>
      <c r="P30" s="386">
        <v>0.25</v>
      </c>
      <c r="Q30" s="384">
        <f t="shared" ref="Q30" si="21">SUM(F30:P30)*40</f>
        <v>80</v>
      </c>
      <c r="R30" s="346">
        <f>Q30+Q27</f>
        <v>80</v>
      </c>
    </row>
    <row r="31" spans="2:18">
      <c r="B31" s="374"/>
      <c r="C31" s="415"/>
      <c r="D31" s="343" t="s">
        <v>255</v>
      </c>
      <c r="E31" s="345"/>
      <c r="F31" s="345"/>
      <c r="G31" s="345"/>
      <c r="H31" s="345"/>
      <c r="I31" s="345"/>
      <c r="J31" s="345"/>
      <c r="K31" s="345"/>
      <c r="L31" s="345"/>
      <c r="M31" s="345"/>
      <c r="N31" s="345"/>
      <c r="O31" s="345"/>
      <c r="P31" s="345"/>
      <c r="Q31" s="345">
        <f t="shared" ref="Q31" si="22">SUM(E31:P31)</f>
        <v>0</v>
      </c>
      <c r="R31" s="401">
        <f>R30/F105</f>
        <v>1.9771930778470344E-2</v>
      </c>
    </row>
    <row r="32" spans="2:18">
      <c r="B32" s="374"/>
      <c r="C32" s="418" t="s">
        <v>284</v>
      </c>
      <c r="D32" s="343" t="s">
        <v>254</v>
      </c>
      <c r="E32" s="344"/>
      <c r="F32" s="344"/>
      <c r="G32" s="344"/>
      <c r="H32" s="344"/>
      <c r="I32" s="344"/>
      <c r="J32" s="344"/>
      <c r="K32" s="344"/>
      <c r="L32" s="386">
        <v>0.25</v>
      </c>
      <c r="M32" s="386">
        <v>0.25</v>
      </c>
      <c r="N32" s="344"/>
      <c r="O32" s="344"/>
      <c r="P32" s="344"/>
      <c r="Q32" s="384">
        <f t="shared" ref="Q32" si="23">SUM(F32:P32)*40</f>
        <v>20</v>
      </c>
      <c r="R32" s="346">
        <f>Q32+Q86</f>
        <v>20</v>
      </c>
    </row>
    <row r="33" spans="2:18">
      <c r="B33" s="374"/>
      <c r="C33" s="418"/>
      <c r="D33" s="343" t="s">
        <v>255</v>
      </c>
      <c r="E33" s="345"/>
      <c r="F33" s="345"/>
      <c r="G33" s="345"/>
      <c r="H33" s="345"/>
      <c r="I33" s="345"/>
      <c r="J33" s="345"/>
      <c r="K33" s="345"/>
      <c r="L33" s="345"/>
      <c r="M33" s="345"/>
      <c r="N33" s="345"/>
      <c r="O33" s="345"/>
      <c r="P33" s="345"/>
      <c r="Q33" s="345">
        <f t="shared" ref="Q33" si="24">SUM(E33:P33)</f>
        <v>0</v>
      </c>
      <c r="R33" s="401">
        <f>R32/F105</f>
        <v>4.942982694617586E-3</v>
      </c>
    </row>
    <row r="34" spans="2:18">
      <c r="B34" s="374"/>
      <c r="C34" s="416" t="s">
        <v>285</v>
      </c>
      <c r="D34" s="343" t="s">
        <v>254</v>
      </c>
      <c r="E34" s="344"/>
      <c r="F34" s="344"/>
      <c r="G34" s="344"/>
      <c r="H34" s="344"/>
      <c r="I34" s="344"/>
      <c r="J34" s="344"/>
      <c r="K34" s="344"/>
      <c r="L34" s="344"/>
      <c r="M34" s="344"/>
      <c r="N34" s="344"/>
      <c r="O34" s="386">
        <v>0.25</v>
      </c>
      <c r="P34" s="386">
        <v>0.25</v>
      </c>
      <c r="Q34" s="384">
        <f t="shared" ref="Q34" si="25">SUM(F34:P34)*40</f>
        <v>20</v>
      </c>
      <c r="R34" s="346">
        <f t="shared" ref="R34" si="26">Q34+Q35</f>
        <v>20</v>
      </c>
    </row>
    <row r="35" spans="2:18" ht="16.2" thickBot="1">
      <c r="B35" s="374"/>
      <c r="C35" s="417"/>
      <c r="D35" s="343" t="s">
        <v>255</v>
      </c>
      <c r="E35" s="345"/>
      <c r="F35" s="345"/>
      <c r="G35" s="345"/>
      <c r="H35" s="345"/>
      <c r="I35" s="345"/>
      <c r="J35" s="345"/>
      <c r="K35" s="345"/>
      <c r="L35" s="345"/>
      <c r="M35" s="345"/>
      <c r="N35" s="345"/>
      <c r="O35" s="345"/>
      <c r="P35" s="345"/>
      <c r="Q35" s="345">
        <f t="shared" ref="Q35" si="27">SUM(E35:P35)</f>
        <v>0</v>
      </c>
      <c r="R35" s="401">
        <f>R34/F105</f>
        <v>4.942982694617586E-3</v>
      </c>
    </row>
    <row r="36" spans="2:18" ht="16.2">
      <c r="B36" s="340"/>
      <c r="C36" s="428" t="s">
        <v>249</v>
      </c>
      <c r="E36" s="346">
        <f>E24+E26+E28+E30+E32+E34</f>
        <v>0.5</v>
      </c>
      <c r="F36" s="346">
        <f t="shared" ref="F36:P36" si="28">F24+F26+F28+F30+F32+F34</f>
        <v>0.5</v>
      </c>
      <c r="G36" s="346">
        <f t="shared" si="28"/>
        <v>0.75</v>
      </c>
      <c r="H36" s="346">
        <f t="shared" si="28"/>
        <v>0.25</v>
      </c>
      <c r="I36" s="346">
        <f t="shared" si="28"/>
        <v>0.25</v>
      </c>
      <c r="J36" s="346">
        <f t="shared" si="28"/>
        <v>0.25</v>
      </c>
      <c r="K36" s="346">
        <f t="shared" si="28"/>
        <v>0.25</v>
      </c>
      <c r="L36" s="346">
        <f t="shared" si="28"/>
        <v>0.5</v>
      </c>
      <c r="M36" s="346">
        <f t="shared" si="28"/>
        <v>0.5</v>
      </c>
      <c r="N36" s="346">
        <f t="shared" si="28"/>
        <v>0.25</v>
      </c>
      <c r="O36" s="346">
        <f t="shared" si="28"/>
        <v>0.5</v>
      </c>
      <c r="P36" s="346">
        <f t="shared" si="28"/>
        <v>0.5</v>
      </c>
      <c r="Q36" s="346">
        <f>SUM(E36:P36)</f>
        <v>5</v>
      </c>
    </row>
    <row r="37" spans="2:18" ht="16.2">
      <c r="B37" s="340"/>
      <c r="C37" s="428" t="s">
        <v>250</v>
      </c>
      <c r="E37">
        <f>E36*40</f>
        <v>20</v>
      </c>
      <c r="F37">
        <f t="shared" ref="F37" si="29">F36*40</f>
        <v>20</v>
      </c>
      <c r="G37">
        <f t="shared" ref="G37" si="30">G36*40</f>
        <v>30</v>
      </c>
      <c r="H37">
        <f t="shared" ref="H37" si="31">H36*40</f>
        <v>10</v>
      </c>
      <c r="I37">
        <f t="shared" ref="I37" si="32">I36*40</f>
        <v>10</v>
      </c>
      <c r="J37">
        <f t="shared" ref="J37" si="33">J36*40</f>
        <v>10</v>
      </c>
      <c r="K37">
        <f t="shared" ref="K37" si="34">K36*40</f>
        <v>10</v>
      </c>
      <c r="L37">
        <f t="shared" ref="L37" si="35">L36*40</f>
        <v>20</v>
      </c>
      <c r="M37">
        <f t="shared" ref="M37" si="36">M36*40</f>
        <v>20</v>
      </c>
      <c r="N37">
        <f t="shared" ref="N37" si="37">N36*40</f>
        <v>10</v>
      </c>
      <c r="O37">
        <f t="shared" ref="O37" si="38">O36*40</f>
        <v>20</v>
      </c>
      <c r="Q37" s="388">
        <f t="shared" ref="Q37" si="39">Q36*40</f>
        <v>200</v>
      </c>
    </row>
    <row r="38" spans="2:18" ht="16.2">
      <c r="B38" s="340"/>
      <c r="C38" s="428" t="s">
        <v>252</v>
      </c>
      <c r="E38" s="346">
        <f>E25+E27+E29+E31+E33+E35</f>
        <v>0</v>
      </c>
      <c r="F38" s="346">
        <f t="shared" ref="F38" si="40">F25+F27+F29+F31+F33+F35</f>
        <v>0</v>
      </c>
      <c r="G38" s="346">
        <f>G25+G27+G29+G31+G33+G35</f>
        <v>0</v>
      </c>
      <c r="H38" s="346">
        <f t="shared" ref="H38:O38" si="41">H25+H27+H29+H31+H33+H35</f>
        <v>0</v>
      </c>
      <c r="I38" s="346">
        <f t="shared" si="41"/>
        <v>0</v>
      </c>
      <c r="J38" s="346">
        <f t="shared" si="41"/>
        <v>0</v>
      </c>
      <c r="K38" s="346">
        <f t="shared" si="41"/>
        <v>0</v>
      </c>
      <c r="L38" s="346">
        <f t="shared" si="41"/>
        <v>0</v>
      </c>
      <c r="M38" s="346">
        <f t="shared" si="41"/>
        <v>0</v>
      </c>
      <c r="N38" s="346">
        <f t="shared" si="41"/>
        <v>0</v>
      </c>
      <c r="O38" s="346">
        <f t="shared" si="41"/>
        <v>0</v>
      </c>
      <c r="P38" s="346"/>
      <c r="Q38" s="346">
        <f t="shared" ref="Q38" si="42">Q25+Q27+Q29+Q31+Q33+Q35</f>
        <v>0</v>
      </c>
    </row>
    <row r="39" spans="2:18" ht="30">
      <c r="B39" s="340"/>
      <c r="C39" s="428" t="s">
        <v>253</v>
      </c>
      <c r="E39">
        <f>SUM(E37:E38)</f>
        <v>20</v>
      </c>
      <c r="F39">
        <f t="shared" ref="F39" si="43">SUM(F37:F38)</f>
        <v>20</v>
      </c>
      <c r="G39">
        <f t="shared" ref="G39" si="44">SUM(G37:G38)</f>
        <v>30</v>
      </c>
      <c r="H39">
        <f t="shared" ref="H39" si="45">SUM(H37:H38)</f>
        <v>10</v>
      </c>
      <c r="I39">
        <f t="shared" ref="I39" si="46">SUM(I37:I38)</f>
        <v>10</v>
      </c>
      <c r="J39">
        <f t="shared" ref="J39" si="47">SUM(J37:J38)</f>
        <v>10</v>
      </c>
      <c r="K39">
        <f t="shared" ref="K39" si="48">SUM(K37:K38)</f>
        <v>10</v>
      </c>
      <c r="L39">
        <f t="shared" ref="L39" si="49">SUM(L37:L38)</f>
        <v>20</v>
      </c>
      <c r="M39">
        <f t="shared" ref="M39" si="50">SUM(M37:M38)</f>
        <v>20</v>
      </c>
      <c r="N39">
        <f t="shared" ref="N39" si="51">SUM(N37:N38)</f>
        <v>10</v>
      </c>
      <c r="O39">
        <f t="shared" ref="O39" si="52">SUM(O37:O38)</f>
        <v>20</v>
      </c>
      <c r="P39" s="3" t="s">
        <v>256</v>
      </c>
      <c r="Q39" s="432">
        <f t="shared" ref="Q39" si="53">SUM(Q37:Q38)</f>
        <v>200</v>
      </c>
    </row>
    <row r="41" spans="2:18" ht="31.2">
      <c r="B41" s="374" t="s">
        <v>251</v>
      </c>
      <c r="C41" s="445" t="str">
        <f>人事費!A10</f>
        <v>4.林詩妘</v>
      </c>
      <c r="E41">
        <v>7</v>
      </c>
      <c r="F41">
        <v>8</v>
      </c>
      <c r="G41">
        <v>9</v>
      </c>
      <c r="H41">
        <v>10</v>
      </c>
      <c r="I41">
        <v>11</v>
      </c>
      <c r="J41">
        <v>12</v>
      </c>
      <c r="K41">
        <v>1</v>
      </c>
      <c r="L41">
        <v>2</v>
      </c>
      <c r="M41">
        <v>3</v>
      </c>
      <c r="N41">
        <v>4</v>
      </c>
      <c r="O41">
        <v>5</v>
      </c>
      <c r="P41">
        <v>6</v>
      </c>
    </row>
    <row r="42" spans="2:18" ht="22.8" thickBot="1">
      <c r="B42" s="374"/>
      <c r="C42" s="403" t="s">
        <v>320</v>
      </c>
      <c r="D42" s="2"/>
      <c r="R42" s="447" t="s">
        <v>322</v>
      </c>
    </row>
    <row r="43" spans="2:18">
      <c r="B43" s="374"/>
      <c r="C43" s="419" t="s">
        <v>287</v>
      </c>
      <c r="D43" s="343" t="s">
        <v>254</v>
      </c>
      <c r="E43" s="404">
        <v>0.5</v>
      </c>
      <c r="F43" s="344"/>
      <c r="G43" s="344"/>
      <c r="H43" s="344"/>
      <c r="I43" s="344"/>
      <c r="J43" s="344"/>
      <c r="K43" s="344"/>
      <c r="L43" s="344"/>
      <c r="M43" s="344"/>
      <c r="N43" s="344"/>
      <c r="O43" s="344"/>
      <c r="P43" s="344"/>
      <c r="Q43" s="384">
        <f>SUM(E43:P43)*40</f>
        <v>20</v>
      </c>
      <c r="R43" s="346">
        <f>Q43+Q44</f>
        <v>520</v>
      </c>
    </row>
    <row r="44" spans="2:18">
      <c r="B44" s="374"/>
      <c r="C44" s="420"/>
      <c r="D44" s="343" t="s">
        <v>255</v>
      </c>
      <c r="E44" s="405">
        <v>100</v>
      </c>
      <c r="F44" s="405">
        <v>30</v>
      </c>
      <c r="G44" s="406">
        <v>30</v>
      </c>
      <c r="H44" s="405">
        <v>30</v>
      </c>
      <c r="I44" s="405">
        <v>30</v>
      </c>
      <c r="J44" s="405">
        <v>30</v>
      </c>
      <c r="K44" s="405">
        <v>30</v>
      </c>
      <c r="L44" s="405">
        <v>30</v>
      </c>
      <c r="M44" s="405">
        <v>30</v>
      </c>
      <c r="N44" s="405">
        <v>30</v>
      </c>
      <c r="O44" s="405">
        <v>30</v>
      </c>
      <c r="P44" s="405">
        <v>100</v>
      </c>
      <c r="Q44" s="345">
        <f>SUM(E44:P44)</f>
        <v>500</v>
      </c>
      <c r="R44" s="401">
        <f>R43/F105</f>
        <v>0.12851755006005722</v>
      </c>
    </row>
    <row r="45" spans="2:18">
      <c r="B45" s="374"/>
      <c r="C45" s="421" t="s">
        <v>288</v>
      </c>
      <c r="D45" s="343" t="s">
        <v>254</v>
      </c>
      <c r="E45" s="344"/>
      <c r="F45" s="404">
        <v>0.25</v>
      </c>
      <c r="G45" s="404">
        <v>0.25</v>
      </c>
      <c r="H45" s="344"/>
      <c r="I45" s="344"/>
      <c r="J45" s="344"/>
      <c r="K45" s="344"/>
      <c r="L45" s="344"/>
      <c r="M45" s="344"/>
      <c r="N45" s="344"/>
      <c r="O45" s="344"/>
      <c r="P45" s="344"/>
      <c r="Q45" s="384">
        <f>SUM(E45:P45)*40</f>
        <v>20</v>
      </c>
      <c r="R45" s="346">
        <f t="shared" ref="R45" si="54">Q45+Q46</f>
        <v>20</v>
      </c>
    </row>
    <row r="46" spans="2:18">
      <c r="B46" s="374"/>
      <c r="C46" s="421"/>
      <c r="D46" s="343" t="s">
        <v>255</v>
      </c>
      <c r="E46" s="345"/>
      <c r="F46" s="345"/>
      <c r="G46" s="345"/>
      <c r="H46" s="345"/>
      <c r="I46" s="345"/>
      <c r="J46" s="345"/>
      <c r="K46" s="345"/>
      <c r="L46" s="345"/>
      <c r="M46" s="345"/>
      <c r="N46" s="345"/>
      <c r="O46" s="345"/>
      <c r="P46" s="345"/>
      <c r="Q46" s="345">
        <f t="shared" ref="Q46" si="55">SUM(E46:P46)</f>
        <v>0</v>
      </c>
      <c r="R46" s="401">
        <f>R45/F105</f>
        <v>4.942982694617586E-3</v>
      </c>
    </row>
    <row r="47" spans="2:18">
      <c r="B47" s="374"/>
      <c r="C47" s="420" t="s">
        <v>289</v>
      </c>
      <c r="D47" s="343" t="s">
        <v>254</v>
      </c>
      <c r="E47" s="344"/>
      <c r="F47" s="344"/>
      <c r="G47" s="344"/>
      <c r="H47" s="404">
        <v>0.5</v>
      </c>
      <c r="I47" s="344"/>
      <c r="J47" s="344"/>
      <c r="K47" s="344"/>
      <c r="L47" s="344"/>
      <c r="M47" s="344"/>
      <c r="N47" s="344"/>
      <c r="O47" s="344"/>
      <c r="P47" s="344"/>
      <c r="Q47" s="384">
        <f t="shared" ref="Q47" si="56">SUM(F47:P47)*40</f>
        <v>20</v>
      </c>
      <c r="R47" s="346">
        <f t="shared" ref="R47" si="57">Q47+Q48</f>
        <v>20</v>
      </c>
    </row>
    <row r="48" spans="2:18">
      <c r="B48" s="374"/>
      <c r="C48" s="420"/>
      <c r="D48" s="343" t="s">
        <v>255</v>
      </c>
      <c r="E48" s="345"/>
      <c r="F48" s="345"/>
      <c r="G48" s="345"/>
      <c r="H48" s="345"/>
      <c r="I48" s="345"/>
      <c r="J48" s="345"/>
      <c r="K48" s="345"/>
      <c r="L48" s="345"/>
      <c r="M48" s="345"/>
      <c r="N48" s="345"/>
      <c r="O48" s="345"/>
      <c r="P48" s="345"/>
      <c r="Q48" s="345">
        <f t="shared" ref="Q48" si="58">SUM(E48:P48)</f>
        <v>0</v>
      </c>
      <c r="R48" s="401">
        <f>R47/F105</f>
        <v>4.942982694617586E-3</v>
      </c>
    </row>
    <row r="49" spans="2:18">
      <c r="B49" s="374"/>
      <c r="C49" s="420" t="s">
        <v>290</v>
      </c>
      <c r="D49" s="343" t="s">
        <v>254</v>
      </c>
      <c r="E49" s="404">
        <v>0.25</v>
      </c>
      <c r="F49" s="404"/>
      <c r="G49" s="404">
        <v>0.25</v>
      </c>
      <c r="H49" s="344"/>
      <c r="I49" s="344"/>
      <c r="J49" s="344"/>
      <c r="K49" s="344"/>
      <c r="L49" s="344"/>
      <c r="M49" s="344"/>
      <c r="N49" s="344"/>
      <c r="O49" s="344"/>
      <c r="P49" s="344"/>
      <c r="Q49" s="384">
        <f>SUM(E49:P49)*40</f>
        <v>20</v>
      </c>
      <c r="R49" s="346">
        <f>Q49+Q46</f>
        <v>20</v>
      </c>
    </row>
    <row r="50" spans="2:18">
      <c r="B50" s="374"/>
      <c r="C50" s="420"/>
      <c r="D50" s="343" t="s">
        <v>255</v>
      </c>
      <c r="E50" s="345"/>
      <c r="F50" s="345"/>
      <c r="G50" s="345"/>
      <c r="H50" s="345"/>
      <c r="I50" s="345"/>
      <c r="J50" s="345"/>
      <c r="K50" s="345"/>
      <c r="L50" s="345"/>
      <c r="M50" s="345"/>
      <c r="N50" s="345"/>
      <c r="O50" s="345"/>
      <c r="P50" s="345"/>
      <c r="Q50" s="345">
        <f t="shared" ref="Q50" si="59">SUM(E50:P50)</f>
        <v>0</v>
      </c>
      <c r="R50" s="401">
        <f>R49/F105</f>
        <v>4.942982694617586E-3</v>
      </c>
    </row>
    <row r="51" spans="2:18">
      <c r="B51" s="374"/>
      <c r="C51" s="420" t="s">
        <v>291</v>
      </c>
      <c r="D51" s="343" t="s">
        <v>254</v>
      </c>
      <c r="E51" s="344"/>
      <c r="F51" s="344"/>
      <c r="G51" s="404">
        <v>0.1</v>
      </c>
      <c r="H51" s="404">
        <v>0.1</v>
      </c>
      <c r="I51" s="404">
        <v>0.1</v>
      </c>
      <c r="J51" s="404">
        <v>0.1</v>
      </c>
      <c r="K51" s="404">
        <v>0.1</v>
      </c>
      <c r="L51" s="344"/>
      <c r="M51" s="344"/>
      <c r="N51" s="344"/>
      <c r="O51" s="344"/>
      <c r="P51" s="344"/>
      <c r="Q51" s="384">
        <f>SUM(E51:P51)*40</f>
        <v>20</v>
      </c>
      <c r="R51" s="346">
        <f>Q51+Q105</f>
        <v>20</v>
      </c>
    </row>
    <row r="52" spans="2:18">
      <c r="B52" s="374"/>
      <c r="C52" s="420"/>
      <c r="D52" s="343" t="s">
        <v>255</v>
      </c>
      <c r="E52" s="345"/>
      <c r="F52" s="345"/>
      <c r="G52" s="345"/>
      <c r="H52" s="345"/>
      <c r="I52" s="345"/>
      <c r="J52" s="345"/>
      <c r="K52" s="345"/>
      <c r="L52" s="345"/>
      <c r="M52" s="345"/>
      <c r="N52" s="345"/>
      <c r="O52" s="345"/>
      <c r="P52" s="345"/>
      <c r="Q52" s="345">
        <f t="shared" ref="Q52" si="60">SUM(E52:P52)</f>
        <v>0</v>
      </c>
      <c r="R52" s="401">
        <f>R51/F105</f>
        <v>4.942982694617586E-3</v>
      </c>
    </row>
    <row r="53" spans="2:18">
      <c r="B53" s="374"/>
      <c r="C53" s="422" t="s">
        <v>286</v>
      </c>
      <c r="D53" s="343" t="s">
        <v>254</v>
      </c>
      <c r="E53" s="344"/>
      <c r="F53" s="344"/>
      <c r="G53" s="344"/>
      <c r="H53" s="344"/>
      <c r="I53" s="344"/>
      <c r="J53" s="344"/>
      <c r="K53" s="344"/>
      <c r="L53" s="344"/>
      <c r="M53" s="344"/>
      <c r="N53" s="344"/>
      <c r="O53" s="404">
        <v>0.25</v>
      </c>
      <c r="P53" s="404">
        <v>0.25</v>
      </c>
      <c r="Q53" s="384">
        <f>SUM(E53:P53)*40</f>
        <v>20</v>
      </c>
      <c r="R53" s="346">
        <f t="shared" ref="R53" si="61">Q53+Q54</f>
        <v>20</v>
      </c>
    </row>
    <row r="54" spans="2:18">
      <c r="B54" s="374"/>
      <c r="C54" s="422"/>
      <c r="D54" s="343" t="s">
        <v>255</v>
      </c>
      <c r="E54" s="345"/>
      <c r="F54" s="345"/>
      <c r="G54" s="345"/>
      <c r="H54" s="345"/>
      <c r="I54" s="345"/>
      <c r="J54" s="345"/>
      <c r="K54" s="345"/>
      <c r="L54" s="345"/>
      <c r="M54" s="345"/>
      <c r="N54" s="345"/>
      <c r="O54" s="345"/>
      <c r="P54" s="345"/>
      <c r="Q54" s="345">
        <f t="shared" ref="Q54" si="62">SUM(E54:P54)</f>
        <v>0</v>
      </c>
      <c r="R54" s="401">
        <f>R53/F105</f>
        <v>4.942982694617586E-3</v>
      </c>
    </row>
    <row r="55" spans="2:18" ht="16.2">
      <c r="B55" s="340"/>
      <c r="C55" s="428" t="s">
        <v>249</v>
      </c>
      <c r="E55" s="346">
        <f>E43+E45+E47+E49+E51+E53</f>
        <v>0.75</v>
      </c>
      <c r="F55" s="346">
        <f t="shared" ref="F55:P55" si="63">F43+F45+F47+F49+F51+F53</f>
        <v>0.25</v>
      </c>
      <c r="G55" s="346">
        <f t="shared" si="63"/>
        <v>0.6</v>
      </c>
      <c r="H55" s="346">
        <f t="shared" si="63"/>
        <v>0.6</v>
      </c>
      <c r="I55" s="346">
        <f t="shared" si="63"/>
        <v>0.1</v>
      </c>
      <c r="J55" s="346">
        <f t="shared" si="63"/>
        <v>0.1</v>
      </c>
      <c r="K55" s="346">
        <f>K43+K45+K47+K49+K51+K53</f>
        <v>0.1</v>
      </c>
      <c r="L55" s="346">
        <f t="shared" si="63"/>
        <v>0</v>
      </c>
      <c r="M55" s="346">
        <f t="shared" si="63"/>
        <v>0</v>
      </c>
      <c r="N55" s="346">
        <f t="shared" si="63"/>
        <v>0</v>
      </c>
      <c r="O55" s="346">
        <f t="shared" si="63"/>
        <v>0.25</v>
      </c>
      <c r="P55" s="346">
        <f t="shared" si="63"/>
        <v>0.25</v>
      </c>
      <c r="Q55" s="346">
        <f>SUM(E55:P55)</f>
        <v>3.0000000000000004</v>
      </c>
    </row>
    <row r="56" spans="2:18" ht="16.2">
      <c r="B56" s="340"/>
      <c r="C56" s="428" t="s">
        <v>250</v>
      </c>
      <c r="E56">
        <f>E55*40</f>
        <v>30</v>
      </c>
      <c r="F56">
        <f t="shared" ref="F56" si="64">F55*40</f>
        <v>10</v>
      </c>
      <c r="G56">
        <f t="shared" ref="G56" si="65">G55*40</f>
        <v>24</v>
      </c>
      <c r="H56">
        <f t="shared" ref="H56" si="66">H55*40</f>
        <v>24</v>
      </c>
      <c r="I56">
        <f t="shared" ref="I56" si="67">I55*40</f>
        <v>4</v>
      </c>
      <c r="J56">
        <f t="shared" ref="J56" si="68">J55*40</f>
        <v>4</v>
      </c>
      <c r="K56">
        <f t="shared" ref="K56" si="69">K55*40</f>
        <v>4</v>
      </c>
      <c r="L56">
        <f t="shared" ref="L56" si="70">L55*40</f>
        <v>0</v>
      </c>
      <c r="M56">
        <f t="shared" ref="M56" si="71">M55*40</f>
        <v>0</v>
      </c>
      <c r="N56">
        <f t="shared" ref="N56" si="72">N55*40</f>
        <v>0</v>
      </c>
      <c r="O56">
        <f t="shared" ref="O56" si="73">O55*40</f>
        <v>10</v>
      </c>
      <c r="Q56" s="388">
        <f t="shared" ref="Q56" si="74">Q55*40</f>
        <v>120.00000000000001</v>
      </c>
    </row>
    <row r="57" spans="2:18" ht="16.2">
      <c r="B57" s="340"/>
      <c r="C57" s="428" t="s">
        <v>252</v>
      </c>
      <c r="E57" s="346">
        <f>E44+E46+E48+E50+E52+E54</f>
        <v>100</v>
      </c>
      <c r="F57" s="346">
        <f t="shared" ref="F57" si="75">F44+F46+F48+F50+F52+F54</f>
        <v>30</v>
      </c>
      <c r="G57" s="346">
        <f>G44+G46+G48+G50+G52+G54</f>
        <v>30</v>
      </c>
      <c r="H57" s="346">
        <f t="shared" ref="H57:O57" si="76">H44+H46+H48+H50+H52+H54</f>
        <v>30</v>
      </c>
      <c r="I57" s="346">
        <f t="shared" si="76"/>
        <v>30</v>
      </c>
      <c r="J57" s="346">
        <f t="shared" si="76"/>
        <v>30</v>
      </c>
      <c r="K57" s="346">
        <f>K44+K46+K48+K50+K52+K54</f>
        <v>30</v>
      </c>
      <c r="L57" s="346">
        <f t="shared" si="76"/>
        <v>30</v>
      </c>
      <c r="M57" s="346">
        <f t="shared" si="76"/>
        <v>30</v>
      </c>
      <c r="N57" s="346">
        <f t="shared" si="76"/>
        <v>30</v>
      </c>
      <c r="O57" s="346">
        <f t="shared" si="76"/>
        <v>30</v>
      </c>
      <c r="P57" s="346"/>
      <c r="Q57" s="346">
        <f t="shared" ref="Q57" si="77">Q44+Q46+Q48+Q50+Q52+Q54</f>
        <v>500</v>
      </c>
    </row>
    <row r="58" spans="2:18" ht="30.6">
      <c r="B58" s="340"/>
      <c r="C58" s="428" t="s">
        <v>253</v>
      </c>
      <c r="E58">
        <f>SUM(E56:E57)</f>
        <v>130</v>
      </c>
      <c r="F58">
        <f t="shared" ref="F58" si="78">SUM(F56:F57)</f>
        <v>40</v>
      </c>
      <c r="G58">
        <f t="shared" ref="G58" si="79">SUM(G56:G57)</f>
        <v>54</v>
      </c>
      <c r="H58">
        <f t="shared" ref="H58" si="80">SUM(H56:H57)</f>
        <v>54</v>
      </c>
      <c r="I58">
        <f t="shared" ref="I58" si="81">SUM(I56:I57)</f>
        <v>34</v>
      </c>
      <c r="J58">
        <f t="shared" ref="J58" si="82">SUM(J56:J57)</f>
        <v>34</v>
      </c>
      <c r="K58">
        <f t="shared" ref="K58" si="83">SUM(K56:K57)</f>
        <v>34</v>
      </c>
      <c r="L58">
        <f t="shared" ref="L58" si="84">SUM(L56:L57)</f>
        <v>30</v>
      </c>
      <c r="M58">
        <f t="shared" ref="M58" si="85">SUM(M56:M57)</f>
        <v>30</v>
      </c>
      <c r="N58">
        <f t="shared" ref="N58" si="86">SUM(N56:N57)</f>
        <v>30</v>
      </c>
      <c r="O58">
        <f t="shared" ref="O58" si="87">SUM(O56:O57)</f>
        <v>40</v>
      </c>
      <c r="P58" s="3" t="s">
        <v>256</v>
      </c>
      <c r="Q58" s="431">
        <f t="shared" ref="Q58" si="88">SUM(Q56:Q57)</f>
        <v>620</v>
      </c>
    </row>
    <row r="60" spans="2:18" ht="31.2">
      <c r="B60" s="374" t="s">
        <v>251</v>
      </c>
      <c r="C60" s="445" t="str">
        <f>人事費!A11</f>
        <v>5.李道翔</v>
      </c>
      <c r="E60">
        <v>7</v>
      </c>
      <c r="F60">
        <v>8</v>
      </c>
      <c r="G60">
        <v>9</v>
      </c>
      <c r="H60">
        <v>10</v>
      </c>
      <c r="I60">
        <v>11</v>
      </c>
      <c r="J60">
        <v>12</v>
      </c>
      <c r="K60">
        <v>1</v>
      </c>
      <c r="L60">
        <v>2</v>
      </c>
      <c r="M60">
        <v>3</v>
      </c>
      <c r="N60">
        <v>4</v>
      </c>
      <c r="O60">
        <v>5</v>
      </c>
      <c r="P60">
        <v>6</v>
      </c>
      <c r="R60" s="3"/>
    </row>
    <row r="61" spans="2:18" ht="22.8" thickBot="1">
      <c r="B61" s="374"/>
      <c r="C61" s="446" t="s">
        <v>319</v>
      </c>
      <c r="D61" s="2"/>
      <c r="R61" s="447" t="s">
        <v>322</v>
      </c>
    </row>
    <row r="62" spans="2:18">
      <c r="B62" s="374"/>
      <c r="C62" s="423" t="s">
        <v>292</v>
      </c>
      <c r="D62" s="343" t="s">
        <v>254</v>
      </c>
      <c r="E62" s="382">
        <v>0.25</v>
      </c>
      <c r="F62" s="382">
        <v>0.25</v>
      </c>
      <c r="G62" s="344"/>
      <c r="H62" s="344"/>
      <c r="I62" s="344"/>
      <c r="J62" s="344"/>
      <c r="K62" s="344"/>
      <c r="L62" s="344"/>
      <c r="M62" s="344"/>
      <c r="N62" s="344"/>
      <c r="O62" s="344"/>
      <c r="P62" s="344"/>
      <c r="Q62" s="384">
        <f>SUM(E62:P62)*40</f>
        <v>20</v>
      </c>
      <c r="R62" s="346">
        <f>Q62+Q63</f>
        <v>20</v>
      </c>
    </row>
    <row r="63" spans="2:18">
      <c r="B63" s="374"/>
      <c r="C63" s="424"/>
      <c r="D63" s="343" t="s">
        <v>255</v>
      </c>
      <c r="E63" s="345"/>
      <c r="F63" s="345"/>
      <c r="G63" s="342"/>
      <c r="H63" s="345"/>
      <c r="I63" s="345"/>
      <c r="J63" s="345"/>
      <c r="K63" s="345"/>
      <c r="L63" s="345"/>
      <c r="M63" s="345"/>
      <c r="N63" s="345"/>
      <c r="O63" s="345"/>
      <c r="P63" s="345"/>
      <c r="Q63" s="345">
        <f>SUM(E63:P63)</f>
        <v>0</v>
      </c>
      <c r="R63" s="401">
        <f>R62/F105</f>
        <v>4.942982694617586E-3</v>
      </c>
    </row>
    <row r="64" spans="2:18">
      <c r="B64" s="374"/>
      <c r="C64" s="424" t="s">
        <v>293</v>
      </c>
      <c r="D64" s="343" t="s">
        <v>254</v>
      </c>
      <c r="E64" s="344"/>
      <c r="F64" s="344"/>
      <c r="G64" s="382">
        <v>0.2</v>
      </c>
      <c r="H64" s="376"/>
      <c r="I64" s="376"/>
      <c r="J64" s="382">
        <v>0.2</v>
      </c>
      <c r="K64" s="344"/>
      <c r="L64" s="344"/>
      <c r="M64" s="344"/>
      <c r="N64" s="344"/>
      <c r="O64" s="344"/>
      <c r="P64" s="383">
        <v>0.1</v>
      </c>
      <c r="Q64" s="384">
        <f>SUM(E64:P64)*40</f>
        <v>20</v>
      </c>
      <c r="R64" s="346">
        <f t="shared" ref="R64" si="89">Q64+Q65</f>
        <v>98.539999999999992</v>
      </c>
    </row>
    <row r="65" spans="2:18">
      <c r="B65" s="374"/>
      <c r="C65" s="424"/>
      <c r="D65" s="343" t="s">
        <v>255</v>
      </c>
      <c r="E65" s="345"/>
      <c r="F65" s="345"/>
      <c r="G65" s="377">
        <v>26.18</v>
      </c>
      <c r="H65" s="345"/>
      <c r="I65" s="345"/>
      <c r="J65" s="377">
        <v>26.18</v>
      </c>
      <c r="K65" s="345"/>
      <c r="L65" s="345"/>
      <c r="M65" s="345"/>
      <c r="N65" s="345"/>
      <c r="O65" s="345"/>
      <c r="P65" s="377">
        <v>26.18</v>
      </c>
      <c r="Q65" s="345">
        <f>SUM(E65:P65)</f>
        <v>78.539999999999992</v>
      </c>
      <c r="R65" s="401">
        <f>R64/F105</f>
        <v>2.4354075736380845E-2</v>
      </c>
    </row>
    <row r="66" spans="2:18">
      <c r="B66" s="374"/>
      <c r="C66" s="424" t="s">
        <v>294</v>
      </c>
      <c r="D66" s="343" t="s">
        <v>254</v>
      </c>
      <c r="E66" s="344"/>
      <c r="F66" s="344"/>
      <c r="G66" s="382">
        <v>0.2</v>
      </c>
      <c r="H66" s="382">
        <v>0.2</v>
      </c>
      <c r="I66" s="382">
        <v>0.1</v>
      </c>
      <c r="J66" s="344"/>
      <c r="K66" s="344"/>
      <c r="L66" s="344"/>
      <c r="M66" s="344"/>
      <c r="N66" s="344"/>
      <c r="O66" s="344"/>
      <c r="P66" s="344"/>
      <c r="Q66" s="384">
        <f t="shared" ref="Q66" si="90">SUM(F66:P66)*40</f>
        <v>20</v>
      </c>
      <c r="R66" s="346">
        <f t="shared" ref="R66" si="91">Q66+Q67</f>
        <v>175.39999999999998</v>
      </c>
    </row>
    <row r="67" spans="2:18">
      <c r="B67" s="374"/>
      <c r="C67" s="424"/>
      <c r="D67" s="343" t="s">
        <v>255</v>
      </c>
      <c r="E67" s="345"/>
      <c r="F67" s="345"/>
      <c r="G67" s="377">
        <v>51.8</v>
      </c>
      <c r="H67" s="377">
        <v>51.8</v>
      </c>
      <c r="I67" s="377">
        <v>51.8</v>
      </c>
      <c r="J67" s="345"/>
      <c r="K67" s="345"/>
      <c r="L67" s="345"/>
      <c r="M67" s="345"/>
      <c r="N67" s="345"/>
      <c r="O67" s="345"/>
      <c r="P67" s="345"/>
      <c r="Q67" s="345">
        <f>SUM(E67:P67)</f>
        <v>155.39999999999998</v>
      </c>
      <c r="R67" s="401">
        <f>R66/F105</f>
        <v>4.3349958231796222E-2</v>
      </c>
    </row>
    <row r="68" spans="2:18" ht="15.6" customHeight="1">
      <c r="B68" s="374"/>
      <c r="C68" s="424" t="s">
        <v>295</v>
      </c>
      <c r="D68" s="343" t="s">
        <v>254</v>
      </c>
      <c r="E68" s="344"/>
      <c r="F68" s="344"/>
      <c r="G68" s="344"/>
      <c r="H68" s="344"/>
      <c r="I68" s="382">
        <v>0.2</v>
      </c>
      <c r="J68" s="344"/>
      <c r="K68" s="382">
        <v>0.1</v>
      </c>
      <c r="L68" s="344"/>
      <c r="M68" s="344"/>
      <c r="N68" s="344"/>
      <c r="O68" s="344"/>
      <c r="P68" s="382">
        <v>0.2</v>
      </c>
      <c r="Q68" s="384">
        <f t="shared" ref="Q68" si="92">SUM(F68:P68)*40</f>
        <v>20</v>
      </c>
      <c r="R68" s="346">
        <f>Q68+Q65</f>
        <v>98.539999999999992</v>
      </c>
    </row>
    <row r="69" spans="2:18">
      <c r="B69" s="374"/>
      <c r="C69" s="424"/>
      <c r="D69" s="343" t="s">
        <v>255</v>
      </c>
      <c r="E69" s="345"/>
      <c r="F69" s="345"/>
      <c r="G69" s="345"/>
      <c r="H69" s="345"/>
      <c r="I69" s="377">
        <v>63.8</v>
      </c>
      <c r="J69" s="345"/>
      <c r="K69" s="377">
        <v>63.8</v>
      </c>
      <c r="L69" s="345"/>
      <c r="M69" s="345"/>
      <c r="N69" s="345"/>
      <c r="O69" s="345"/>
      <c r="P69" s="377">
        <v>63.8</v>
      </c>
      <c r="Q69" s="345">
        <f>SUM(E69:P69)</f>
        <v>191.39999999999998</v>
      </c>
      <c r="R69" s="401">
        <f>R68/F105</f>
        <v>2.4354075736380845E-2</v>
      </c>
    </row>
    <row r="70" spans="2:18">
      <c r="B70" s="374"/>
      <c r="C70" s="424" t="s">
        <v>296</v>
      </c>
      <c r="D70" s="343" t="s">
        <v>254</v>
      </c>
      <c r="E70" s="344"/>
      <c r="F70" s="344"/>
      <c r="G70" s="344"/>
      <c r="H70" s="344"/>
      <c r="I70" s="344"/>
      <c r="J70" s="382">
        <v>0.3</v>
      </c>
      <c r="K70" s="382">
        <v>0.3</v>
      </c>
      <c r="L70" s="382">
        <v>0.4</v>
      </c>
      <c r="M70" s="344"/>
      <c r="N70" s="344"/>
      <c r="O70" s="344"/>
      <c r="P70" s="344"/>
      <c r="Q70" s="384">
        <f t="shared" ref="Q70" si="93">SUM(F70:P70)*40</f>
        <v>40</v>
      </c>
      <c r="R70" s="346">
        <f t="shared" ref="R70" si="94">Q70+Q71</f>
        <v>108</v>
      </c>
    </row>
    <row r="71" spans="2:18">
      <c r="B71" s="374"/>
      <c r="C71" s="424"/>
      <c r="D71" s="343" t="s">
        <v>255</v>
      </c>
      <c r="E71" s="345"/>
      <c r="F71" s="345"/>
      <c r="G71" s="345"/>
      <c r="H71" s="345"/>
      <c r="I71" s="345"/>
      <c r="J71" s="345"/>
      <c r="K71" s="377">
        <v>34</v>
      </c>
      <c r="L71" s="377">
        <v>34</v>
      </c>
      <c r="M71" s="345"/>
      <c r="N71" s="345"/>
      <c r="O71" s="345"/>
      <c r="P71" s="345"/>
      <c r="Q71" s="345">
        <f>SUM(E71:P71)</f>
        <v>68</v>
      </c>
      <c r="R71" s="401">
        <f>R70/F105</f>
        <v>2.6692106550934964E-2</v>
      </c>
    </row>
    <row r="72" spans="2:18">
      <c r="B72" s="374"/>
      <c r="C72" s="425" t="s">
        <v>297</v>
      </c>
      <c r="D72" s="343" t="s">
        <v>254</v>
      </c>
      <c r="E72" s="344"/>
      <c r="F72" s="344"/>
      <c r="G72" s="344"/>
      <c r="H72" s="344"/>
      <c r="I72" s="344"/>
      <c r="J72" s="344"/>
      <c r="K72" s="344"/>
      <c r="L72" s="344"/>
      <c r="M72" s="344"/>
      <c r="N72" s="344"/>
      <c r="O72" s="382">
        <v>0.25</v>
      </c>
      <c r="P72" s="382">
        <v>0.25</v>
      </c>
      <c r="Q72" s="385">
        <f>SUM(F72:P72)*40</f>
        <v>20</v>
      </c>
      <c r="R72" s="346">
        <f t="shared" ref="R72" si="95">Q72+Q73</f>
        <v>20</v>
      </c>
    </row>
    <row r="73" spans="2:18">
      <c r="B73" s="374"/>
      <c r="C73" s="425"/>
      <c r="D73" s="343" t="s">
        <v>255</v>
      </c>
      <c r="E73" s="345"/>
      <c r="F73" s="345"/>
      <c r="G73" s="345"/>
      <c r="H73" s="345"/>
      <c r="I73" s="345"/>
      <c r="J73" s="345"/>
      <c r="K73" s="345"/>
      <c r="L73" s="345"/>
      <c r="M73" s="345"/>
      <c r="N73" s="345"/>
      <c r="O73" s="345"/>
      <c r="P73" s="345"/>
      <c r="Q73" s="345">
        <f t="shared" ref="Q73" si="96">SUM(E73:P73)</f>
        <v>0</v>
      </c>
      <c r="R73" s="401">
        <f>R72/F105</f>
        <v>4.942982694617586E-3</v>
      </c>
    </row>
    <row r="74" spans="2:18" ht="16.2">
      <c r="C74" s="428" t="s">
        <v>249</v>
      </c>
      <c r="E74" s="346">
        <f>E62+E64+E66+E68+E70+E72</f>
        <v>0.25</v>
      </c>
      <c r="F74" s="346">
        <f t="shared" ref="F74:P74" si="97">F62+F64+F66+F68+F70+F72</f>
        <v>0.25</v>
      </c>
      <c r="G74" s="346">
        <f t="shared" si="97"/>
        <v>0.4</v>
      </c>
      <c r="H74" s="346">
        <f t="shared" si="97"/>
        <v>0.2</v>
      </c>
      <c r="I74" s="346">
        <f t="shared" si="97"/>
        <v>0.30000000000000004</v>
      </c>
      <c r="J74" s="346">
        <f t="shared" si="97"/>
        <v>0.5</v>
      </c>
      <c r="K74" s="346">
        <f t="shared" si="97"/>
        <v>0.4</v>
      </c>
      <c r="L74" s="346">
        <f t="shared" si="97"/>
        <v>0.4</v>
      </c>
      <c r="M74" s="346">
        <f t="shared" si="97"/>
        <v>0</v>
      </c>
      <c r="N74" s="346">
        <f t="shared" si="97"/>
        <v>0</v>
      </c>
      <c r="O74" s="346">
        <f t="shared" si="97"/>
        <v>0.25</v>
      </c>
      <c r="P74" s="346">
        <f t="shared" si="97"/>
        <v>0.55000000000000004</v>
      </c>
      <c r="Q74" s="346">
        <f>SUM(E74:P74)</f>
        <v>3.5</v>
      </c>
    </row>
    <row r="75" spans="2:18" ht="16.2">
      <c r="C75" s="428" t="s">
        <v>250</v>
      </c>
      <c r="E75">
        <f>E74*40</f>
        <v>10</v>
      </c>
      <c r="F75">
        <f t="shared" ref="F75" si="98">F74*40</f>
        <v>10</v>
      </c>
      <c r="G75">
        <f t="shared" ref="G75" si="99">G74*40</f>
        <v>16</v>
      </c>
      <c r="H75">
        <f t="shared" ref="H75" si="100">H74*40</f>
        <v>8</v>
      </c>
      <c r="I75">
        <f t="shared" ref="I75" si="101">I74*40</f>
        <v>12.000000000000002</v>
      </c>
      <c r="J75">
        <f t="shared" ref="J75" si="102">J74*40</f>
        <v>20</v>
      </c>
      <c r="K75">
        <f t="shared" ref="K75" si="103">K74*40</f>
        <v>16</v>
      </c>
      <c r="L75">
        <f t="shared" ref="L75" si="104">L74*40</f>
        <v>16</v>
      </c>
      <c r="M75">
        <f t="shared" ref="M75" si="105">M74*40</f>
        <v>0</v>
      </c>
      <c r="N75">
        <f t="shared" ref="N75" si="106">N74*40</f>
        <v>0</v>
      </c>
      <c r="O75">
        <f t="shared" ref="O75" si="107">O74*40</f>
        <v>10</v>
      </c>
      <c r="Q75" s="388">
        <f t="shared" ref="Q75" si="108">Q74*40</f>
        <v>140</v>
      </c>
    </row>
    <row r="76" spans="2:18" ht="16.2">
      <c r="C76" s="428" t="s">
        <v>252</v>
      </c>
      <c r="E76" s="346">
        <f>E63+E65+E67+E69+E71+E73</f>
        <v>0</v>
      </c>
      <c r="F76" s="346">
        <f t="shared" ref="F76" si="109">F63+F65+F67+F69+F71+F73</f>
        <v>0</v>
      </c>
      <c r="G76" s="346">
        <f>G63+G65+G67+G69+G71+G73</f>
        <v>77.97999999999999</v>
      </c>
      <c r="H76" s="346">
        <f t="shared" ref="H76:P76" si="110">H63+H65+H67+H69+H71+H73</f>
        <v>51.8</v>
      </c>
      <c r="I76" s="346">
        <f t="shared" si="110"/>
        <v>115.6</v>
      </c>
      <c r="J76" s="346">
        <f t="shared" si="110"/>
        <v>26.18</v>
      </c>
      <c r="K76" s="346">
        <f t="shared" si="110"/>
        <v>97.8</v>
      </c>
      <c r="L76" s="346">
        <f t="shared" si="110"/>
        <v>34</v>
      </c>
      <c r="M76" s="346">
        <f t="shared" si="110"/>
        <v>0</v>
      </c>
      <c r="N76" s="346">
        <f t="shared" si="110"/>
        <v>0</v>
      </c>
      <c r="O76" s="346">
        <f t="shared" si="110"/>
        <v>0</v>
      </c>
      <c r="P76" s="346">
        <f t="shared" si="110"/>
        <v>89.97999999999999</v>
      </c>
      <c r="Q76" s="346">
        <f>Q63+Q65+Q67+Q69+Q71+Q73</f>
        <v>493.33999999999992</v>
      </c>
      <c r="R76" s="346"/>
    </row>
    <row r="77" spans="2:18" ht="30.6">
      <c r="C77" s="428" t="s">
        <v>253</v>
      </c>
      <c r="E77">
        <f>SUM(E75:E76)</f>
        <v>10</v>
      </c>
      <c r="F77">
        <f t="shared" ref="F77" si="111">SUM(F75:F76)</f>
        <v>10</v>
      </c>
      <c r="G77">
        <f t="shared" ref="G77" si="112">SUM(G75:G76)</f>
        <v>93.97999999999999</v>
      </c>
      <c r="H77">
        <f t="shared" ref="H77" si="113">SUM(H75:H76)</f>
        <v>59.8</v>
      </c>
      <c r="I77">
        <f t="shared" ref="I77" si="114">SUM(I75:I76)</f>
        <v>127.6</v>
      </c>
      <c r="J77">
        <f t="shared" ref="J77" si="115">SUM(J75:J76)</f>
        <v>46.18</v>
      </c>
      <c r="K77">
        <f t="shared" ref="K77" si="116">SUM(K75:K76)</f>
        <v>113.8</v>
      </c>
      <c r="L77">
        <f t="shared" ref="L77" si="117">SUM(L75:L76)</f>
        <v>50</v>
      </c>
      <c r="M77">
        <f t="shared" ref="M77" si="118">SUM(M75:M76)</f>
        <v>0</v>
      </c>
      <c r="N77">
        <f t="shared" ref="N77" si="119">SUM(N75:N76)</f>
        <v>0</v>
      </c>
      <c r="O77">
        <f t="shared" ref="O77" si="120">SUM(O75:O76)</f>
        <v>10</v>
      </c>
      <c r="P77" s="3" t="s">
        <v>256</v>
      </c>
      <c r="Q77" s="431">
        <f t="shared" ref="Q77" si="121">SUM(Q75:Q76)</f>
        <v>633.33999999999992</v>
      </c>
    </row>
    <row r="79" spans="2:18" ht="31.2">
      <c r="B79" s="374" t="s">
        <v>251</v>
      </c>
      <c r="C79" s="445" t="str">
        <f>人事費!A8</f>
        <v>2.江政隆</v>
      </c>
      <c r="E79">
        <v>7</v>
      </c>
      <c r="F79">
        <v>8</v>
      </c>
      <c r="G79">
        <v>9</v>
      </c>
      <c r="H79">
        <v>10</v>
      </c>
      <c r="I79">
        <v>11</v>
      </c>
      <c r="J79">
        <v>12</v>
      </c>
      <c r="K79">
        <v>1</v>
      </c>
      <c r="L79">
        <v>2</v>
      </c>
      <c r="M79">
        <v>3</v>
      </c>
      <c r="N79">
        <v>4</v>
      </c>
      <c r="O79">
        <v>5</v>
      </c>
      <c r="P79">
        <v>6</v>
      </c>
    </row>
    <row r="80" spans="2:18" ht="22.2" thickBot="1">
      <c r="B80" s="374"/>
      <c r="C80" s="402" t="s">
        <v>318</v>
      </c>
      <c r="D80" s="2"/>
      <c r="R80" s="447" t="s">
        <v>322</v>
      </c>
    </row>
    <row r="81" spans="2:18">
      <c r="B81" s="374"/>
      <c r="C81" s="426" t="s">
        <v>300</v>
      </c>
      <c r="D81" s="343" t="s">
        <v>254</v>
      </c>
      <c r="E81" s="344"/>
      <c r="F81" s="344"/>
      <c r="G81" s="344"/>
      <c r="H81" s="344"/>
      <c r="I81" s="344"/>
      <c r="J81" s="344"/>
      <c r="K81" s="344"/>
      <c r="L81" s="344"/>
      <c r="M81" s="344"/>
      <c r="N81" s="344"/>
      <c r="O81" s="344"/>
      <c r="P81" s="344"/>
      <c r="Q81" s="344">
        <f>SUM(F81:P81)*40</f>
        <v>0</v>
      </c>
      <c r="R81" s="346">
        <f>Q81+Q82</f>
        <v>647.79999999999995</v>
      </c>
    </row>
    <row r="82" spans="2:18">
      <c r="B82" s="374"/>
      <c r="C82" s="427"/>
      <c r="D82" s="343" t="s">
        <v>255</v>
      </c>
      <c r="E82" s="345">
        <v>362</v>
      </c>
      <c r="F82" s="345">
        <v>60</v>
      </c>
      <c r="G82" s="342">
        <v>225.8</v>
      </c>
      <c r="H82" s="345"/>
      <c r="I82" s="345"/>
      <c r="J82" s="345"/>
      <c r="K82" s="345"/>
      <c r="L82" s="345"/>
      <c r="M82" s="345"/>
      <c r="N82" s="345"/>
      <c r="O82" s="345"/>
      <c r="P82" s="345"/>
      <c r="Q82" s="345">
        <f>SUM(E82:P82)</f>
        <v>647.79999999999995</v>
      </c>
      <c r="R82" s="401">
        <f>R81/F105</f>
        <v>0.16010320947866358</v>
      </c>
    </row>
    <row r="83" spans="2:18">
      <c r="B83" s="374"/>
      <c r="C83" s="427" t="s">
        <v>299</v>
      </c>
      <c r="D83" s="343" t="s">
        <v>254</v>
      </c>
      <c r="E83" s="381">
        <v>0.4</v>
      </c>
      <c r="F83" s="381">
        <v>0.3</v>
      </c>
      <c r="G83" s="381">
        <v>0.3</v>
      </c>
      <c r="H83" s="344"/>
      <c r="I83" s="344"/>
      <c r="J83" s="344"/>
      <c r="K83" s="344"/>
      <c r="L83" s="344"/>
      <c r="M83" s="344"/>
      <c r="N83" s="344"/>
      <c r="O83" s="344"/>
      <c r="P83" s="344"/>
      <c r="Q83" s="384">
        <f>SUM(E83:P83)*40</f>
        <v>40</v>
      </c>
      <c r="R83" s="346">
        <f>Q83+Q84</f>
        <v>400</v>
      </c>
    </row>
    <row r="84" spans="2:18">
      <c r="B84" s="374"/>
      <c r="C84" s="427"/>
      <c r="D84" s="343" t="s">
        <v>255</v>
      </c>
      <c r="E84" s="378">
        <v>30</v>
      </c>
      <c r="F84" s="378">
        <v>30</v>
      </c>
      <c r="G84" s="379">
        <v>30</v>
      </c>
      <c r="H84" s="379">
        <v>30</v>
      </c>
      <c r="I84" s="379">
        <v>30</v>
      </c>
      <c r="J84" s="379">
        <v>30</v>
      </c>
      <c r="K84" s="379">
        <v>30</v>
      </c>
      <c r="L84" s="379">
        <v>30</v>
      </c>
      <c r="M84" s="379">
        <v>30</v>
      </c>
      <c r="N84" s="379">
        <v>30</v>
      </c>
      <c r="O84" s="379">
        <v>30</v>
      </c>
      <c r="P84" s="379">
        <v>30</v>
      </c>
      <c r="Q84" s="345">
        <f t="shared" ref="Q84" si="122">SUM(E84:P84)</f>
        <v>360</v>
      </c>
      <c r="R84" s="401">
        <f>R83/F105</f>
        <v>9.8859653892351712E-2</v>
      </c>
    </row>
    <row r="85" spans="2:18">
      <c r="B85" s="374"/>
      <c r="C85" s="427" t="s">
        <v>298</v>
      </c>
      <c r="D85" s="343" t="s">
        <v>254</v>
      </c>
      <c r="E85" s="344"/>
      <c r="F85" s="344"/>
      <c r="G85" s="381">
        <v>0.1</v>
      </c>
      <c r="H85" s="381">
        <v>0.1</v>
      </c>
      <c r="I85" s="381">
        <v>0.1</v>
      </c>
      <c r="J85" s="381">
        <v>0.1</v>
      </c>
      <c r="K85" s="381">
        <v>0.1</v>
      </c>
      <c r="L85" s="381">
        <v>0.1</v>
      </c>
      <c r="M85" s="381">
        <v>0.1</v>
      </c>
      <c r="N85" s="381">
        <v>0.1</v>
      </c>
      <c r="O85" s="381">
        <v>0.1</v>
      </c>
      <c r="P85" s="381">
        <v>0.1</v>
      </c>
      <c r="Q85" s="384">
        <f t="shared" ref="Q85" si="123">SUM(F85:P85)*40</f>
        <v>39.999999999999993</v>
      </c>
      <c r="R85" s="346">
        <f>Q85+Q86</f>
        <v>39.999999999999993</v>
      </c>
    </row>
    <row r="86" spans="2:18">
      <c r="B86" s="374"/>
      <c r="C86" s="427"/>
      <c r="D86" s="343" t="s">
        <v>255</v>
      </c>
      <c r="E86" s="345"/>
      <c r="F86" s="345"/>
      <c r="G86" s="345"/>
      <c r="H86" s="345"/>
      <c r="I86" s="345"/>
      <c r="J86" s="345"/>
      <c r="K86" s="345"/>
      <c r="L86" s="345"/>
      <c r="M86" s="345"/>
      <c r="N86" s="345"/>
      <c r="O86" s="345"/>
      <c r="P86" s="345"/>
      <c r="Q86" s="345">
        <f t="shared" ref="Q86" si="124">SUM(E86:P86)</f>
        <v>0</v>
      </c>
      <c r="R86" s="401">
        <f>R85/F105</f>
        <v>9.8859653892351702E-3</v>
      </c>
    </row>
    <row r="87" spans="2:18">
      <c r="B87" s="374"/>
      <c r="C87" s="427" t="s">
        <v>301</v>
      </c>
      <c r="D87" s="343" t="s">
        <v>254</v>
      </c>
      <c r="E87" s="344"/>
      <c r="F87" s="344"/>
      <c r="G87" s="344"/>
      <c r="H87" s="344"/>
      <c r="I87" s="344"/>
      <c r="J87" s="344"/>
      <c r="K87" s="344"/>
      <c r="L87" s="344"/>
      <c r="M87" s="344"/>
      <c r="N87" s="344"/>
      <c r="O87" s="380">
        <v>0.5</v>
      </c>
      <c r="P87" s="380">
        <v>0.5</v>
      </c>
      <c r="Q87" s="384">
        <f>SUM(F87:P87)*40</f>
        <v>40</v>
      </c>
      <c r="R87" s="346">
        <f>Q87+Q88</f>
        <v>40</v>
      </c>
    </row>
    <row r="88" spans="2:18">
      <c r="B88" s="374"/>
      <c r="C88" s="427"/>
      <c r="D88" s="343" t="s">
        <v>255</v>
      </c>
      <c r="E88" s="345"/>
      <c r="F88" s="345"/>
      <c r="G88" s="345"/>
      <c r="H88" s="345"/>
      <c r="I88" s="345"/>
      <c r="J88" s="345"/>
      <c r="K88" s="345"/>
      <c r="L88" s="345"/>
      <c r="M88" s="345"/>
      <c r="N88" s="345"/>
      <c r="O88" s="345"/>
      <c r="P88" s="345"/>
      <c r="Q88" s="345">
        <f t="shared" ref="Q88" si="125">SUM(E88:P88)</f>
        <v>0</v>
      </c>
      <c r="R88" s="401">
        <f>R87/F105</f>
        <v>9.8859653892351719E-3</v>
      </c>
    </row>
    <row r="89" spans="2:18" ht="22.2" customHeight="1">
      <c r="B89" s="374"/>
      <c r="C89" s="428" t="s">
        <v>249</v>
      </c>
      <c r="D89" s="343" t="s">
        <v>254</v>
      </c>
      <c r="E89" s="344"/>
      <c r="F89" s="344"/>
      <c r="G89" s="344"/>
      <c r="H89" s="344"/>
      <c r="I89" s="344"/>
      <c r="J89" s="344"/>
      <c r="K89" s="344"/>
      <c r="L89" s="344"/>
      <c r="M89" s="344"/>
      <c r="N89" s="344"/>
      <c r="O89" s="344"/>
      <c r="P89" s="344"/>
      <c r="Q89" s="384">
        <f t="shared" ref="Q89" si="126">SUM(F89:P89)*40</f>
        <v>0</v>
      </c>
    </row>
    <row r="90" spans="2:18" ht="16.2">
      <c r="B90" s="374"/>
      <c r="C90" s="428" t="s">
        <v>250</v>
      </c>
      <c r="D90" s="343" t="s">
        <v>255</v>
      </c>
      <c r="E90" s="345"/>
      <c r="F90" s="345"/>
      <c r="G90" s="345"/>
      <c r="H90" s="345"/>
      <c r="I90" s="345"/>
      <c r="J90" s="345"/>
      <c r="K90" s="345"/>
      <c r="L90" s="345"/>
      <c r="M90" s="345"/>
      <c r="N90" s="345"/>
      <c r="O90" s="345"/>
      <c r="P90" s="345"/>
      <c r="Q90" s="345">
        <f t="shared" ref="Q90" si="127">SUM(E90:P90)</f>
        <v>0</v>
      </c>
    </row>
    <row r="91" spans="2:18" ht="16.2">
      <c r="B91" s="374"/>
      <c r="C91" s="428" t="s">
        <v>252</v>
      </c>
      <c r="D91" s="343" t="s">
        <v>254</v>
      </c>
      <c r="E91" s="344"/>
      <c r="F91" s="344"/>
      <c r="G91" s="344"/>
      <c r="H91" s="344"/>
      <c r="I91" s="344"/>
      <c r="J91" s="344"/>
      <c r="K91" s="344"/>
      <c r="L91" s="344"/>
      <c r="M91" s="344"/>
      <c r="N91" s="344"/>
      <c r="O91" s="384"/>
      <c r="P91" s="384"/>
      <c r="Q91" s="384">
        <f t="shared" ref="Q91" si="128">SUM(F91:P91)*40</f>
        <v>0</v>
      </c>
    </row>
    <row r="92" spans="2:18" ht="16.2">
      <c r="B92" s="374"/>
      <c r="C92" s="428" t="s">
        <v>253</v>
      </c>
      <c r="D92" s="343" t="s">
        <v>255</v>
      </c>
      <c r="E92" s="345"/>
      <c r="F92" s="345"/>
      <c r="G92" s="345"/>
      <c r="H92" s="345"/>
      <c r="I92" s="345"/>
      <c r="J92" s="345"/>
      <c r="K92" s="345"/>
      <c r="L92" s="345"/>
      <c r="M92" s="345"/>
      <c r="N92" s="345"/>
      <c r="O92" s="345"/>
      <c r="P92" s="345"/>
      <c r="Q92" s="345">
        <f t="shared" ref="Q92" si="129">SUM(E92:P92)</f>
        <v>0</v>
      </c>
    </row>
    <row r="93" spans="2:18">
      <c r="B93" s="340"/>
      <c r="E93" s="346">
        <f t="shared" ref="E93:N93" si="130">E81+E83+E85+E87+E89+E91</f>
        <v>0.4</v>
      </c>
      <c r="F93" s="346">
        <f t="shared" si="130"/>
        <v>0.3</v>
      </c>
      <c r="G93" s="346">
        <f t="shared" si="130"/>
        <v>0.4</v>
      </c>
      <c r="H93" s="346">
        <f t="shared" si="130"/>
        <v>0.1</v>
      </c>
      <c r="I93" s="346">
        <f t="shared" si="130"/>
        <v>0.1</v>
      </c>
      <c r="J93" s="346">
        <f t="shared" si="130"/>
        <v>0.1</v>
      </c>
      <c r="K93" s="346">
        <f t="shared" si="130"/>
        <v>0.1</v>
      </c>
      <c r="L93" s="346">
        <f t="shared" si="130"/>
        <v>0.1</v>
      </c>
      <c r="M93" s="346">
        <f t="shared" si="130"/>
        <v>0.1</v>
      </c>
      <c r="N93" s="346">
        <f t="shared" si="130"/>
        <v>0.1</v>
      </c>
      <c r="O93" s="346">
        <f>O81+O83+O85+O87+O89+O91</f>
        <v>0.6</v>
      </c>
      <c r="P93" s="346">
        <f>P81+P83+P85+P87+P89+P91</f>
        <v>0.6</v>
      </c>
      <c r="Q93" s="346">
        <f>SUM(E93:P93)</f>
        <v>3.0000000000000009</v>
      </c>
    </row>
    <row r="94" spans="2:18">
      <c r="B94" s="340"/>
      <c r="E94">
        <f>E93*40</f>
        <v>16</v>
      </c>
      <c r="F94">
        <f t="shared" ref="F94:P94" si="131">F93*40</f>
        <v>12</v>
      </c>
      <c r="G94">
        <f t="shared" si="131"/>
        <v>16</v>
      </c>
      <c r="H94">
        <f t="shared" si="131"/>
        <v>4</v>
      </c>
      <c r="I94">
        <f t="shared" si="131"/>
        <v>4</v>
      </c>
      <c r="J94">
        <f t="shared" si="131"/>
        <v>4</v>
      </c>
      <c r="K94">
        <f t="shared" si="131"/>
        <v>4</v>
      </c>
      <c r="L94">
        <f t="shared" si="131"/>
        <v>4</v>
      </c>
      <c r="M94">
        <f t="shared" si="131"/>
        <v>4</v>
      </c>
      <c r="N94">
        <f t="shared" si="131"/>
        <v>4</v>
      </c>
      <c r="O94">
        <f t="shared" si="131"/>
        <v>24</v>
      </c>
      <c r="P94">
        <f t="shared" si="131"/>
        <v>24</v>
      </c>
      <c r="Q94" s="388">
        <f t="shared" ref="Q94" si="132">Q93*40</f>
        <v>120.00000000000003</v>
      </c>
    </row>
    <row r="95" spans="2:18">
      <c r="B95" s="340"/>
      <c r="E95" s="346">
        <f t="shared" ref="E95:Q95" si="133">E82+E84+E86+E88+E90+E92</f>
        <v>392</v>
      </c>
      <c r="F95" s="346">
        <f t="shared" si="133"/>
        <v>90</v>
      </c>
      <c r="G95" s="346">
        <f t="shared" si="133"/>
        <v>255.8</v>
      </c>
      <c r="H95" s="346">
        <f t="shared" si="133"/>
        <v>30</v>
      </c>
      <c r="I95" s="346">
        <f t="shared" si="133"/>
        <v>30</v>
      </c>
      <c r="J95" s="346">
        <f t="shared" si="133"/>
        <v>30</v>
      </c>
      <c r="K95" s="346">
        <f t="shared" si="133"/>
        <v>30</v>
      </c>
      <c r="L95" s="346">
        <f t="shared" si="133"/>
        <v>30</v>
      </c>
      <c r="M95" s="346">
        <f t="shared" si="133"/>
        <v>30</v>
      </c>
      <c r="N95" s="346">
        <f t="shared" si="133"/>
        <v>30</v>
      </c>
      <c r="O95" s="346">
        <f t="shared" si="133"/>
        <v>30</v>
      </c>
      <c r="P95" s="346">
        <f t="shared" si="133"/>
        <v>30</v>
      </c>
      <c r="Q95" s="346">
        <f t="shared" si="133"/>
        <v>1007.8</v>
      </c>
    </row>
    <row r="96" spans="2:18" ht="30.6">
      <c r="B96" s="340"/>
      <c r="E96">
        <f>SUM(E94:E95)</f>
        <v>408</v>
      </c>
      <c r="F96">
        <f t="shared" ref="F96" si="134">SUM(F94:F95)</f>
        <v>102</v>
      </c>
      <c r="G96">
        <f t="shared" ref="G96" si="135">SUM(G94:G95)</f>
        <v>271.8</v>
      </c>
      <c r="H96">
        <f t="shared" ref="H96" si="136">SUM(H94:H95)</f>
        <v>34</v>
      </c>
      <c r="I96">
        <f t="shared" ref="I96" si="137">SUM(I94:I95)</f>
        <v>34</v>
      </c>
      <c r="J96">
        <f t="shared" ref="J96" si="138">SUM(J94:J95)</f>
        <v>34</v>
      </c>
      <c r="K96">
        <f t="shared" ref="K96" si="139">SUM(K94:K95)</f>
        <v>34</v>
      </c>
      <c r="L96">
        <f t="shared" ref="L96" si="140">SUM(L94:L95)</f>
        <v>34</v>
      </c>
      <c r="M96">
        <f t="shared" ref="M96" si="141">SUM(M94:M95)</f>
        <v>34</v>
      </c>
      <c r="N96">
        <f t="shared" ref="N96" si="142">SUM(N94:N95)</f>
        <v>34</v>
      </c>
      <c r="O96">
        <f t="shared" ref="O96" si="143">SUM(O94:O95)</f>
        <v>54</v>
      </c>
      <c r="P96" s="3" t="s">
        <v>256</v>
      </c>
      <c r="Q96" s="431">
        <f t="shared" ref="Q96" si="144">SUM(Q94:Q95)</f>
        <v>1127.8</v>
      </c>
    </row>
    <row r="97" spans="3:16">
      <c r="E97" s="407" t="s">
        <v>266</v>
      </c>
      <c r="F97" s="346">
        <f>SUM(F8:O8)</f>
        <v>100</v>
      </c>
      <c r="H97" t="str">
        <f>C4</f>
        <v>A分項計畫  商業資訊中心設置計畫</v>
      </c>
      <c r="I97">
        <f>Q20</f>
        <v>1465</v>
      </c>
      <c r="P97" s="340"/>
    </row>
    <row r="98" spans="3:16">
      <c r="E98" s="340" t="s">
        <v>264</v>
      </c>
      <c r="F98" s="346">
        <f>SUM(E82+F82+G82)</f>
        <v>647.79999999999995</v>
      </c>
      <c r="H98" t="str">
        <f>C23</f>
        <v>B分項計畫物業安全中心設置</v>
      </c>
      <c r="I98">
        <f>Q39</f>
        <v>200</v>
      </c>
      <c r="P98" s="340"/>
    </row>
    <row r="99" spans="3:16">
      <c r="E99" s="396" t="s">
        <v>263</v>
      </c>
      <c r="F99" s="346">
        <f>SUM(E44:P44)</f>
        <v>500</v>
      </c>
      <c r="H99" t="str">
        <f>C42</f>
        <v>C分項計畫 資訊、勞務系統開發</v>
      </c>
      <c r="I99">
        <f>Q58</f>
        <v>620</v>
      </c>
    </row>
    <row r="100" spans="3:16">
      <c r="C100" s="339"/>
      <c r="E100" s="394" t="s">
        <v>260</v>
      </c>
      <c r="F100" s="346">
        <f>E6+J6</f>
        <v>1045</v>
      </c>
      <c r="H100" t="str">
        <f>C61</f>
        <v>D分項計畫 各分项計畫串接結合及驗證控管</v>
      </c>
      <c r="I100">
        <f>Q77</f>
        <v>633.33999999999992</v>
      </c>
    </row>
    <row r="101" spans="3:16">
      <c r="C101" s="339"/>
      <c r="E101" s="392" t="s">
        <v>259</v>
      </c>
      <c r="F101" s="346">
        <f>G65+J65+P65+G67+H67+I67+I69+K69+P69+K71+L71</f>
        <v>493.34000000000003</v>
      </c>
      <c r="H101" t="str">
        <f>C80</f>
        <v>E分項計畫  計畫管考設備採購暨友善勞動制度及產業需求研發</v>
      </c>
      <c r="I101">
        <f>Q96</f>
        <v>1127.8</v>
      </c>
    </row>
    <row r="102" spans="3:16">
      <c r="C102" s="339"/>
      <c r="E102" s="391" t="s">
        <v>258</v>
      </c>
      <c r="F102" s="346">
        <f>SUM(G84:P84)</f>
        <v>300</v>
      </c>
    </row>
    <row r="103" spans="3:16">
      <c r="E103" s="389" t="s">
        <v>257</v>
      </c>
      <c r="F103" s="346">
        <f>E84+F84</f>
        <v>60</v>
      </c>
    </row>
    <row r="104" spans="3:16">
      <c r="E104" s="395" t="s">
        <v>261</v>
      </c>
      <c r="F104">
        <f>Q94+Q75+Q56+Q37+Q18</f>
        <v>900</v>
      </c>
    </row>
    <row r="105" spans="3:16">
      <c r="E105" s="340" t="s">
        <v>262</v>
      </c>
      <c r="F105" s="346">
        <f>SUM(F97:F104)</f>
        <v>4046.1400000000003</v>
      </c>
    </row>
  </sheetData>
  <mergeCells count="35">
    <mergeCell ref="C5:C6"/>
    <mergeCell ref="C7:C8"/>
    <mergeCell ref="B1:R1"/>
    <mergeCell ref="P2:R2"/>
    <mergeCell ref="C9:C10"/>
    <mergeCell ref="C11:C12"/>
    <mergeCell ref="C13:C14"/>
    <mergeCell ref="C15:C16"/>
    <mergeCell ref="B22:B35"/>
    <mergeCell ref="C24:C25"/>
    <mergeCell ref="C26:C27"/>
    <mergeCell ref="C28:C29"/>
    <mergeCell ref="C30:C31"/>
    <mergeCell ref="C32:C33"/>
    <mergeCell ref="B3:B16"/>
    <mergeCell ref="C34:C35"/>
    <mergeCell ref="B41:B54"/>
    <mergeCell ref="C43:C44"/>
    <mergeCell ref="C45:C46"/>
    <mergeCell ref="C47:C48"/>
    <mergeCell ref="C49:C50"/>
    <mergeCell ref="C51:C52"/>
    <mergeCell ref="C53:C54"/>
    <mergeCell ref="B60:B73"/>
    <mergeCell ref="C62:C63"/>
    <mergeCell ref="C64:C65"/>
    <mergeCell ref="C66:C67"/>
    <mergeCell ref="C68:C69"/>
    <mergeCell ref="C70:C71"/>
    <mergeCell ref="C72:C73"/>
    <mergeCell ref="B79:B92"/>
    <mergeCell ref="C81:C82"/>
    <mergeCell ref="C83:C84"/>
    <mergeCell ref="C85:C86"/>
    <mergeCell ref="C87:C88"/>
  </mergeCells>
  <phoneticPr fontId="9" type="noConversion"/>
  <conditionalFormatting sqref="H97:I101">
    <cfRule type="dataBar" priority="1">
      <dataBar>
        <cfvo type="min"/>
        <cfvo type="max"/>
        <color rgb="FFFFB628"/>
      </dataBar>
      <extLst>
        <ext xmlns:x14="http://schemas.microsoft.com/office/spreadsheetml/2009/9/main" uri="{B025F937-C7B1-47D3-B67F-A62EFF666E3E}">
          <x14:id>{E31DDCD7-47EA-41C5-8D4C-CBA961D43E38}</x14:id>
        </ext>
      </extLst>
    </cfRule>
  </conditionalFormatting>
  <pageMargins left="0.25" right="0.25" top="0.75" bottom="0.75" header="0.3" footer="0.3"/>
  <pageSetup paperSize="9" scale="34" orientation="portrait" r:id="rId1"/>
  <drawing r:id="rId2"/>
  <extLst>
    <ext xmlns:x14="http://schemas.microsoft.com/office/spreadsheetml/2009/9/main" uri="{78C0D931-6437-407d-A8EE-F0AAD7539E65}">
      <x14:conditionalFormattings>
        <x14:conditionalFormatting xmlns:xm="http://schemas.microsoft.com/office/excel/2006/main">
          <x14:cfRule type="dataBar" id="{E31DDCD7-47EA-41C5-8D4C-CBA961D43E38}">
            <x14:dataBar minLength="0" maxLength="100" gradient="0">
              <x14:cfvo type="autoMin"/>
              <x14:cfvo type="autoMax"/>
              <x14:negativeFillColor rgb="FFFF0000"/>
              <x14:axisColor rgb="FF000000"/>
            </x14:dataBar>
          </x14:cfRule>
          <xm:sqref>H97:I101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I20"/>
  <sheetViews>
    <sheetView view="pageBreakPreview" zoomScale="60" zoomScaleNormal="80" workbookViewId="0">
      <selection activeCell="A12" sqref="A12"/>
    </sheetView>
  </sheetViews>
  <sheetFormatPr defaultColWidth="11.19921875" defaultRowHeight="22.8"/>
  <cols>
    <col min="1" max="1" width="17.59765625" style="51" customWidth="1"/>
    <col min="2" max="3" width="23.69921875" style="51" bestFit="1" customWidth="1"/>
    <col min="4" max="4" width="19.5" style="51" bestFit="1" customWidth="1"/>
    <col min="5" max="5" width="23.69921875" style="51" bestFit="1" customWidth="1"/>
    <col min="6" max="6" width="17.5" style="51" customWidth="1"/>
    <col min="7" max="7" width="19.5" style="51" bestFit="1" customWidth="1"/>
    <col min="8" max="8" width="13.69921875" style="51" bestFit="1" customWidth="1"/>
    <col min="9" max="9" width="28.19921875" style="51" bestFit="1" customWidth="1"/>
    <col min="10" max="10" width="11.19921875" style="51" customWidth="1"/>
    <col min="11" max="16384" width="11.19921875" style="51"/>
  </cols>
  <sheetData>
    <row r="1" spans="1:9" ht="24.6">
      <c r="A1" s="351" t="str">
        <f>計畫經費彙總表!A1</f>
        <v>五常物業規劃顧問股份(閉鎖型)有限公司</v>
      </c>
      <c r="B1" s="351"/>
      <c r="C1" s="351"/>
      <c r="D1" s="351"/>
      <c r="E1" s="351"/>
      <c r="F1" s="351"/>
      <c r="G1" s="351"/>
      <c r="H1" s="351"/>
      <c r="I1" s="351"/>
    </row>
    <row r="2" spans="1:9" ht="24.6">
      <c r="A2" s="351" t="s">
        <v>34</v>
      </c>
      <c r="B2" s="351"/>
      <c r="C2" s="351"/>
      <c r="D2" s="351"/>
      <c r="E2" s="351"/>
      <c r="F2" s="351"/>
      <c r="G2" s="351"/>
      <c r="H2" s="351"/>
      <c r="I2" s="351"/>
    </row>
    <row r="3" spans="1:9" ht="24.6">
      <c r="A3" s="52"/>
      <c r="B3" s="52"/>
      <c r="C3" s="52"/>
      <c r="D3" s="52"/>
      <c r="E3" s="52"/>
      <c r="F3" s="52"/>
      <c r="G3" s="52"/>
      <c r="H3" s="52"/>
      <c r="I3" s="53" t="s">
        <v>35</v>
      </c>
    </row>
    <row r="4" spans="1:9" s="54" customFormat="1" ht="24.6">
      <c r="A4" s="77" t="s">
        <v>36</v>
      </c>
      <c r="B4" s="332"/>
      <c r="C4" s="78" t="s">
        <v>37</v>
      </c>
      <c r="D4" s="333"/>
      <c r="E4" s="334"/>
      <c r="F4" s="334"/>
      <c r="G4" s="334"/>
      <c r="H4" s="334"/>
      <c r="I4" s="335"/>
    </row>
    <row r="5" spans="1:9" s="55" customFormat="1" ht="99.75" customHeight="1" thickBot="1">
      <c r="A5" s="79" t="s">
        <v>38</v>
      </c>
      <c r="B5" s="80" t="s">
        <v>39</v>
      </c>
      <c r="C5" s="80" t="s">
        <v>40</v>
      </c>
      <c r="D5" s="80" t="s">
        <v>41</v>
      </c>
      <c r="E5" s="80" t="s">
        <v>42</v>
      </c>
      <c r="F5" s="80" t="s">
        <v>43</v>
      </c>
      <c r="G5" s="80" t="s">
        <v>44</v>
      </c>
      <c r="H5" s="80" t="s">
        <v>45</v>
      </c>
      <c r="I5" s="81" t="s">
        <v>46</v>
      </c>
    </row>
    <row r="6" spans="1:9" s="56" customFormat="1">
      <c r="A6" s="82"/>
      <c r="B6" s="83"/>
      <c r="C6" s="84"/>
      <c r="D6" s="83"/>
      <c r="E6" s="83"/>
      <c r="F6" s="83"/>
      <c r="G6" s="84"/>
      <c r="H6" s="83"/>
      <c r="I6" s="85"/>
    </row>
    <row r="7" spans="1:9" ht="23.4">
      <c r="A7" s="57" t="s">
        <v>269</v>
      </c>
      <c r="B7" s="58">
        <v>30000</v>
      </c>
      <c r="C7" s="58">
        <v>8000</v>
      </c>
      <c r="D7" s="58">
        <v>2000</v>
      </c>
      <c r="E7" s="59">
        <f>SUM(B7:D7)</f>
        <v>40000</v>
      </c>
      <c r="F7" s="60">
        <f>工時記錄表!AI5</f>
        <v>0.67999999999999994</v>
      </c>
      <c r="G7" s="59">
        <f t="shared" ref="G7:G12" si="0">ROUND(E7*F7,0)</f>
        <v>27200</v>
      </c>
      <c r="H7" s="58">
        <f>加班記錄!I5</f>
        <v>200</v>
      </c>
      <c r="I7" s="61">
        <f t="shared" ref="I7:I12" si="1">SUM(G7:H7)</f>
        <v>27400</v>
      </c>
    </row>
    <row r="8" spans="1:9" ht="23.4">
      <c r="A8" s="57" t="s">
        <v>268</v>
      </c>
      <c r="B8" s="58">
        <v>30000</v>
      </c>
      <c r="C8" s="58">
        <v>8000</v>
      </c>
      <c r="D8" s="58">
        <v>1000</v>
      </c>
      <c r="E8" s="59">
        <f>SUM(B8:D8)</f>
        <v>39000</v>
      </c>
      <c r="F8" s="60">
        <f>工時記錄表!AI6</f>
        <v>1</v>
      </c>
      <c r="G8" s="59">
        <f t="shared" si="0"/>
        <v>39000</v>
      </c>
      <c r="H8" s="58">
        <f>加班記錄!I6</f>
        <v>300</v>
      </c>
      <c r="I8" s="61">
        <f t="shared" si="1"/>
        <v>39300</v>
      </c>
    </row>
    <row r="9" spans="1:9" ht="23.4">
      <c r="A9" s="57" t="s">
        <v>270</v>
      </c>
      <c r="B9" s="58">
        <v>30000</v>
      </c>
      <c r="C9" s="58">
        <v>8000</v>
      </c>
      <c r="D9" s="58">
        <v>1000</v>
      </c>
      <c r="E9" s="59">
        <f>SUM(B9:D9)</f>
        <v>39000</v>
      </c>
      <c r="F9" s="60">
        <f>工時記錄表!AI7</f>
        <v>0.5</v>
      </c>
      <c r="G9" s="59">
        <f t="shared" si="0"/>
        <v>19500</v>
      </c>
      <c r="H9" s="58">
        <f>加班記錄!I7</f>
        <v>400</v>
      </c>
      <c r="I9" s="61">
        <f t="shared" si="1"/>
        <v>19900</v>
      </c>
    </row>
    <row r="10" spans="1:9" ht="23.4">
      <c r="A10" s="57" t="s">
        <v>271</v>
      </c>
      <c r="B10" s="62">
        <v>30000</v>
      </c>
      <c r="C10" s="62">
        <v>8000</v>
      </c>
      <c r="D10" s="62">
        <v>1000</v>
      </c>
      <c r="E10" s="59">
        <f>SUM(B10:D10)</f>
        <v>39000</v>
      </c>
      <c r="F10" s="60">
        <f>工時記錄表!AI8</f>
        <v>0.75</v>
      </c>
      <c r="G10" s="59">
        <f t="shared" si="0"/>
        <v>29250</v>
      </c>
      <c r="H10" s="58">
        <f>加班記錄!I8</f>
        <v>500</v>
      </c>
      <c r="I10" s="61">
        <f t="shared" si="1"/>
        <v>29750</v>
      </c>
    </row>
    <row r="11" spans="1:9" ht="23.4">
      <c r="A11" s="57" t="s">
        <v>272</v>
      </c>
      <c r="B11" s="62">
        <v>30000</v>
      </c>
      <c r="C11" s="62">
        <v>8000</v>
      </c>
      <c r="D11" s="62">
        <v>1000</v>
      </c>
      <c r="E11" s="63">
        <f>SUM(B11:D11)</f>
        <v>39000</v>
      </c>
      <c r="F11" s="64"/>
      <c r="G11" s="59">
        <f t="shared" si="0"/>
        <v>0</v>
      </c>
      <c r="H11" s="58"/>
      <c r="I11" s="61">
        <f t="shared" si="1"/>
        <v>0</v>
      </c>
    </row>
    <row r="12" spans="1:9">
      <c r="A12" s="65"/>
      <c r="B12" s="62"/>
      <c r="C12" s="62"/>
      <c r="D12" s="62"/>
      <c r="E12" s="63"/>
      <c r="F12" s="64"/>
      <c r="G12" s="59">
        <f t="shared" si="0"/>
        <v>0</v>
      </c>
      <c r="H12" s="58"/>
      <c r="I12" s="61">
        <f t="shared" si="1"/>
        <v>0</v>
      </c>
    </row>
    <row r="13" spans="1:9" ht="25.2" thickBot="1">
      <c r="A13" s="318" t="s">
        <v>51</v>
      </c>
      <c r="B13" s="66">
        <f>SUM(B6:B12)</f>
        <v>150000</v>
      </c>
      <c r="C13" s="66">
        <f t="shared" ref="C13:H13" si="2">SUM(C7:C12)</f>
        <v>40000</v>
      </c>
      <c r="D13" s="66">
        <f t="shared" si="2"/>
        <v>6000</v>
      </c>
      <c r="E13" s="66">
        <f t="shared" si="2"/>
        <v>196000</v>
      </c>
      <c r="F13" s="66">
        <f t="shared" si="2"/>
        <v>2.9299999999999997</v>
      </c>
      <c r="G13" s="66">
        <f t="shared" si="2"/>
        <v>114950</v>
      </c>
      <c r="H13" s="66">
        <f t="shared" si="2"/>
        <v>1400</v>
      </c>
      <c r="I13" s="67">
        <f>ROUND(SUM(I6:I12),0)</f>
        <v>116350</v>
      </c>
    </row>
    <row r="14" spans="1:9" ht="24.6">
      <c r="A14" s="50"/>
      <c r="B14" s="68"/>
      <c r="C14" s="68"/>
      <c r="D14" s="68"/>
      <c r="E14" s="68"/>
      <c r="F14" s="68"/>
      <c r="G14" s="68"/>
      <c r="H14" s="68"/>
      <c r="I14" s="68"/>
    </row>
    <row r="15" spans="1:9">
      <c r="A15" s="69" t="s">
        <v>52</v>
      </c>
      <c r="B15" s="69"/>
      <c r="C15" s="69"/>
      <c r="D15" s="69"/>
      <c r="E15" s="69"/>
      <c r="F15" s="69"/>
      <c r="G15" s="70"/>
      <c r="H15" s="70"/>
      <c r="I15" s="70"/>
    </row>
    <row r="16" spans="1:9">
      <c r="A16" s="352" t="s">
        <v>53</v>
      </c>
      <c r="B16" s="352"/>
      <c r="C16" s="352"/>
      <c r="D16" s="352"/>
      <c r="E16" s="352"/>
      <c r="F16" s="352"/>
      <c r="G16" s="352"/>
      <c r="H16" s="352"/>
      <c r="I16" s="352"/>
    </row>
    <row r="17" spans="1:9">
      <c r="A17" s="352" t="s">
        <v>54</v>
      </c>
      <c r="B17" s="352"/>
      <c r="C17" s="352"/>
      <c r="D17" s="352"/>
      <c r="E17" s="352"/>
      <c r="F17" s="352"/>
      <c r="G17" s="352"/>
      <c r="H17" s="352"/>
      <c r="I17" s="352"/>
    </row>
    <row r="18" spans="1:9" ht="25.5" customHeight="1">
      <c r="A18" s="71"/>
    </row>
    <row r="19" spans="1:9" s="72" customFormat="1" ht="19.8">
      <c r="A19" s="248" t="s">
        <v>31</v>
      </c>
      <c r="E19" s="248" t="s">
        <v>32</v>
      </c>
      <c r="I19" s="249" t="s">
        <v>33</v>
      </c>
    </row>
    <row r="20" spans="1:9">
      <c r="A20" s="73"/>
      <c r="D20" s="74"/>
      <c r="E20" s="74"/>
      <c r="F20" s="74"/>
      <c r="G20" s="75"/>
      <c r="H20" s="76"/>
      <c r="I20" s="76"/>
    </row>
  </sheetData>
  <sheetProtection algorithmName="SHA-512" hashValue="WsFkcT4sItm1pozFlEL7mQ75fk4/+VtOUF6SYPEXrFr6FleTwTeXDtn9YVAVSKpQuGDvpyimFm44klaxkAI/OA==" saltValue="KOOEq/lmAOILYSNpo7qRvw==" spinCount="100000" sheet="1" formatCells="0" formatColumns="0" formatRows="0" insertRows="0"/>
  <mergeCells count="4">
    <mergeCell ref="A1:I1"/>
    <mergeCell ref="A2:I2"/>
    <mergeCell ref="A16:I16"/>
    <mergeCell ref="A17:I17"/>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2" fitToWidth="0" fitToHeight="0" orientation="landscape" blackAndWhite="1"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7F0B5-A2FA-408A-8EFD-1C039228DE4A}">
  <dimension ref="A1"/>
  <sheetViews>
    <sheetView workbookViewId="0"/>
  </sheetViews>
  <sheetFormatPr defaultRowHeight="15.6"/>
  <sheetData/>
  <phoneticPr fontId="9"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V15"/>
  <sheetViews>
    <sheetView view="pageBreakPreview" zoomScale="60" zoomScaleNormal="80" workbookViewId="0">
      <selection activeCell="G4" sqref="G4:H4"/>
    </sheetView>
  </sheetViews>
  <sheetFormatPr defaultColWidth="11.19921875" defaultRowHeight="24.6"/>
  <cols>
    <col min="1" max="1" width="17.59765625" style="86" customWidth="1"/>
    <col min="2" max="2" width="17" style="86" customWidth="1"/>
    <col min="3" max="3" width="23.69921875" style="86" bestFit="1" customWidth="1"/>
    <col min="4" max="4" width="19.5" style="86" bestFit="1" customWidth="1"/>
    <col min="5" max="5" width="20.59765625" style="86" bestFit="1" customWidth="1"/>
    <col min="6" max="6" width="13.09765625" style="86" customWidth="1"/>
    <col min="7" max="7" width="19.5" style="86" bestFit="1" customWidth="1"/>
    <col min="8" max="8" width="13.69921875" style="86" bestFit="1" customWidth="1"/>
    <col min="9" max="9" width="33.09765625" style="86" bestFit="1" customWidth="1"/>
    <col min="10" max="10" width="20" style="86" customWidth="1"/>
    <col min="11" max="11" width="11.19921875" style="86" customWidth="1"/>
    <col min="12" max="16384" width="11.19921875" style="86"/>
  </cols>
  <sheetData>
    <row r="1" spans="1:22">
      <c r="A1" s="351" t="str">
        <f>計畫經費彙總表!A1</f>
        <v>五常物業規劃顧問股份(閉鎖型)有限公司</v>
      </c>
      <c r="B1" s="351"/>
      <c r="C1" s="351"/>
      <c r="D1" s="351"/>
      <c r="E1" s="351"/>
      <c r="F1" s="351"/>
      <c r="G1" s="351"/>
      <c r="H1" s="351"/>
      <c r="I1" s="351"/>
      <c r="J1" s="351"/>
    </row>
    <row r="2" spans="1:22">
      <c r="A2" s="351" t="s">
        <v>55</v>
      </c>
      <c r="B2" s="351"/>
      <c r="C2" s="351"/>
      <c r="D2" s="351"/>
      <c r="E2" s="351"/>
      <c r="F2" s="351"/>
      <c r="G2" s="351"/>
      <c r="H2" s="351"/>
      <c r="I2" s="351"/>
      <c r="J2" s="351"/>
    </row>
    <row r="3" spans="1:22" ht="25.2" thickBot="1">
      <c r="A3" s="100"/>
      <c r="B3" s="100"/>
      <c r="C3" s="100"/>
      <c r="D3" s="100"/>
      <c r="E3" s="100"/>
      <c r="F3" s="100"/>
      <c r="G3" s="100"/>
      <c r="H3" s="100"/>
      <c r="I3" s="100" t="s">
        <v>35</v>
      </c>
      <c r="J3" s="100"/>
    </row>
    <row r="4" spans="1:22" s="87" customFormat="1" ht="49.2">
      <c r="A4" s="101" t="s">
        <v>56</v>
      </c>
      <c r="B4" s="355" t="s">
        <v>57</v>
      </c>
      <c r="C4" s="355"/>
      <c r="D4" s="355"/>
      <c r="E4" s="355"/>
      <c r="F4" s="327" t="s">
        <v>58</v>
      </c>
      <c r="G4" s="355" t="s">
        <v>59</v>
      </c>
      <c r="H4" s="355"/>
      <c r="I4" s="102" t="s">
        <v>60</v>
      </c>
      <c r="J4" s="103" t="s">
        <v>61</v>
      </c>
    </row>
    <row r="5" spans="1:22">
      <c r="A5" s="253" t="s">
        <v>47</v>
      </c>
      <c r="B5" s="353"/>
      <c r="C5" s="353"/>
      <c r="D5" s="353"/>
      <c r="E5" s="353"/>
      <c r="F5" s="254"/>
      <c r="G5" s="353"/>
      <c r="H5" s="353"/>
      <c r="I5" s="255">
        <v>200</v>
      </c>
      <c r="J5" s="88"/>
    </row>
    <row r="6" spans="1:22">
      <c r="A6" s="253" t="s">
        <v>48</v>
      </c>
      <c r="B6" s="353"/>
      <c r="C6" s="353"/>
      <c r="D6" s="353"/>
      <c r="E6" s="353"/>
      <c r="F6" s="254"/>
      <c r="G6" s="353"/>
      <c r="H6" s="353"/>
      <c r="I6" s="255">
        <v>300</v>
      </c>
      <c r="J6" s="88"/>
    </row>
    <row r="7" spans="1:22">
      <c r="A7" s="253" t="s">
        <v>49</v>
      </c>
      <c r="B7" s="353"/>
      <c r="C7" s="353"/>
      <c r="D7" s="353"/>
      <c r="E7" s="353"/>
      <c r="F7" s="254"/>
      <c r="G7" s="353"/>
      <c r="H7" s="353"/>
      <c r="I7" s="255">
        <v>400</v>
      </c>
      <c r="J7" s="88"/>
    </row>
    <row r="8" spans="1:22">
      <c r="A8" s="253" t="s">
        <v>50</v>
      </c>
      <c r="B8" s="353"/>
      <c r="C8" s="353"/>
      <c r="D8" s="353"/>
      <c r="E8" s="353"/>
      <c r="F8" s="254"/>
      <c r="G8" s="353"/>
      <c r="H8" s="353"/>
      <c r="I8" s="255">
        <v>500</v>
      </c>
      <c r="J8" s="88"/>
    </row>
    <row r="9" spans="1:22">
      <c r="A9" s="259"/>
      <c r="B9" s="353"/>
      <c r="C9" s="353"/>
      <c r="D9" s="353"/>
      <c r="E9" s="353"/>
      <c r="F9" s="254"/>
      <c r="G9" s="353"/>
      <c r="H9" s="353"/>
      <c r="I9" s="255"/>
      <c r="J9" s="88"/>
    </row>
    <row r="10" spans="1:22">
      <c r="A10" s="260"/>
      <c r="B10" s="353"/>
      <c r="C10" s="353"/>
      <c r="D10" s="353"/>
      <c r="E10" s="353"/>
      <c r="F10" s="254"/>
      <c r="G10" s="353"/>
      <c r="H10" s="353"/>
      <c r="I10" s="255"/>
      <c r="J10" s="88"/>
    </row>
    <row r="11" spans="1:22" ht="25.2" thickBot="1">
      <c r="A11" s="319" t="s">
        <v>62</v>
      </c>
      <c r="B11" s="354"/>
      <c r="C11" s="354"/>
      <c r="D11" s="354"/>
      <c r="E11" s="354"/>
      <c r="F11" s="89"/>
      <c r="G11" s="354"/>
      <c r="H11" s="354"/>
      <c r="I11" s="90">
        <f>ROUND(SUM(I5:I10),0)</f>
        <v>1400</v>
      </c>
      <c r="J11" s="91"/>
    </row>
    <row r="12" spans="1:22">
      <c r="A12" s="50"/>
      <c r="B12" s="92"/>
      <c r="C12" s="92"/>
      <c r="D12" s="92"/>
      <c r="E12" s="92"/>
      <c r="F12" s="92"/>
      <c r="G12" s="92"/>
      <c r="H12" s="92"/>
      <c r="I12" s="92"/>
    </row>
    <row r="13" spans="1:22" s="18" customFormat="1" ht="17.399999999999999">
      <c r="A13" s="93" t="s">
        <v>31</v>
      </c>
      <c r="D13" s="93" t="s">
        <v>32</v>
      </c>
      <c r="H13" s="94" t="s">
        <v>33</v>
      </c>
    </row>
    <row r="14" spans="1:22">
      <c r="G14" s="95"/>
      <c r="H14" s="95"/>
      <c r="I14" s="95"/>
    </row>
    <row r="15" spans="1:22">
      <c r="A15" s="96"/>
      <c r="D15" s="97"/>
      <c r="E15" s="97"/>
      <c r="F15" s="97"/>
      <c r="G15" s="95"/>
      <c r="H15" s="98"/>
      <c r="I15" s="98"/>
      <c r="K15" s="96"/>
      <c r="V15" s="99"/>
    </row>
  </sheetData>
  <sheetProtection formatCells="0" formatColumns="0" formatRows="0" insertRows="0"/>
  <mergeCells count="18">
    <mergeCell ref="A1:J1"/>
    <mergeCell ref="A2:J2"/>
    <mergeCell ref="B4:E4"/>
    <mergeCell ref="G4:H4"/>
    <mergeCell ref="B5:E5"/>
    <mergeCell ref="G5:H5"/>
    <mergeCell ref="B6:E6"/>
    <mergeCell ref="G6:H6"/>
    <mergeCell ref="B7:E7"/>
    <mergeCell ref="G7:H7"/>
    <mergeCell ref="B8:E8"/>
    <mergeCell ref="G8:H8"/>
    <mergeCell ref="B9:E9"/>
    <mergeCell ref="G9:H9"/>
    <mergeCell ref="B10:E10"/>
    <mergeCell ref="G10:H10"/>
    <mergeCell ref="B11:E11"/>
    <mergeCell ref="G11:H11"/>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68" fitToWidth="0" fitToHeight="0" orientation="landscape" blackAndWhite="1"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E23"/>
  <sheetViews>
    <sheetView view="pageBreakPreview" zoomScale="60" zoomScaleNormal="80" workbookViewId="0">
      <selection activeCell="A3" sqref="A3"/>
    </sheetView>
  </sheetViews>
  <sheetFormatPr defaultColWidth="11.19921875" defaultRowHeight="15.6"/>
  <cols>
    <col min="1" max="1" width="25.69921875" style="104" customWidth="1"/>
    <col min="2" max="2" width="18.19921875" style="104" customWidth="1"/>
    <col min="3" max="3" width="23.19921875" style="104" customWidth="1"/>
    <col min="4" max="4" width="24.59765625" style="104" customWidth="1"/>
    <col min="5" max="5" width="31.19921875" style="104" customWidth="1"/>
    <col min="6" max="6" width="11.19921875" style="104" customWidth="1"/>
    <col min="7" max="16384" width="11.19921875" style="104"/>
  </cols>
  <sheetData>
    <row r="1" spans="1:5" ht="33" customHeight="1">
      <c r="A1" s="351" t="str">
        <f>計畫經費彙總表!A1</f>
        <v>五常物業規劃顧問股份(閉鎖型)有限公司</v>
      </c>
      <c r="B1" s="351"/>
      <c r="C1" s="351"/>
      <c r="D1" s="351"/>
      <c r="E1" s="351"/>
    </row>
    <row r="2" spans="1:5" ht="30" customHeight="1">
      <c r="A2" s="347" t="s">
        <v>63</v>
      </c>
      <c r="B2" s="347"/>
      <c r="C2" s="347"/>
      <c r="D2" s="347"/>
      <c r="E2" s="347"/>
    </row>
    <row r="3" spans="1:5" ht="16.2">
      <c r="A3" s="5"/>
      <c r="B3" s="5"/>
      <c r="C3" s="5"/>
      <c r="D3" s="5"/>
      <c r="E3" s="6" t="s">
        <v>35</v>
      </c>
    </row>
    <row r="4" spans="1:5" s="105" customFormat="1" ht="24.75" customHeight="1" thickBot="1">
      <c r="A4" s="330" t="s">
        <v>64</v>
      </c>
      <c r="B4" s="112" t="s">
        <v>36</v>
      </c>
      <c r="C4" s="112" t="s">
        <v>37</v>
      </c>
      <c r="D4" s="112" t="s">
        <v>65</v>
      </c>
      <c r="E4" s="7" t="s">
        <v>66</v>
      </c>
    </row>
    <row r="5" spans="1:5" ht="24.75" customHeight="1">
      <c r="A5" s="113"/>
      <c r="B5" s="114"/>
      <c r="C5" s="114"/>
      <c r="D5" s="114"/>
      <c r="E5" s="115"/>
    </row>
    <row r="6" spans="1:5" ht="24.75" customHeight="1">
      <c r="A6" s="256" t="s">
        <v>67</v>
      </c>
      <c r="B6" s="257"/>
      <c r="C6" s="257"/>
      <c r="D6" s="257"/>
      <c r="E6" s="258">
        <v>10000</v>
      </c>
    </row>
    <row r="7" spans="1:5" ht="24.75" customHeight="1">
      <c r="A7" s="256" t="s">
        <v>68</v>
      </c>
      <c r="B7" s="257"/>
      <c r="C7" s="257"/>
      <c r="D7" s="257"/>
      <c r="E7" s="258">
        <v>10000</v>
      </c>
    </row>
    <row r="8" spans="1:5" ht="24.75" customHeight="1">
      <c r="A8" s="256">
        <v>3</v>
      </c>
      <c r="B8" s="257"/>
      <c r="C8" s="257"/>
      <c r="D8" s="257"/>
      <c r="E8" s="258"/>
    </row>
    <row r="9" spans="1:5" ht="24.75" customHeight="1">
      <c r="A9" s="256">
        <v>4</v>
      </c>
      <c r="B9" s="257"/>
      <c r="C9" s="257"/>
      <c r="D9" s="257"/>
      <c r="E9" s="258"/>
    </row>
    <row r="10" spans="1:5" ht="24.75" customHeight="1">
      <c r="A10" s="256">
        <v>5</v>
      </c>
      <c r="B10" s="257"/>
      <c r="C10" s="257"/>
      <c r="D10" s="257"/>
      <c r="E10" s="258"/>
    </row>
    <row r="11" spans="1:5" ht="24.75" customHeight="1">
      <c r="A11" s="256"/>
      <c r="B11" s="257"/>
      <c r="C11" s="257"/>
      <c r="D11" s="257"/>
      <c r="E11" s="258"/>
    </row>
    <row r="12" spans="1:5" ht="24.75" customHeight="1">
      <c r="A12" s="256"/>
      <c r="B12" s="257"/>
      <c r="C12" s="257"/>
      <c r="D12" s="257"/>
      <c r="E12" s="258"/>
    </row>
    <row r="13" spans="1:5" ht="24.75" customHeight="1">
      <c r="A13" s="256"/>
      <c r="B13" s="257"/>
      <c r="C13" s="257"/>
      <c r="D13" s="257"/>
      <c r="E13" s="258"/>
    </row>
    <row r="14" spans="1:5" ht="24.75" customHeight="1">
      <c r="A14" s="256"/>
      <c r="B14" s="257"/>
      <c r="C14" s="257"/>
      <c r="D14" s="257"/>
      <c r="E14" s="258"/>
    </row>
    <row r="15" spans="1:5" ht="24.75" customHeight="1" thickBot="1">
      <c r="A15" s="320" t="s">
        <v>69</v>
      </c>
      <c r="B15" s="106"/>
      <c r="C15" s="106"/>
      <c r="D15" s="106"/>
      <c r="E15" s="107">
        <f>ROUND(SUM(E6:E14),0)</f>
        <v>20000</v>
      </c>
    </row>
    <row r="17" spans="1:5" s="108" customFormat="1" ht="16.2">
      <c r="A17" s="356" t="s">
        <v>70</v>
      </c>
      <c r="B17" s="356"/>
      <c r="C17" s="356"/>
      <c r="D17" s="356"/>
      <c r="E17" s="356"/>
    </row>
    <row r="18" spans="1:5" s="108" customFormat="1" ht="16.2">
      <c r="A18" s="356" t="s">
        <v>71</v>
      </c>
      <c r="B18" s="356"/>
      <c r="C18" s="356"/>
      <c r="D18" s="356"/>
      <c r="E18" s="356"/>
    </row>
    <row r="19" spans="1:5" s="108" customFormat="1" ht="16.2">
      <c r="A19" s="15" t="s">
        <v>72</v>
      </c>
      <c r="B19" s="104"/>
      <c r="C19" s="104"/>
      <c r="D19" s="104"/>
      <c r="E19" s="104"/>
    </row>
    <row r="20" spans="1:5" s="108" customFormat="1" ht="19.8">
      <c r="A20" s="109"/>
    </row>
    <row r="21" spans="1:5" s="18" customFormat="1" ht="17.399999999999999">
      <c r="A21" s="93" t="s">
        <v>31</v>
      </c>
      <c r="C21" s="93" t="s">
        <v>32</v>
      </c>
      <c r="E21" s="94" t="s">
        <v>33</v>
      </c>
    </row>
    <row r="22" spans="1:5" s="108" customFormat="1" ht="16.8">
      <c r="A22" s="110"/>
    </row>
    <row r="23" spans="1:5" ht="16.8">
      <c r="C23" s="111"/>
    </row>
  </sheetData>
  <sheetProtection algorithmName="SHA-512" hashValue="3Zqi+Se2c8Rjn7oY/oQ5pluZjASUKerZe62WY5r0b6QG6ttaj7MKFHEa52ZpOYzyzmhQWsyXzsI5Ng5mHYkpBQ==" saltValue="qC7d1f2b7yZoO2y5vxtt6g==" spinCount="100000" sheet="1" formatCells="0" formatColumns="0" formatRows="0" insertRows="0"/>
  <mergeCells count="4">
    <mergeCell ref="A1:E1"/>
    <mergeCell ref="A2:E2"/>
    <mergeCell ref="A17:E17"/>
    <mergeCell ref="A18:E18"/>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A1:AJ24"/>
  <sheetViews>
    <sheetView view="pageBreakPreview" zoomScale="60" zoomScaleNormal="80" workbookViewId="0">
      <selection activeCell="A2" sqref="A2:AI2"/>
    </sheetView>
  </sheetViews>
  <sheetFormatPr defaultColWidth="11.19921875" defaultRowHeight="15.6"/>
  <cols>
    <col min="1" max="1" width="10.09765625" style="129" customWidth="1"/>
    <col min="2" max="2" width="3.69921875" style="104" customWidth="1"/>
    <col min="3" max="3" width="3.59765625" style="104" customWidth="1"/>
    <col min="4" max="4" width="4.59765625" style="104" customWidth="1"/>
    <col min="5" max="7" width="3.69921875" style="104" customWidth="1"/>
    <col min="8" max="8" width="4.5" style="104" customWidth="1"/>
    <col min="9" max="9" width="4.69921875" style="104" customWidth="1"/>
    <col min="10" max="10" width="3.69921875" style="104" customWidth="1"/>
    <col min="11" max="12" width="3.59765625" style="104" customWidth="1"/>
    <col min="13" max="18" width="4.19921875" style="104" customWidth="1"/>
    <col min="19" max="19" width="5" style="104" customWidth="1"/>
    <col min="20" max="32" width="4.19921875" style="104" customWidth="1"/>
    <col min="33" max="33" width="5.09765625" style="104" customWidth="1"/>
    <col min="34" max="34" width="6.5" style="104" customWidth="1"/>
    <col min="35" max="35" width="8.19921875" style="104" bestFit="1" customWidth="1"/>
    <col min="36" max="36" width="11.19921875" style="104" customWidth="1"/>
    <col min="37" max="16384" width="11.19921875" style="104"/>
  </cols>
  <sheetData>
    <row r="1" spans="1:36" ht="22.5" customHeight="1">
      <c r="A1" s="357" t="str">
        <f>計畫經費彙總表!A1</f>
        <v>五常物業規劃顧問股份(閉鎖型)有限公司</v>
      </c>
      <c r="B1" s="357"/>
      <c r="C1" s="357"/>
      <c r="D1" s="357"/>
      <c r="E1" s="357"/>
      <c r="F1" s="357"/>
      <c r="G1" s="357"/>
      <c r="H1" s="357"/>
      <c r="I1" s="357"/>
      <c r="J1" s="357"/>
      <c r="K1" s="357"/>
      <c r="L1" s="357"/>
      <c r="M1" s="357"/>
      <c r="N1" s="357"/>
      <c r="O1" s="357"/>
      <c r="P1" s="357"/>
      <c r="Q1" s="357"/>
      <c r="R1" s="357"/>
      <c r="S1" s="357"/>
      <c r="T1" s="357"/>
      <c r="U1" s="357"/>
      <c r="V1" s="357"/>
      <c r="W1" s="357"/>
      <c r="X1" s="357"/>
      <c r="Y1" s="357"/>
      <c r="Z1" s="357"/>
      <c r="AA1" s="357"/>
      <c r="AB1" s="357"/>
      <c r="AC1" s="357"/>
      <c r="AD1" s="357"/>
      <c r="AE1" s="357"/>
      <c r="AF1" s="357"/>
      <c r="AG1" s="357"/>
      <c r="AH1" s="357"/>
      <c r="AI1" s="357"/>
      <c r="AJ1" s="357"/>
    </row>
    <row r="2" spans="1:36" ht="30" customHeight="1">
      <c r="A2" s="358" t="s">
        <v>73</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250"/>
    </row>
    <row r="3" spans="1:36" s="117" customFormat="1" ht="45" customHeight="1">
      <c r="A3" s="8" t="s">
        <v>64</v>
      </c>
      <c r="B3" s="130">
        <v>1</v>
      </c>
      <c r="C3" s="130">
        <v>2</v>
      </c>
      <c r="D3" s="130">
        <v>3</v>
      </c>
      <c r="E3" s="130">
        <v>4</v>
      </c>
      <c r="F3" s="130">
        <v>5</v>
      </c>
      <c r="G3" s="130">
        <v>6</v>
      </c>
      <c r="H3" s="130">
        <v>7</v>
      </c>
      <c r="I3" s="130">
        <v>8</v>
      </c>
      <c r="J3" s="130">
        <v>9</v>
      </c>
      <c r="K3" s="130">
        <v>10</v>
      </c>
      <c r="L3" s="130">
        <v>11</v>
      </c>
      <c r="M3" s="130">
        <v>12</v>
      </c>
      <c r="N3" s="130">
        <v>13</v>
      </c>
      <c r="O3" s="130">
        <v>14</v>
      </c>
      <c r="P3" s="130">
        <v>15</v>
      </c>
      <c r="Q3" s="130">
        <v>16</v>
      </c>
      <c r="R3" s="130">
        <v>17</v>
      </c>
      <c r="S3" s="130">
        <v>18</v>
      </c>
      <c r="T3" s="130">
        <v>19</v>
      </c>
      <c r="U3" s="130">
        <v>20</v>
      </c>
      <c r="V3" s="130">
        <v>21</v>
      </c>
      <c r="W3" s="130">
        <v>22</v>
      </c>
      <c r="X3" s="130">
        <v>23</v>
      </c>
      <c r="Y3" s="130">
        <v>24</v>
      </c>
      <c r="Z3" s="130">
        <v>25</v>
      </c>
      <c r="AA3" s="130">
        <v>26</v>
      </c>
      <c r="AB3" s="130">
        <v>27</v>
      </c>
      <c r="AC3" s="116">
        <v>28</v>
      </c>
      <c r="AD3" s="116">
        <v>29</v>
      </c>
      <c r="AE3" s="116">
        <v>30</v>
      </c>
      <c r="AF3" s="116">
        <v>31</v>
      </c>
      <c r="AG3" s="8" t="s">
        <v>74</v>
      </c>
      <c r="AH3" s="9" t="s">
        <v>75</v>
      </c>
      <c r="AI3" s="133" t="s">
        <v>76</v>
      </c>
      <c r="AJ3" s="134" t="s">
        <v>77</v>
      </c>
    </row>
    <row r="4" spans="1:36" s="119" customFormat="1" ht="15" customHeight="1">
      <c r="A4" s="131"/>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18"/>
      <c r="AD4" s="118"/>
      <c r="AE4" s="118"/>
      <c r="AF4" s="118"/>
      <c r="AG4" s="135"/>
      <c r="AH4" s="135"/>
      <c r="AI4" s="136"/>
      <c r="AJ4" s="137"/>
    </row>
    <row r="5" spans="1:36">
      <c r="A5" s="251" t="s">
        <v>78</v>
      </c>
      <c r="B5" s="120"/>
      <c r="C5" s="120"/>
      <c r="D5" s="120">
        <v>8</v>
      </c>
      <c r="E5" s="120">
        <v>8</v>
      </c>
      <c r="F5" s="120">
        <v>8</v>
      </c>
      <c r="G5" s="120">
        <v>8</v>
      </c>
      <c r="H5" s="120">
        <v>8</v>
      </c>
      <c r="I5" s="120"/>
      <c r="J5" s="120"/>
      <c r="K5" s="120">
        <v>8</v>
      </c>
      <c r="L5" s="120">
        <v>8</v>
      </c>
      <c r="M5" s="120">
        <v>8</v>
      </c>
      <c r="N5" s="120">
        <v>8</v>
      </c>
      <c r="O5" s="120">
        <v>4</v>
      </c>
      <c r="P5" s="120"/>
      <c r="Q5" s="120"/>
      <c r="R5" s="120">
        <v>8</v>
      </c>
      <c r="S5" s="120">
        <v>8</v>
      </c>
      <c r="T5" s="120">
        <v>8</v>
      </c>
      <c r="U5" s="120">
        <v>4</v>
      </c>
      <c r="V5" s="120">
        <v>4.8</v>
      </c>
      <c r="W5" s="120"/>
      <c r="X5" s="120"/>
      <c r="Y5" s="120"/>
      <c r="Z5" s="120"/>
      <c r="AA5" s="120"/>
      <c r="AB5" s="120"/>
      <c r="AC5" s="120"/>
      <c r="AD5" s="120"/>
      <c r="AE5" s="120"/>
      <c r="AF5" s="120"/>
      <c r="AG5" s="121">
        <f>SUM(B5:AF5)</f>
        <v>108.8</v>
      </c>
      <c r="AH5" s="120">
        <v>160</v>
      </c>
      <c r="AI5" s="122">
        <f>AG5/AH5</f>
        <v>0.67999999999999994</v>
      </c>
      <c r="AJ5" s="123"/>
    </row>
    <row r="6" spans="1:36">
      <c r="A6" s="251" t="s">
        <v>79</v>
      </c>
      <c r="B6" s="120"/>
      <c r="C6" s="120"/>
      <c r="D6" s="120">
        <v>8</v>
      </c>
      <c r="E6" s="120">
        <v>8</v>
      </c>
      <c r="F6" s="120">
        <v>8</v>
      </c>
      <c r="G6" s="120">
        <v>8</v>
      </c>
      <c r="H6" s="120">
        <v>8</v>
      </c>
      <c r="I6" s="120"/>
      <c r="J6" s="120"/>
      <c r="K6" s="120">
        <v>8</v>
      </c>
      <c r="L6" s="120">
        <v>8</v>
      </c>
      <c r="M6" s="120">
        <v>8</v>
      </c>
      <c r="N6" s="120">
        <v>8</v>
      </c>
      <c r="O6" s="120">
        <v>8</v>
      </c>
      <c r="P6" s="120"/>
      <c r="Q6" s="120"/>
      <c r="R6" s="120">
        <v>8</v>
      </c>
      <c r="S6" s="120">
        <v>8</v>
      </c>
      <c r="T6" s="120">
        <v>8</v>
      </c>
      <c r="U6" s="120">
        <v>8</v>
      </c>
      <c r="V6" s="120">
        <v>8</v>
      </c>
      <c r="W6" s="120"/>
      <c r="X6" s="120"/>
      <c r="Y6" s="120">
        <v>8</v>
      </c>
      <c r="Z6" s="120">
        <v>8</v>
      </c>
      <c r="AA6" s="120">
        <v>8</v>
      </c>
      <c r="AB6" s="120">
        <v>8</v>
      </c>
      <c r="AC6" s="120">
        <v>8</v>
      </c>
      <c r="AD6" s="120"/>
      <c r="AE6" s="120"/>
      <c r="AF6" s="120"/>
      <c r="AG6" s="121">
        <f>SUM(B6:AF6)</f>
        <v>160</v>
      </c>
      <c r="AH6" s="120">
        <v>160</v>
      </c>
      <c r="AI6" s="122">
        <f>AG6/AH6</f>
        <v>1</v>
      </c>
      <c r="AJ6" s="123"/>
    </row>
    <row r="7" spans="1:36">
      <c r="A7" s="251" t="s">
        <v>80</v>
      </c>
      <c r="B7" s="120"/>
      <c r="C7" s="120"/>
      <c r="D7" s="120">
        <v>4</v>
      </c>
      <c r="E7" s="120">
        <v>4</v>
      </c>
      <c r="F7" s="120">
        <v>4</v>
      </c>
      <c r="G7" s="120">
        <v>4</v>
      </c>
      <c r="H7" s="120">
        <v>4</v>
      </c>
      <c r="I7" s="120"/>
      <c r="J7" s="120"/>
      <c r="K7" s="120">
        <v>4</v>
      </c>
      <c r="L7" s="120">
        <v>4</v>
      </c>
      <c r="M7" s="120">
        <v>4</v>
      </c>
      <c r="N7" s="120">
        <v>4</v>
      </c>
      <c r="O7" s="120">
        <v>4</v>
      </c>
      <c r="P7" s="120"/>
      <c r="Q7" s="120"/>
      <c r="R7" s="120">
        <v>4</v>
      </c>
      <c r="S7" s="120">
        <v>4</v>
      </c>
      <c r="T7" s="120">
        <v>4</v>
      </c>
      <c r="U7" s="120">
        <v>4</v>
      </c>
      <c r="V7" s="120">
        <v>4</v>
      </c>
      <c r="W7" s="120"/>
      <c r="X7" s="120"/>
      <c r="Y7" s="120">
        <v>4</v>
      </c>
      <c r="Z7" s="120">
        <v>4</v>
      </c>
      <c r="AA7" s="120">
        <v>4</v>
      </c>
      <c r="AB7" s="120">
        <v>4</v>
      </c>
      <c r="AC7" s="120">
        <v>4</v>
      </c>
      <c r="AD7" s="120"/>
      <c r="AE7" s="120"/>
      <c r="AF7" s="120"/>
      <c r="AG7" s="121">
        <f>SUM(B7:AF7)</f>
        <v>80</v>
      </c>
      <c r="AH7" s="120">
        <v>160</v>
      </c>
      <c r="AI7" s="122">
        <f>AG7/AH7</f>
        <v>0.5</v>
      </c>
      <c r="AJ7" s="123"/>
    </row>
    <row r="8" spans="1:36">
      <c r="A8" s="251" t="s">
        <v>81</v>
      </c>
      <c r="B8" s="120"/>
      <c r="C8" s="120"/>
      <c r="D8" s="120">
        <v>8</v>
      </c>
      <c r="E8" s="120">
        <v>8</v>
      </c>
      <c r="F8" s="120">
        <v>8</v>
      </c>
      <c r="G8" s="120">
        <v>8</v>
      </c>
      <c r="H8" s="120">
        <v>8</v>
      </c>
      <c r="I8" s="120"/>
      <c r="J8" s="120"/>
      <c r="K8" s="120">
        <v>8</v>
      </c>
      <c r="L8" s="120">
        <v>8</v>
      </c>
      <c r="M8" s="120">
        <v>8</v>
      </c>
      <c r="N8" s="120">
        <v>8</v>
      </c>
      <c r="O8" s="120">
        <v>8</v>
      </c>
      <c r="P8" s="120"/>
      <c r="Q8" s="120"/>
      <c r="R8" s="120">
        <v>4</v>
      </c>
      <c r="S8" s="120">
        <v>4</v>
      </c>
      <c r="T8" s="120">
        <v>4</v>
      </c>
      <c r="U8" s="120">
        <v>4</v>
      </c>
      <c r="V8" s="120">
        <v>4</v>
      </c>
      <c r="W8" s="120"/>
      <c r="X8" s="120"/>
      <c r="Y8" s="120">
        <v>4</v>
      </c>
      <c r="Z8" s="120">
        <v>4</v>
      </c>
      <c r="AA8" s="120">
        <v>4</v>
      </c>
      <c r="AB8" s="120">
        <v>4</v>
      </c>
      <c r="AC8" s="120">
        <v>4</v>
      </c>
      <c r="AD8" s="120"/>
      <c r="AE8" s="120"/>
      <c r="AF8" s="120"/>
      <c r="AG8" s="121">
        <f>SUM(B8:AF8)</f>
        <v>120</v>
      </c>
      <c r="AH8" s="120">
        <v>160</v>
      </c>
      <c r="AI8" s="122">
        <f>AG8/AH8</f>
        <v>0.75</v>
      </c>
      <c r="AJ8" s="123"/>
    </row>
    <row r="9" spans="1:36" ht="17.25" customHeight="1">
      <c r="A9" s="252"/>
      <c r="B9" s="120"/>
      <c r="C9" s="120"/>
      <c r="D9" s="120"/>
      <c r="E9" s="120"/>
      <c r="F9" s="120"/>
      <c r="G9" s="120"/>
      <c r="H9" s="120"/>
      <c r="I9" s="120"/>
      <c r="J9" s="120"/>
      <c r="K9" s="120"/>
      <c r="L9" s="120"/>
      <c r="M9" s="120"/>
      <c r="N9" s="120"/>
      <c r="O9" s="120"/>
      <c r="P9" s="120"/>
      <c r="Q9" s="120"/>
      <c r="R9" s="120"/>
      <c r="S9" s="120"/>
      <c r="T9" s="120"/>
      <c r="U9" s="120"/>
      <c r="V9" s="120"/>
      <c r="W9" s="120"/>
      <c r="X9" s="120"/>
      <c r="Y9" s="120"/>
      <c r="Z9" s="120"/>
      <c r="AA9" s="120"/>
      <c r="AB9" s="120"/>
      <c r="AC9" s="120"/>
      <c r="AD9" s="120"/>
      <c r="AE9" s="120"/>
      <c r="AF9" s="120"/>
      <c r="AG9" s="121"/>
      <c r="AH9" s="120"/>
      <c r="AI9" s="122"/>
      <c r="AJ9" s="123"/>
    </row>
    <row r="10" spans="1:36" ht="15.75" customHeight="1">
      <c r="A10" s="251"/>
      <c r="B10" s="120"/>
      <c r="C10" s="120"/>
      <c r="D10" s="120"/>
      <c r="E10" s="120"/>
      <c r="F10" s="120"/>
      <c r="G10" s="120"/>
      <c r="H10" s="120"/>
      <c r="I10" s="120"/>
      <c r="J10" s="120"/>
      <c r="K10" s="120"/>
      <c r="L10" s="120"/>
      <c r="M10" s="120"/>
      <c r="N10" s="120"/>
      <c r="O10" s="120"/>
      <c r="P10" s="120"/>
      <c r="Q10" s="120"/>
      <c r="R10" s="120"/>
      <c r="S10" s="120"/>
      <c r="T10" s="120"/>
      <c r="U10" s="120"/>
      <c r="V10" s="120"/>
      <c r="W10" s="120"/>
      <c r="X10" s="120"/>
      <c r="Y10" s="120"/>
      <c r="Z10" s="120"/>
      <c r="AA10" s="120"/>
      <c r="AB10" s="120"/>
      <c r="AC10" s="120"/>
      <c r="AD10" s="120"/>
      <c r="AE10" s="120"/>
      <c r="AF10" s="120"/>
      <c r="AG10" s="121"/>
      <c r="AH10" s="120"/>
      <c r="AI10" s="122"/>
      <c r="AJ10" s="123"/>
    </row>
    <row r="11" spans="1:36">
      <c r="A11" s="251"/>
      <c r="B11" s="120"/>
      <c r="C11" s="120"/>
      <c r="D11" s="120"/>
      <c r="E11" s="120"/>
      <c r="F11" s="120"/>
      <c r="G11" s="120"/>
      <c r="H11" s="120"/>
      <c r="I11" s="120"/>
      <c r="J11" s="120"/>
      <c r="K11" s="120"/>
      <c r="L11" s="120"/>
      <c r="M11" s="120"/>
      <c r="N11" s="120"/>
      <c r="O11" s="120"/>
      <c r="P11" s="120"/>
      <c r="Q11" s="120"/>
      <c r="R11" s="120"/>
      <c r="S11" s="120"/>
      <c r="T11" s="120"/>
      <c r="U11" s="120"/>
      <c r="V11" s="120"/>
      <c r="W11" s="120"/>
      <c r="X11" s="120"/>
      <c r="Y11" s="120"/>
      <c r="Z11" s="120"/>
      <c r="AA11" s="120"/>
      <c r="AB11" s="120"/>
      <c r="AC11" s="120"/>
      <c r="AD11" s="120"/>
      <c r="AE11" s="120"/>
      <c r="AF11" s="120"/>
      <c r="AG11" s="121"/>
      <c r="AH11" s="120"/>
      <c r="AI11" s="122"/>
      <c r="AJ11" s="123"/>
    </row>
    <row r="12" spans="1:36">
      <c r="A12" s="251"/>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1"/>
      <c r="AH12" s="120"/>
      <c r="AI12" s="122"/>
      <c r="AJ12" s="123"/>
    </row>
    <row r="13" spans="1:36">
      <c r="A13" s="251"/>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1"/>
      <c r="AH13" s="120"/>
      <c r="AI13" s="122"/>
      <c r="AJ13" s="123"/>
    </row>
    <row r="14" spans="1:36" ht="20.25" customHeight="1">
      <c r="A14" s="251"/>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0"/>
      <c r="AF14" s="120"/>
      <c r="AG14" s="121"/>
      <c r="AH14" s="120"/>
      <c r="AI14" s="122"/>
      <c r="AJ14" s="123"/>
    </row>
    <row r="15" spans="1:36" ht="15.75" customHeight="1">
      <c r="A15" s="251"/>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1"/>
      <c r="AH15" s="120"/>
      <c r="AI15" s="122"/>
      <c r="AJ15" s="123"/>
    </row>
    <row r="16" spans="1:36" ht="15.75" customHeight="1">
      <c r="A16" s="251"/>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20"/>
      <c r="AI16" s="122"/>
      <c r="AJ16" s="123"/>
    </row>
    <row r="17" spans="1:36" ht="18.75" customHeight="1">
      <c r="A17" s="321" t="s">
        <v>74</v>
      </c>
      <c r="B17" s="121">
        <f t="shared" ref="B17:AG17" si="0">SUM(B5:B16)</f>
        <v>0</v>
      </c>
      <c r="C17" s="121">
        <f t="shared" si="0"/>
        <v>0</v>
      </c>
      <c r="D17" s="121">
        <f t="shared" si="0"/>
        <v>28</v>
      </c>
      <c r="E17" s="121">
        <f t="shared" si="0"/>
        <v>28</v>
      </c>
      <c r="F17" s="121">
        <f t="shared" si="0"/>
        <v>28</v>
      </c>
      <c r="G17" s="121">
        <f t="shared" si="0"/>
        <v>28</v>
      </c>
      <c r="H17" s="121">
        <f t="shared" si="0"/>
        <v>28</v>
      </c>
      <c r="I17" s="121">
        <f t="shared" si="0"/>
        <v>0</v>
      </c>
      <c r="J17" s="121">
        <f t="shared" si="0"/>
        <v>0</v>
      </c>
      <c r="K17" s="121">
        <f t="shared" si="0"/>
        <v>28</v>
      </c>
      <c r="L17" s="121">
        <f t="shared" si="0"/>
        <v>28</v>
      </c>
      <c r="M17" s="121">
        <f t="shared" si="0"/>
        <v>28</v>
      </c>
      <c r="N17" s="121">
        <f t="shared" si="0"/>
        <v>28</v>
      </c>
      <c r="O17" s="121">
        <f t="shared" si="0"/>
        <v>24</v>
      </c>
      <c r="P17" s="121">
        <f t="shared" si="0"/>
        <v>0</v>
      </c>
      <c r="Q17" s="121">
        <f t="shared" si="0"/>
        <v>0</v>
      </c>
      <c r="R17" s="121">
        <f t="shared" si="0"/>
        <v>24</v>
      </c>
      <c r="S17" s="121">
        <f t="shared" si="0"/>
        <v>24</v>
      </c>
      <c r="T17" s="121">
        <f t="shared" si="0"/>
        <v>24</v>
      </c>
      <c r="U17" s="121">
        <f t="shared" si="0"/>
        <v>20</v>
      </c>
      <c r="V17" s="121">
        <f t="shared" si="0"/>
        <v>20.8</v>
      </c>
      <c r="W17" s="121">
        <f t="shared" si="0"/>
        <v>0</v>
      </c>
      <c r="X17" s="121">
        <f t="shared" si="0"/>
        <v>0</v>
      </c>
      <c r="Y17" s="121">
        <f t="shared" si="0"/>
        <v>16</v>
      </c>
      <c r="Z17" s="121">
        <f t="shared" si="0"/>
        <v>16</v>
      </c>
      <c r="AA17" s="121">
        <f t="shared" si="0"/>
        <v>16</v>
      </c>
      <c r="AB17" s="121">
        <f t="shared" si="0"/>
        <v>16</v>
      </c>
      <c r="AC17" s="121">
        <f t="shared" si="0"/>
        <v>16</v>
      </c>
      <c r="AD17" s="121">
        <f t="shared" si="0"/>
        <v>0</v>
      </c>
      <c r="AE17" s="121">
        <f t="shared" si="0"/>
        <v>0</v>
      </c>
      <c r="AF17" s="121">
        <f t="shared" si="0"/>
        <v>0</v>
      </c>
      <c r="AG17" s="121">
        <f t="shared" si="0"/>
        <v>468.8</v>
      </c>
      <c r="AH17" s="121"/>
      <c r="AI17" s="122">
        <f>SUM(AI5:AI16)</f>
        <v>2.9299999999999997</v>
      </c>
      <c r="AJ17" s="123"/>
    </row>
    <row r="18" spans="1:36" s="108" customFormat="1" ht="13.8">
      <c r="A18" s="14"/>
    </row>
    <row r="19" spans="1:36" s="108" customFormat="1" ht="13.8">
      <c r="A19" s="14" t="s">
        <v>82</v>
      </c>
    </row>
    <row r="20" spans="1:36" s="108" customFormat="1" ht="13.8">
      <c r="A20" s="14" t="s">
        <v>83</v>
      </c>
    </row>
    <row r="21" spans="1:36" s="108" customFormat="1" ht="13.8">
      <c r="A21" s="14" t="s">
        <v>84</v>
      </c>
    </row>
    <row r="22" spans="1:36">
      <c r="A22" s="124" t="s">
        <v>85</v>
      </c>
    </row>
    <row r="23" spans="1:36" ht="16.8">
      <c r="A23" s="124"/>
      <c r="B23" s="111"/>
      <c r="C23" s="110"/>
      <c r="D23" s="111"/>
      <c r="E23" s="111"/>
      <c r="G23" s="125"/>
      <c r="H23" s="111"/>
      <c r="J23" s="111"/>
      <c r="K23" s="111"/>
      <c r="M23" s="110"/>
      <c r="X23" s="126"/>
    </row>
    <row r="24" spans="1:36" s="128" customFormat="1" ht="17.399999999999999">
      <c r="A24" s="127"/>
      <c r="B24" s="18"/>
      <c r="C24" s="18"/>
      <c r="D24" s="18"/>
      <c r="E24" s="93" t="s">
        <v>31</v>
      </c>
      <c r="F24" s="18"/>
      <c r="G24" s="18"/>
      <c r="H24" s="18"/>
      <c r="I24" s="127"/>
      <c r="J24" s="18"/>
      <c r="K24" s="18"/>
      <c r="L24" s="18"/>
      <c r="M24" s="18"/>
      <c r="N24" s="18"/>
      <c r="O24" s="18"/>
      <c r="P24" s="18"/>
      <c r="Q24" s="18"/>
      <c r="R24" s="18"/>
      <c r="S24" s="93" t="s">
        <v>32</v>
      </c>
      <c r="T24" s="18"/>
      <c r="U24" s="18"/>
      <c r="V24" s="18"/>
      <c r="W24" s="18"/>
      <c r="X24" s="18"/>
      <c r="Y24" s="18"/>
      <c r="Z24" s="18"/>
      <c r="AA24" s="18"/>
      <c r="AB24" s="18"/>
      <c r="AC24" s="18"/>
      <c r="AD24" s="94" t="s">
        <v>33</v>
      </c>
      <c r="AE24" s="18"/>
      <c r="AF24" s="18"/>
      <c r="AG24" s="18"/>
      <c r="AH24" s="18"/>
      <c r="AI24" s="18"/>
      <c r="AJ24" s="18"/>
    </row>
  </sheetData>
  <sheetProtection algorithmName="SHA-512" hashValue="MFpuE0DVHvno3uRNfienAHzyYCbhoYpX2lI/6KqwIkdOngVhXa+NzhQFlFCXFebjtgXi9Zm4nUDOs6ILrv7DEg==" saltValue="OrO6c/MRG4PDNgndvxsO+w==" spinCount="100000" sheet="1" formatCells="0" formatColumns="0" formatRows="0" insertRows="0"/>
  <mergeCells count="2">
    <mergeCell ref="A1:AJ1"/>
    <mergeCell ref="A2:AI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J38"/>
  <sheetViews>
    <sheetView view="pageBreakPreview" zoomScale="60" zoomScaleNormal="80" workbookViewId="0">
      <selection activeCell="D10" sqref="D10"/>
    </sheetView>
  </sheetViews>
  <sheetFormatPr defaultColWidth="11.19921875" defaultRowHeight="16.2"/>
  <cols>
    <col min="1" max="1" width="13.19921875" style="104" customWidth="1"/>
    <col min="2" max="2" width="13.69921875" style="104" customWidth="1"/>
    <col min="3" max="3" width="15" style="104" customWidth="1"/>
    <col min="4" max="4" width="15.09765625" style="104" customWidth="1"/>
    <col min="5" max="5" width="10.09765625" style="104" bestFit="1" customWidth="1"/>
    <col min="6" max="6" width="16.19921875" style="15" customWidth="1"/>
    <col min="7" max="7" width="27.09765625" style="104" customWidth="1"/>
    <col min="8" max="8" width="7.59765625" style="129" customWidth="1"/>
    <col min="9" max="9" width="30.59765625" style="104" customWidth="1"/>
    <col min="10" max="10" width="27.5" style="104" customWidth="1"/>
    <col min="11" max="11" width="11.19921875" style="104" customWidth="1"/>
    <col min="12" max="12" width="11.09765625" style="104" customWidth="1"/>
    <col min="13" max="13" width="11.19921875" style="104" customWidth="1"/>
    <col min="14" max="16384" width="11.19921875" style="104"/>
  </cols>
  <sheetData>
    <row r="1" spans="1:10" ht="21.75" customHeight="1">
      <c r="A1" s="359" t="str">
        <f>計畫經費彙總表!A1</f>
        <v>五常物業規劃顧問股份(閉鎖型)有限公司</v>
      </c>
      <c r="B1" s="359"/>
      <c r="C1" s="359"/>
      <c r="D1" s="359"/>
      <c r="E1" s="359"/>
      <c r="F1" s="359"/>
      <c r="G1" s="359"/>
      <c r="H1" s="359"/>
      <c r="I1" s="359"/>
      <c r="J1" s="359"/>
    </row>
    <row r="2" spans="1:10" ht="22.2">
      <c r="A2" s="347" t="s">
        <v>86</v>
      </c>
      <c r="B2" s="347"/>
      <c r="C2" s="347"/>
      <c r="D2" s="347"/>
      <c r="E2" s="347"/>
      <c r="F2" s="347"/>
      <c r="G2" s="347"/>
      <c r="H2" s="347"/>
      <c r="I2" s="347"/>
      <c r="J2" s="347"/>
    </row>
    <row r="3" spans="1:10">
      <c r="A3" s="5"/>
      <c r="B3" s="5"/>
      <c r="C3" s="5"/>
      <c r="D3" s="5"/>
      <c r="E3" s="5"/>
      <c r="F3" s="5"/>
      <c r="G3" s="5"/>
      <c r="H3" s="5"/>
      <c r="I3" s="5"/>
      <c r="J3" s="6" t="s">
        <v>35</v>
      </c>
    </row>
    <row r="4" spans="1:10" s="138" customFormat="1" ht="45.75" customHeight="1" thickBot="1">
      <c r="A4" s="10" t="s">
        <v>36</v>
      </c>
      <c r="B4" s="11" t="s">
        <v>87</v>
      </c>
      <c r="C4" s="12" t="s">
        <v>88</v>
      </c>
      <c r="D4" s="12" t="s">
        <v>89</v>
      </c>
      <c r="E4" s="11" t="s">
        <v>90</v>
      </c>
      <c r="F4" s="12" t="s">
        <v>91</v>
      </c>
      <c r="G4" s="12" t="s">
        <v>92</v>
      </c>
      <c r="H4" s="11" t="s">
        <v>93</v>
      </c>
      <c r="I4" s="11" t="s">
        <v>94</v>
      </c>
      <c r="J4" s="13" t="s">
        <v>95</v>
      </c>
    </row>
    <row r="5" spans="1:10" ht="18" customHeight="1">
      <c r="A5" s="139"/>
      <c r="B5" s="140"/>
      <c r="C5" s="140"/>
      <c r="D5" s="140"/>
      <c r="E5" s="140"/>
      <c r="F5" s="141"/>
      <c r="G5" s="140"/>
      <c r="H5" s="142"/>
      <c r="I5" s="140"/>
      <c r="J5" s="143"/>
    </row>
    <row r="6" spans="1:10">
      <c r="A6" s="261" t="s">
        <v>96</v>
      </c>
      <c r="B6" s="262">
        <v>1120424002</v>
      </c>
      <c r="C6" s="262" t="s">
        <v>97</v>
      </c>
      <c r="D6" s="262" t="s">
        <v>98</v>
      </c>
      <c r="E6" s="263" t="s">
        <v>99</v>
      </c>
      <c r="F6" s="264" t="s">
        <v>100</v>
      </c>
      <c r="G6" s="264" t="s">
        <v>100</v>
      </c>
      <c r="H6" s="265">
        <v>1</v>
      </c>
      <c r="I6" s="263"/>
      <c r="J6" s="266">
        <v>1200</v>
      </c>
    </row>
    <row r="7" spans="1:10">
      <c r="A7" s="261" t="s">
        <v>101</v>
      </c>
      <c r="B7" s="262">
        <v>1120424002</v>
      </c>
      <c r="C7" s="262" t="s">
        <v>102</v>
      </c>
      <c r="D7" s="262" t="s">
        <v>103</v>
      </c>
      <c r="E7" s="263" t="s">
        <v>99</v>
      </c>
      <c r="F7" s="264" t="s">
        <v>104</v>
      </c>
      <c r="G7" s="264" t="s">
        <v>104</v>
      </c>
      <c r="H7" s="265">
        <v>3</v>
      </c>
      <c r="I7" s="263"/>
      <c r="J7" s="266">
        <v>6000</v>
      </c>
    </row>
    <row r="8" spans="1:10" ht="15" customHeight="1">
      <c r="A8" s="261"/>
      <c r="B8" s="262"/>
      <c r="C8" s="262"/>
      <c r="D8" s="262"/>
      <c r="E8" s="263"/>
      <c r="F8" s="267"/>
      <c r="G8" s="268"/>
      <c r="H8" s="265"/>
      <c r="I8" s="263"/>
      <c r="J8" s="266"/>
    </row>
    <row r="9" spans="1:10" ht="14.25" customHeight="1">
      <c r="A9" s="261"/>
      <c r="B9" s="262"/>
      <c r="C9" s="262"/>
      <c r="D9" s="262"/>
      <c r="E9" s="263"/>
      <c r="F9" s="267"/>
      <c r="G9" s="268"/>
      <c r="H9" s="265"/>
      <c r="I9" s="263"/>
      <c r="J9" s="266"/>
    </row>
    <row r="10" spans="1:10" ht="15" customHeight="1">
      <c r="A10" s="269"/>
      <c r="B10" s="262"/>
      <c r="C10" s="262"/>
      <c r="D10" s="262"/>
      <c r="E10" s="262"/>
      <c r="F10" s="268"/>
      <c r="G10" s="262"/>
      <c r="H10" s="265"/>
      <c r="I10" s="262"/>
      <c r="J10" s="266"/>
    </row>
    <row r="11" spans="1:10" ht="14.25" customHeight="1">
      <c r="A11" s="270"/>
      <c r="B11" s="262"/>
      <c r="C11" s="262"/>
      <c r="D11" s="262"/>
      <c r="E11" s="262"/>
      <c r="F11" s="268"/>
      <c r="G11" s="262"/>
      <c r="H11" s="265"/>
      <c r="I11" s="262"/>
      <c r="J11" s="266"/>
    </row>
    <row r="12" spans="1:10" s="15" customFormat="1" ht="12.75" customHeight="1">
      <c r="A12" s="271"/>
      <c r="B12" s="268"/>
      <c r="C12" s="268"/>
      <c r="D12" s="268"/>
      <c r="E12" s="268"/>
      <c r="F12" s="268"/>
      <c r="G12" s="268"/>
      <c r="H12" s="263"/>
      <c r="I12" s="268"/>
      <c r="J12" s="266"/>
    </row>
    <row r="13" spans="1:10" ht="15" customHeight="1">
      <c r="A13" s="261"/>
      <c r="B13" s="262"/>
      <c r="C13" s="262"/>
      <c r="D13" s="262"/>
      <c r="E13" s="262"/>
      <c r="F13" s="268"/>
      <c r="G13" s="262"/>
      <c r="H13" s="265"/>
      <c r="I13" s="262"/>
      <c r="J13" s="266"/>
    </row>
    <row r="14" spans="1:10" ht="12.75" customHeight="1">
      <c r="A14" s="269"/>
      <c r="B14" s="262"/>
      <c r="C14" s="262"/>
      <c r="D14" s="262"/>
      <c r="E14" s="262"/>
      <c r="F14" s="268"/>
      <c r="G14" s="262"/>
      <c r="H14" s="265"/>
      <c r="I14" s="262"/>
      <c r="J14" s="266"/>
    </row>
    <row r="15" spans="1:10" ht="15" customHeight="1">
      <c r="A15" s="270"/>
      <c r="B15" s="262"/>
      <c r="C15" s="262"/>
      <c r="D15" s="262"/>
      <c r="E15" s="262"/>
      <c r="F15" s="268"/>
      <c r="G15" s="262"/>
      <c r="H15" s="265"/>
      <c r="I15" s="262"/>
      <c r="J15" s="266"/>
    </row>
    <row r="16" spans="1:10" ht="15" customHeight="1">
      <c r="A16" s="261"/>
      <c r="B16" s="262"/>
      <c r="C16" s="262"/>
      <c r="D16" s="262"/>
      <c r="E16" s="262"/>
      <c r="F16" s="268"/>
      <c r="G16" s="262"/>
      <c r="H16" s="265"/>
      <c r="I16" s="262"/>
      <c r="J16" s="266"/>
    </row>
    <row r="17" spans="1:10" ht="13.5" customHeight="1">
      <c r="A17" s="261"/>
      <c r="B17" s="262"/>
      <c r="C17" s="262"/>
      <c r="D17" s="262"/>
      <c r="E17" s="262"/>
      <c r="F17" s="268"/>
      <c r="G17" s="262"/>
      <c r="H17" s="265"/>
      <c r="I17" s="262"/>
      <c r="J17" s="266"/>
    </row>
    <row r="18" spans="1:10" ht="15.75" customHeight="1">
      <c r="A18" s="269"/>
      <c r="B18" s="262"/>
      <c r="C18" s="262"/>
      <c r="D18" s="262"/>
      <c r="E18" s="262"/>
      <c r="F18" s="268"/>
      <c r="G18" s="262"/>
      <c r="H18" s="265"/>
      <c r="I18" s="262"/>
      <c r="J18" s="266"/>
    </row>
    <row r="19" spans="1:10" ht="17.25" customHeight="1">
      <c r="A19" s="270"/>
      <c r="B19" s="262"/>
      <c r="C19" s="262"/>
      <c r="D19" s="262"/>
      <c r="E19" s="262"/>
      <c r="F19" s="268"/>
      <c r="G19" s="262"/>
      <c r="H19" s="265"/>
      <c r="I19" s="262"/>
      <c r="J19" s="266"/>
    </row>
    <row r="20" spans="1:10" ht="15" customHeight="1">
      <c r="A20" s="261"/>
      <c r="B20" s="262"/>
      <c r="C20" s="262"/>
      <c r="D20" s="262"/>
      <c r="E20" s="262"/>
      <c r="F20" s="268"/>
      <c r="G20" s="262"/>
      <c r="H20" s="265"/>
      <c r="I20" s="262"/>
      <c r="J20" s="266"/>
    </row>
    <row r="21" spans="1:10" ht="14.25" customHeight="1">
      <c r="A21" s="261"/>
      <c r="B21" s="262"/>
      <c r="C21" s="262"/>
      <c r="D21" s="262"/>
      <c r="E21" s="262"/>
      <c r="F21" s="268"/>
      <c r="G21" s="262"/>
      <c r="H21" s="265"/>
      <c r="I21" s="262"/>
      <c r="J21" s="266"/>
    </row>
    <row r="22" spans="1:10" ht="18" customHeight="1">
      <c r="A22" s="272"/>
      <c r="B22" s="262"/>
      <c r="C22" s="262"/>
      <c r="D22" s="262"/>
      <c r="E22" s="262"/>
      <c r="F22" s="268"/>
      <c r="G22" s="262"/>
      <c r="H22" s="265"/>
      <c r="I22" s="262"/>
      <c r="J22" s="266"/>
    </row>
    <row r="23" spans="1:10" ht="15.75" customHeight="1">
      <c r="A23" s="270"/>
      <c r="B23" s="262"/>
      <c r="C23" s="262"/>
      <c r="D23" s="262"/>
      <c r="E23" s="262"/>
      <c r="F23" s="268"/>
      <c r="G23" s="262"/>
      <c r="H23" s="265"/>
      <c r="I23" s="262"/>
      <c r="J23" s="266"/>
    </row>
    <row r="24" spans="1:10" ht="15.75" customHeight="1">
      <c r="A24" s="261"/>
      <c r="B24" s="262"/>
      <c r="C24" s="262"/>
      <c r="D24" s="262"/>
      <c r="E24" s="262"/>
      <c r="F24" s="268"/>
      <c r="G24" s="262"/>
      <c r="H24" s="265"/>
      <c r="I24" s="262"/>
      <c r="J24" s="266"/>
    </row>
    <row r="25" spans="1:10" ht="16.5" customHeight="1">
      <c r="A25" s="261"/>
      <c r="B25" s="262"/>
      <c r="C25" s="262"/>
      <c r="D25" s="262"/>
      <c r="E25" s="262"/>
      <c r="F25" s="268"/>
      <c r="G25" s="262"/>
      <c r="H25" s="265"/>
      <c r="I25" s="262"/>
      <c r="J25" s="266"/>
    </row>
    <row r="26" spans="1:10" ht="16.5" customHeight="1" thickBot="1">
      <c r="A26" s="273"/>
      <c r="B26" s="274"/>
      <c r="C26" s="274"/>
      <c r="D26" s="274"/>
      <c r="E26" s="274"/>
      <c r="F26" s="275"/>
      <c r="G26" s="274"/>
      <c r="H26" s="276"/>
      <c r="I26" s="274"/>
      <c r="J26" s="277"/>
    </row>
    <row r="27" spans="1:10" ht="17.25" customHeight="1" thickBot="1">
      <c r="A27" s="322" t="s">
        <v>105</v>
      </c>
      <c r="B27" s="147"/>
      <c r="C27" s="147"/>
      <c r="D27" s="147"/>
      <c r="E27" s="147"/>
      <c r="F27" s="148"/>
      <c r="G27" s="147"/>
      <c r="H27" s="146"/>
      <c r="I27" s="147"/>
      <c r="J27" s="149">
        <f>ROUND(SUM(J5:J26),0)</f>
        <v>7200</v>
      </c>
    </row>
    <row r="28" spans="1:10" ht="17.25" customHeight="1">
      <c r="A28" s="150"/>
      <c r="B28" s="119"/>
      <c r="C28" s="119"/>
      <c r="D28" s="119"/>
      <c r="E28" s="119"/>
      <c r="F28" s="151"/>
      <c r="G28" s="119"/>
      <c r="I28" s="119"/>
      <c r="J28" s="152"/>
    </row>
    <row r="29" spans="1:10" ht="14.25" customHeight="1">
      <c r="A29" s="153" t="s">
        <v>106</v>
      </c>
    </row>
    <row r="30" spans="1:10" ht="14.25" customHeight="1">
      <c r="A30" s="153" t="s">
        <v>107</v>
      </c>
    </row>
    <row r="31" spans="1:10" ht="14.25" customHeight="1">
      <c r="A31" s="153" t="s">
        <v>108</v>
      </c>
    </row>
    <row r="32" spans="1:10">
      <c r="A32" s="14" t="s">
        <v>109</v>
      </c>
    </row>
    <row r="33" spans="1:10">
      <c r="A33" s="14" t="s">
        <v>110</v>
      </c>
    </row>
    <row r="34" spans="1:10" s="108" customFormat="1" ht="13.8">
      <c r="A34" s="360" t="s">
        <v>111</v>
      </c>
      <c r="B34" s="360"/>
      <c r="C34" s="360"/>
      <c r="D34" s="360"/>
      <c r="E34" s="360"/>
      <c r="F34" s="360"/>
      <c r="G34" s="360"/>
      <c r="H34" s="360"/>
      <c r="I34" s="360"/>
      <c r="J34" s="360"/>
    </row>
    <row r="35" spans="1:10" ht="15.6">
      <c r="A35" s="14" t="s">
        <v>112</v>
      </c>
      <c r="B35" s="108"/>
      <c r="C35" s="108"/>
      <c r="D35" s="108"/>
      <c r="E35" s="108"/>
      <c r="F35" s="14"/>
      <c r="G35" s="108"/>
      <c r="H35" s="154"/>
      <c r="I35" s="108"/>
      <c r="J35" s="108"/>
    </row>
    <row r="37" spans="1:10" s="18" customFormat="1" ht="17.399999999999999">
      <c r="B37" s="155" t="s">
        <v>31</v>
      </c>
      <c r="F37" s="93" t="s">
        <v>32</v>
      </c>
      <c r="I37" s="156" t="s">
        <v>33</v>
      </c>
    </row>
    <row r="38" spans="1:10" ht="14.25" customHeight="1">
      <c r="A38" s="14"/>
    </row>
  </sheetData>
  <sheetProtection algorithmName="SHA-512" hashValue="Q2fG9PfDGd2/0oVqs7vT8z54rUMK8J89OMqf3WItO6Q/iBlHoQRbYzbbAI8ZDnCI6WnoF9GEbpN7M93k6+gABg==" saltValue="yT6e4SqQ5W7jCdBdqw70HA==" spinCount="100000" sheet="1" formatCells="0" formatColumns="0" formatRows="0" insertRows="0"/>
  <mergeCells count="3">
    <mergeCell ref="A1:J1"/>
    <mergeCell ref="A2:J2"/>
    <mergeCell ref="A34:J34"/>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dimension ref="A1:L33"/>
  <sheetViews>
    <sheetView view="pageBreakPreview" zoomScale="98" zoomScaleNormal="80" zoomScaleSheetLayoutView="98" workbookViewId="0">
      <selection activeCell="I19" sqref="I19"/>
    </sheetView>
  </sheetViews>
  <sheetFormatPr defaultColWidth="11.19921875" defaultRowHeight="15.6"/>
  <cols>
    <col min="1" max="1" width="14.19921875" style="104" customWidth="1"/>
    <col min="2" max="2" width="18" style="104" customWidth="1"/>
    <col min="3" max="3" width="24.69921875" style="104" customWidth="1"/>
    <col min="4" max="4" width="11.69921875" style="104" customWidth="1"/>
    <col min="5" max="5" width="14.59765625" style="104" customWidth="1"/>
    <col min="6" max="6" width="6.69921875" style="104" customWidth="1"/>
    <col min="7" max="7" width="18.19921875" style="104" customWidth="1"/>
    <col min="8" max="8" width="7.69921875" style="104" customWidth="1"/>
    <col min="9" max="9" width="19.5" style="104" customWidth="1"/>
    <col min="10" max="10" width="15.09765625" style="104" customWidth="1"/>
    <col min="11" max="11" width="13.69921875" style="104" customWidth="1"/>
    <col min="12" max="12" width="11.19921875" style="104" customWidth="1"/>
    <col min="13" max="16384" width="11.19921875" style="104"/>
  </cols>
  <sheetData>
    <row r="1" spans="1:11" ht="30" customHeight="1">
      <c r="A1" s="357" t="str">
        <f>計畫經費彙總表!A1</f>
        <v>五常物業規劃顧問股份(閉鎖型)有限公司</v>
      </c>
      <c r="B1" s="357"/>
      <c r="C1" s="357"/>
      <c r="D1" s="357"/>
      <c r="E1" s="357"/>
      <c r="F1" s="357"/>
      <c r="G1" s="357"/>
      <c r="H1" s="357"/>
      <c r="I1" s="357"/>
      <c r="J1" s="357"/>
      <c r="K1" s="357"/>
    </row>
    <row r="2" spans="1:11" ht="22.2">
      <c r="A2" s="347" t="s">
        <v>113</v>
      </c>
      <c r="B2" s="347"/>
      <c r="C2" s="347"/>
      <c r="D2" s="347"/>
      <c r="E2" s="347"/>
      <c r="F2" s="347"/>
      <c r="G2" s="347"/>
      <c r="H2" s="347"/>
      <c r="I2" s="347"/>
      <c r="J2" s="347"/>
      <c r="K2" s="347"/>
    </row>
    <row r="3" spans="1:11" ht="16.8" thickBot="1">
      <c r="A3" s="5"/>
      <c r="B3" s="5"/>
      <c r="C3" s="5"/>
      <c r="D3" s="5"/>
      <c r="E3" s="5"/>
      <c r="F3" s="5"/>
      <c r="G3" s="5"/>
      <c r="H3" s="5"/>
      <c r="I3" s="5"/>
      <c r="J3" s="5"/>
      <c r="K3" s="6" t="s">
        <v>35</v>
      </c>
    </row>
    <row r="4" spans="1:11" s="157" customFormat="1" ht="24" customHeight="1" thickBot="1">
      <c r="A4" s="176" t="s">
        <v>36</v>
      </c>
      <c r="B4" s="336"/>
      <c r="C4" s="177" t="s">
        <v>37</v>
      </c>
      <c r="D4" s="337"/>
      <c r="E4" s="337"/>
      <c r="F4" s="337"/>
      <c r="G4" s="337"/>
      <c r="H4" s="337"/>
      <c r="I4" s="337"/>
      <c r="J4" s="337"/>
      <c r="K4" s="338"/>
    </row>
    <row r="5" spans="1:11" s="158" customFormat="1" ht="59.25" customHeight="1" thickBot="1">
      <c r="A5" s="176" t="s">
        <v>114</v>
      </c>
      <c r="B5" s="178" t="s">
        <v>115</v>
      </c>
      <c r="C5" s="179" t="s">
        <v>116</v>
      </c>
      <c r="D5" s="178" t="s">
        <v>117</v>
      </c>
      <c r="E5" s="179" t="s">
        <v>118</v>
      </c>
      <c r="F5" s="179" t="s">
        <v>119</v>
      </c>
      <c r="G5" s="179" t="s">
        <v>120</v>
      </c>
      <c r="H5" s="179" t="s">
        <v>121</v>
      </c>
      <c r="I5" s="180" t="s">
        <v>122</v>
      </c>
      <c r="J5" s="179" t="s">
        <v>123</v>
      </c>
      <c r="K5" s="181" t="s">
        <v>124</v>
      </c>
    </row>
    <row r="6" spans="1:11" ht="14.25" customHeight="1">
      <c r="A6" s="182"/>
      <c r="B6" s="183"/>
      <c r="C6" s="183"/>
      <c r="D6" s="183"/>
      <c r="E6" s="183"/>
      <c r="F6" s="183"/>
      <c r="G6" s="183"/>
      <c r="H6" s="183"/>
      <c r="I6" s="183"/>
      <c r="J6" s="183"/>
      <c r="K6" s="184"/>
    </row>
    <row r="7" spans="1:11" ht="16.2">
      <c r="A7" s="159" t="s">
        <v>125</v>
      </c>
      <c r="B7" s="160" t="s">
        <v>126</v>
      </c>
      <c r="C7" s="160" t="s">
        <v>126</v>
      </c>
      <c r="D7" s="329" t="s">
        <v>127</v>
      </c>
      <c r="E7" s="161">
        <v>800000</v>
      </c>
      <c r="F7" s="162">
        <v>1</v>
      </c>
      <c r="G7" s="161">
        <v>600000</v>
      </c>
      <c r="H7" s="161">
        <v>10</v>
      </c>
      <c r="I7" s="171">
        <f>IF(H7,G7/H7,0)</f>
        <v>60000</v>
      </c>
      <c r="J7" s="163">
        <f>設備使用記錄表!AJ6</f>
        <v>0.67500000000000004</v>
      </c>
      <c r="K7" s="164">
        <f t="shared" ref="K7:K12" si="0">ROUND(I7*J7,0)</f>
        <v>40500</v>
      </c>
    </row>
    <row r="8" spans="1:11" ht="16.2">
      <c r="A8" s="159" t="s">
        <v>128</v>
      </c>
      <c r="B8" s="160" t="s">
        <v>129</v>
      </c>
      <c r="C8" s="160" t="s">
        <v>129</v>
      </c>
      <c r="D8" s="329" t="s">
        <v>130</v>
      </c>
      <c r="E8" s="161">
        <v>500000</v>
      </c>
      <c r="F8" s="162">
        <v>1</v>
      </c>
      <c r="G8" s="161">
        <v>420000</v>
      </c>
      <c r="H8" s="161">
        <v>20</v>
      </c>
      <c r="I8" s="171">
        <f t="shared" ref="I8:I12" si="1">IF(H8,G8/H8,0)</f>
        <v>21000</v>
      </c>
      <c r="J8" s="163">
        <f>設備使用記錄表!AJ7</f>
        <v>1</v>
      </c>
      <c r="K8" s="164">
        <f t="shared" si="0"/>
        <v>21000</v>
      </c>
    </row>
    <row r="9" spans="1:11" ht="16.2">
      <c r="A9" s="159" t="s">
        <v>131</v>
      </c>
      <c r="B9" s="160" t="s">
        <v>132</v>
      </c>
      <c r="C9" s="160" t="s">
        <v>132</v>
      </c>
      <c r="D9" s="329" t="s">
        <v>133</v>
      </c>
      <c r="E9" s="161">
        <v>400000</v>
      </c>
      <c r="F9" s="162">
        <v>1</v>
      </c>
      <c r="G9" s="161">
        <v>200000</v>
      </c>
      <c r="H9" s="161">
        <v>30</v>
      </c>
      <c r="I9" s="171">
        <f t="shared" si="1"/>
        <v>6666.666666666667</v>
      </c>
      <c r="J9" s="163">
        <f>設備使用記錄表!AJ8</f>
        <v>0.5</v>
      </c>
      <c r="K9" s="164">
        <f t="shared" si="0"/>
        <v>3333</v>
      </c>
    </row>
    <row r="10" spans="1:11" ht="16.2">
      <c r="A10" s="159"/>
      <c r="B10" s="165"/>
      <c r="C10" s="165"/>
      <c r="D10" s="166"/>
      <c r="E10" s="167"/>
      <c r="F10" s="328"/>
      <c r="G10" s="167"/>
      <c r="H10" s="167"/>
      <c r="I10" s="171">
        <f t="shared" si="1"/>
        <v>0</v>
      </c>
      <c r="J10" s="163">
        <f>設備使用記錄表!AJ9</f>
        <v>0</v>
      </c>
      <c r="K10" s="164">
        <f t="shared" si="0"/>
        <v>0</v>
      </c>
    </row>
    <row r="11" spans="1:11" ht="16.2">
      <c r="A11" s="159"/>
      <c r="B11" s="165"/>
      <c r="C11" s="165"/>
      <c r="D11" s="166"/>
      <c r="E11" s="167"/>
      <c r="F11" s="328"/>
      <c r="G11" s="167"/>
      <c r="H11" s="167"/>
      <c r="I11" s="171">
        <f t="shared" si="1"/>
        <v>0</v>
      </c>
      <c r="J11" s="163">
        <f>設備使用記錄表!AJ10</f>
        <v>0</v>
      </c>
      <c r="K11" s="164">
        <f t="shared" si="0"/>
        <v>0</v>
      </c>
    </row>
    <row r="12" spans="1:11" ht="16.2">
      <c r="A12" s="159"/>
      <c r="B12" s="165"/>
      <c r="C12" s="165"/>
      <c r="D12" s="166"/>
      <c r="E12" s="167"/>
      <c r="F12" s="328"/>
      <c r="G12" s="167"/>
      <c r="H12" s="167"/>
      <c r="I12" s="171">
        <f t="shared" si="1"/>
        <v>0</v>
      </c>
      <c r="J12" s="163">
        <f>設備使用記錄表!AJ11</f>
        <v>0</v>
      </c>
      <c r="K12" s="164">
        <f t="shared" si="0"/>
        <v>0</v>
      </c>
    </row>
    <row r="13" spans="1:11" ht="18.75" customHeight="1" thickBot="1">
      <c r="A13" s="323" t="s">
        <v>134</v>
      </c>
      <c r="B13" s="147"/>
      <c r="C13" s="147"/>
      <c r="D13" s="147"/>
      <c r="E13" s="168"/>
      <c r="F13" s="168"/>
      <c r="G13" s="168"/>
      <c r="H13" s="168"/>
      <c r="I13" s="168"/>
      <c r="J13" s="169"/>
      <c r="K13" s="149">
        <f>ROUND(SUM(K6:K12),0)</f>
        <v>64833</v>
      </c>
    </row>
    <row r="14" spans="1:11" ht="18.75" customHeight="1">
      <c r="A14" s="119"/>
      <c r="B14" s="119"/>
      <c r="C14" s="119"/>
      <c r="D14" s="119"/>
      <c r="E14" s="152"/>
      <c r="F14" s="152"/>
      <c r="G14" s="152"/>
      <c r="H14" s="152"/>
      <c r="I14" s="152"/>
      <c r="J14" s="170"/>
      <c r="K14" s="152"/>
    </row>
    <row r="15" spans="1:11" ht="22.2">
      <c r="A15" s="347" t="s">
        <v>135</v>
      </c>
      <c r="B15" s="347"/>
      <c r="C15" s="347"/>
      <c r="D15" s="347"/>
      <c r="E15" s="347"/>
      <c r="F15" s="347"/>
      <c r="G15" s="347"/>
      <c r="H15" s="347"/>
      <c r="I15" s="347"/>
      <c r="J15" s="347"/>
      <c r="K15" s="347"/>
    </row>
    <row r="16" spans="1:11" ht="18.75" customHeight="1" thickBot="1">
      <c r="A16" s="5"/>
      <c r="B16" s="5"/>
      <c r="C16" s="5"/>
      <c r="D16" s="5"/>
      <c r="E16" s="5"/>
      <c r="F16" s="5"/>
      <c r="G16" s="5"/>
      <c r="H16" s="5"/>
      <c r="I16" s="5"/>
      <c r="J16" s="5"/>
      <c r="K16" s="6" t="s">
        <v>35</v>
      </c>
    </row>
    <row r="17" spans="1:12" s="158" customFormat="1" ht="56.25" customHeight="1" thickBot="1">
      <c r="A17" s="176" t="s">
        <v>114</v>
      </c>
      <c r="B17" s="178" t="s">
        <v>115</v>
      </c>
      <c r="C17" s="179" t="s">
        <v>116</v>
      </c>
      <c r="D17" s="178" t="s">
        <v>117</v>
      </c>
      <c r="E17" s="179" t="s">
        <v>118</v>
      </c>
      <c r="F17" s="179" t="s">
        <v>136</v>
      </c>
      <c r="G17" s="367" t="s">
        <v>137</v>
      </c>
      <c r="H17" s="367"/>
      <c r="I17" s="180" t="s">
        <v>138</v>
      </c>
      <c r="J17" s="179" t="s">
        <v>139</v>
      </c>
      <c r="K17" s="181" t="s">
        <v>140</v>
      </c>
    </row>
    <row r="18" spans="1:12" ht="18.75" customHeight="1">
      <c r="A18" s="182"/>
      <c r="B18" s="183"/>
      <c r="C18" s="183"/>
      <c r="D18" s="183"/>
      <c r="E18" s="183"/>
      <c r="F18" s="183"/>
      <c r="G18" s="368"/>
      <c r="H18" s="368"/>
      <c r="I18" s="183"/>
      <c r="J18" s="185"/>
      <c r="K18" s="184"/>
    </row>
    <row r="19" spans="1:12" ht="18.75" customHeight="1">
      <c r="A19" s="159" t="s">
        <v>141</v>
      </c>
      <c r="B19" s="160" t="s">
        <v>142</v>
      </c>
      <c r="C19" s="160" t="s">
        <v>142</v>
      </c>
      <c r="D19" s="162" t="s">
        <v>143</v>
      </c>
      <c r="E19" s="161">
        <v>150000</v>
      </c>
      <c r="F19" s="162">
        <v>1</v>
      </c>
      <c r="G19" s="362">
        <v>150000</v>
      </c>
      <c r="H19" s="362"/>
      <c r="I19" s="171">
        <f>F19*G19/60</f>
        <v>2500</v>
      </c>
      <c r="J19" s="172">
        <f>設備使用記錄表!AJ13</f>
        <v>1</v>
      </c>
      <c r="K19" s="164">
        <f>ROUND(I19*J19,0)</f>
        <v>2500</v>
      </c>
    </row>
    <row r="20" spans="1:12" ht="18.75" customHeight="1">
      <c r="A20" s="159" t="s">
        <v>144</v>
      </c>
      <c r="B20" s="160" t="s">
        <v>145</v>
      </c>
      <c r="C20" s="160" t="s">
        <v>145</v>
      </c>
      <c r="D20" s="162" t="s">
        <v>146</v>
      </c>
      <c r="E20" s="161">
        <v>600000</v>
      </c>
      <c r="F20" s="162">
        <v>1</v>
      </c>
      <c r="G20" s="362">
        <v>600000</v>
      </c>
      <c r="H20" s="362"/>
      <c r="I20" s="171">
        <f t="shared" ref="I20:I24" si="2">F20*G20/60</f>
        <v>10000</v>
      </c>
      <c r="J20" s="172">
        <f>設備使用記錄表!AJ14</f>
        <v>1</v>
      </c>
      <c r="K20" s="164">
        <f>ROUND(I20*J20,0)</f>
        <v>10000</v>
      </c>
    </row>
    <row r="21" spans="1:12" ht="18.75" customHeight="1">
      <c r="A21" s="159"/>
      <c r="B21" s="160"/>
      <c r="C21" s="160"/>
      <c r="D21" s="162"/>
      <c r="E21" s="161"/>
      <c r="F21" s="162"/>
      <c r="G21" s="363"/>
      <c r="H21" s="363"/>
      <c r="I21" s="171">
        <f t="shared" si="2"/>
        <v>0</v>
      </c>
      <c r="J21" s="172">
        <f>設備使用記錄表!AJ15</f>
        <v>0</v>
      </c>
      <c r="K21" s="164">
        <f>ROUND(I21*J21,0)</f>
        <v>0</v>
      </c>
    </row>
    <row r="22" spans="1:12" ht="18.75" customHeight="1">
      <c r="A22" s="159"/>
      <c r="B22" s="160"/>
      <c r="C22" s="160"/>
      <c r="D22" s="162"/>
      <c r="E22" s="161"/>
      <c r="F22" s="162"/>
      <c r="G22" s="363"/>
      <c r="H22" s="363"/>
      <c r="I22" s="171">
        <f t="shared" si="2"/>
        <v>0</v>
      </c>
      <c r="J22" s="172">
        <f>設備使用記錄表!AJ16</f>
        <v>0</v>
      </c>
      <c r="K22" s="164">
        <f t="shared" ref="K22:K24" si="3">ROUND(I22*J22,0)</f>
        <v>0</v>
      </c>
    </row>
    <row r="23" spans="1:12" ht="18.75" customHeight="1">
      <c r="A23" s="159"/>
      <c r="B23" s="160"/>
      <c r="C23" s="160"/>
      <c r="D23" s="162"/>
      <c r="E23" s="161"/>
      <c r="F23" s="162"/>
      <c r="G23" s="363"/>
      <c r="H23" s="363"/>
      <c r="I23" s="171">
        <f t="shared" si="2"/>
        <v>0</v>
      </c>
      <c r="J23" s="172">
        <f>設備使用記錄表!AJ17</f>
        <v>0</v>
      </c>
      <c r="K23" s="164">
        <f t="shared" si="3"/>
        <v>0</v>
      </c>
    </row>
    <row r="24" spans="1:12" ht="18.75" customHeight="1">
      <c r="A24" s="159"/>
      <c r="B24" s="160"/>
      <c r="C24" s="160"/>
      <c r="D24" s="162"/>
      <c r="E24" s="161"/>
      <c r="F24" s="162"/>
      <c r="G24" s="365"/>
      <c r="H24" s="366"/>
      <c r="I24" s="171">
        <f t="shared" si="2"/>
        <v>0</v>
      </c>
      <c r="J24" s="172">
        <f>設備使用記錄表!AJ18</f>
        <v>0</v>
      </c>
      <c r="K24" s="164">
        <f t="shared" si="3"/>
        <v>0</v>
      </c>
    </row>
    <row r="25" spans="1:12" ht="18.75" customHeight="1" thickBot="1">
      <c r="A25" s="323" t="s">
        <v>134</v>
      </c>
      <c r="B25" s="147"/>
      <c r="C25" s="147"/>
      <c r="D25" s="147"/>
      <c r="E25" s="168"/>
      <c r="F25" s="168"/>
      <c r="G25" s="354"/>
      <c r="H25" s="354"/>
      <c r="I25" s="168"/>
      <c r="J25" s="173"/>
      <c r="K25" s="149">
        <f>ROUND(SUM(K18:K24),0)</f>
        <v>12500</v>
      </c>
    </row>
    <row r="26" spans="1:12" ht="21" customHeight="1" thickBot="1">
      <c r="A26" s="323" t="s">
        <v>147</v>
      </c>
      <c r="B26" s="147"/>
      <c r="C26" s="147"/>
      <c r="D26" s="147"/>
      <c r="E26" s="168"/>
      <c r="F26" s="168"/>
      <c r="G26" s="364"/>
      <c r="H26" s="364"/>
      <c r="I26" s="168"/>
      <c r="J26" s="173"/>
      <c r="K26" s="149">
        <f>K25+K13</f>
        <v>77333</v>
      </c>
    </row>
    <row r="27" spans="1:12" ht="21" customHeight="1">
      <c r="A27" s="119"/>
      <c r="B27" s="119"/>
      <c r="C27" s="119"/>
      <c r="D27" s="119"/>
      <c r="E27" s="152"/>
      <c r="F27" s="152"/>
      <c r="G27" s="174"/>
      <c r="H27" s="174"/>
      <c r="I27" s="152"/>
      <c r="J27" s="175"/>
      <c r="K27" s="152"/>
    </row>
    <row r="28" spans="1:12" s="14" customFormat="1" ht="13.5" customHeight="1">
      <c r="A28" s="14" t="s">
        <v>148</v>
      </c>
    </row>
    <row r="29" spans="1:12" ht="13.5" customHeight="1">
      <c r="A29" s="153" t="s">
        <v>149</v>
      </c>
      <c r="B29" s="108"/>
      <c r="C29" s="108"/>
      <c r="D29" s="108"/>
      <c r="E29" s="108"/>
      <c r="F29" s="108"/>
      <c r="G29" s="108"/>
      <c r="H29" s="108"/>
      <c r="I29" s="108"/>
      <c r="J29" s="108"/>
      <c r="K29" s="108"/>
      <c r="L29" s="108"/>
    </row>
    <row r="30" spans="1:12" s="108" customFormat="1" ht="13.8">
      <c r="A30" s="361" t="s">
        <v>150</v>
      </c>
      <c r="B30" s="361"/>
      <c r="C30" s="361"/>
      <c r="D30" s="361"/>
      <c r="E30" s="361"/>
      <c r="F30" s="361"/>
      <c r="G30" s="361"/>
      <c r="H30" s="361"/>
      <c r="I30" s="361"/>
      <c r="J30" s="361"/>
      <c r="K30" s="361"/>
      <c r="L30" s="361"/>
    </row>
    <row r="31" spans="1:12" s="108" customFormat="1" ht="13.8">
      <c r="A31" s="361" t="s">
        <v>151</v>
      </c>
      <c r="B31" s="361"/>
      <c r="C31" s="361"/>
      <c r="D31" s="361"/>
      <c r="E31" s="361"/>
      <c r="F31" s="361"/>
      <c r="G31" s="361"/>
      <c r="H31" s="361"/>
      <c r="I31" s="361"/>
      <c r="J31" s="361"/>
      <c r="K31" s="361"/>
      <c r="L31" s="361"/>
    </row>
    <row r="33" spans="2:10" s="18" customFormat="1" ht="17.399999999999999">
      <c r="B33" s="93" t="s">
        <v>31</v>
      </c>
      <c r="E33" s="93" t="s">
        <v>32</v>
      </c>
      <c r="H33" s="127"/>
      <c r="J33" s="94" t="s">
        <v>33</v>
      </c>
    </row>
  </sheetData>
  <sheetProtection formatCells="0" formatColumns="0" formatRows="0" insertRows="0"/>
  <mergeCells count="15">
    <mergeCell ref="G19:H19"/>
    <mergeCell ref="A1:K1"/>
    <mergeCell ref="A2:K2"/>
    <mergeCell ref="A15:K15"/>
    <mergeCell ref="G17:H17"/>
    <mergeCell ref="G18:H18"/>
    <mergeCell ref="A30:L30"/>
    <mergeCell ref="A31:L31"/>
    <mergeCell ref="G20:H20"/>
    <mergeCell ref="G21:H21"/>
    <mergeCell ref="G22:H22"/>
    <mergeCell ref="G23:H23"/>
    <mergeCell ref="G25:H25"/>
    <mergeCell ref="G26:H26"/>
    <mergeCell ref="G24:H24"/>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8" fitToWidth="0" fitToHeight="0" orientation="landscape" blackAndWhite="1"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dimension ref="A1:AJ25"/>
  <sheetViews>
    <sheetView view="pageBreakPreview" zoomScale="60" zoomScaleNormal="80" workbookViewId="0">
      <selection activeCell="AC17" sqref="AC17"/>
    </sheetView>
  </sheetViews>
  <sheetFormatPr defaultColWidth="11.19921875" defaultRowHeight="16.2"/>
  <cols>
    <col min="1" max="1" width="2" style="15" customWidth="1"/>
    <col min="2" max="2" width="11.5" style="15" customWidth="1"/>
    <col min="3" max="33" width="4.19921875" style="15" customWidth="1"/>
    <col min="34" max="34" width="6.5" style="15" bestFit="1" customWidth="1"/>
    <col min="35" max="35" width="7.5" style="15" customWidth="1"/>
    <col min="36" max="36" width="8.09765625" style="15" bestFit="1" customWidth="1"/>
    <col min="37" max="37" width="11.19921875" style="15" customWidth="1"/>
    <col min="38" max="16384" width="11.19921875" style="15"/>
  </cols>
  <sheetData>
    <row r="1" spans="1:36" ht="19.8">
      <c r="A1" s="357" t="str">
        <f>計畫經費彙總表!A1</f>
        <v>五常物業規劃顧問股份(閉鎖型)有限公司</v>
      </c>
      <c r="B1" s="357"/>
      <c r="C1" s="357"/>
      <c r="D1" s="357"/>
      <c r="E1" s="357"/>
      <c r="F1" s="357"/>
      <c r="G1" s="357"/>
      <c r="H1" s="357"/>
      <c r="I1" s="357"/>
      <c r="J1" s="357"/>
      <c r="K1" s="357"/>
      <c r="L1" s="357"/>
      <c r="M1" s="357"/>
      <c r="N1" s="357"/>
      <c r="O1" s="357"/>
      <c r="P1" s="357"/>
      <c r="Q1" s="357"/>
      <c r="R1" s="357"/>
      <c r="S1" s="357"/>
      <c r="T1" s="357"/>
      <c r="U1" s="357"/>
      <c r="V1" s="357"/>
      <c r="W1" s="357"/>
      <c r="X1" s="357"/>
      <c r="Y1" s="357"/>
      <c r="Z1" s="357"/>
      <c r="AA1" s="357"/>
      <c r="AB1" s="357"/>
      <c r="AC1" s="357"/>
      <c r="AD1" s="357"/>
      <c r="AE1" s="357"/>
      <c r="AF1" s="357"/>
      <c r="AG1" s="357"/>
      <c r="AH1" s="357"/>
      <c r="AI1" s="357"/>
      <c r="AJ1" s="357"/>
    </row>
    <row r="2" spans="1:36" ht="30" customHeight="1">
      <c r="A2" s="358" t="s">
        <v>152</v>
      </c>
      <c r="B2" s="358"/>
      <c r="C2" s="358"/>
      <c r="D2" s="358"/>
      <c r="E2" s="358"/>
      <c r="F2" s="358"/>
      <c r="G2" s="358"/>
      <c r="H2" s="358"/>
      <c r="I2" s="358"/>
      <c r="J2" s="358"/>
      <c r="K2" s="358"/>
      <c r="L2" s="358"/>
      <c r="M2" s="358"/>
      <c r="N2" s="358"/>
      <c r="O2" s="358"/>
      <c r="P2" s="358"/>
      <c r="Q2" s="358"/>
      <c r="R2" s="358"/>
      <c r="S2" s="358"/>
      <c r="T2" s="358"/>
      <c r="U2" s="358"/>
      <c r="V2" s="358"/>
      <c r="W2" s="358"/>
      <c r="X2" s="358"/>
      <c r="Y2" s="358"/>
      <c r="Z2" s="358"/>
      <c r="AA2" s="358"/>
      <c r="AB2" s="358"/>
      <c r="AC2" s="358"/>
      <c r="AD2" s="358"/>
      <c r="AE2" s="358"/>
      <c r="AF2" s="358"/>
      <c r="AG2" s="358"/>
      <c r="AH2" s="358"/>
      <c r="AI2" s="358"/>
      <c r="AJ2" s="358"/>
    </row>
    <row r="3" spans="1:36" s="187" customFormat="1" ht="37.5" customHeight="1">
      <c r="A3" s="206"/>
      <c r="B3" s="207" t="s">
        <v>115</v>
      </c>
      <c r="C3" s="8">
        <v>1</v>
      </c>
      <c r="D3" s="8">
        <v>2</v>
      </c>
      <c r="E3" s="8">
        <v>3</v>
      </c>
      <c r="F3" s="8">
        <v>4</v>
      </c>
      <c r="G3" s="8">
        <v>5</v>
      </c>
      <c r="H3" s="8">
        <v>6</v>
      </c>
      <c r="I3" s="8">
        <v>7</v>
      </c>
      <c r="J3" s="8">
        <v>8</v>
      </c>
      <c r="K3" s="8">
        <v>9</v>
      </c>
      <c r="L3" s="8">
        <v>10</v>
      </c>
      <c r="M3" s="8">
        <v>11</v>
      </c>
      <c r="N3" s="8">
        <v>12</v>
      </c>
      <c r="O3" s="8">
        <v>13</v>
      </c>
      <c r="P3" s="8">
        <v>14</v>
      </c>
      <c r="Q3" s="8">
        <v>15</v>
      </c>
      <c r="R3" s="8">
        <v>16</v>
      </c>
      <c r="S3" s="8">
        <v>17</v>
      </c>
      <c r="T3" s="8">
        <v>18</v>
      </c>
      <c r="U3" s="8">
        <v>19</v>
      </c>
      <c r="V3" s="8">
        <v>20</v>
      </c>
      <c r="W3" s="8">
        <v>21</v>
      </c>
      <c r="X3" s="8">
        <v>22</v>
      </c>
      <c r="Y3" s="8">
        <v>23</v>
      </c>
      <c r="Z3" s="8">
        <v>24</v>
      </c>
      <c r="AA3" s="8">
        <v>25</v>
      </c>
      <c r="AB3" s="8">
        <v>26</v>
      </c>
      <c r="AC3" s="8">
        <v>27</v>
      </c>
      <c r="AD3" s="8">
        <v>28</v>
      </c>
      <c r="AE3" s="186">
        <v>29</v>
      </c>
      <c r="AF3" s="186">
        <v>30</v>
      </c>
      <c r="AG3" s="186">
        <v>31</v>
      </c>
      <c r="AH3" s="8" t="s">
        <v>74</v>
      </c>
      <c r="AI3" s="9" t="s">
        <v>153</v>
      </c>
      <c r="AJ3" s="205" t="s">
        <v>76</v>
      </c>
    </row>
    <row r="4" spans="1:36" s="153" customFormat="1" ht="15" customHeight="1">
      <c r="A4" s="202"/>
      <c r="B4" s="203"/>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189"/>
      <c r="AF4" s="189"/>
      <c r="AG4" s="189"/>
      <c r="AH4" s="200"/>
      <c r="AI4" s="200"/>
      <c r="AJ4" s="201"/>
    </row>
    <row r="5" spans="1:36" s="153" customFormat="1" ht="13.8">
      <c r="A5" s="192" t="s">
        <v>154</v>
      </c>
      <c r="B5" s="188"/>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90"/>
      <c r="AI5" s="190"/>
      <c r="AJ5" s="191"/>
    </row>
    <row r="6" spans="1:36" s="14" customFormat="1" ht="21" customHeight="1">
      <c r="A6" s="193"/>
      <c r="B6" s="194" t="str">
        <f>IF(設備使用費!C7&lt;&gt;"",設備使用費!C7,"")</f>
        <v>成型機</v>
      </c>
      <c r="C6" s="195"/>
      <c r="D6" s="195"/>
      <c r="E6" s="195">
        <v>8</v>
      </c>
      <c r="F6" s="195">
        <v>8</v>
      </c>
      <c r="G6" s="195">
        <v>8</v>
      </c>
      <c r="H6" s="195">
        <v>8</v>
      </c>
      <c r="I6" s="195">
        <v>8</v>
      </c>
      <c r="J6" s="195"/>
      <c r="K6" s="195"/>
      <c r="L6" s="195">
        <v>8</v>
      </c>
      <c r="M6" s="195">
        <v>8</v>
      </c>
      <c r="N6" s="195">
        <v>8</v>
      </c>
      <c r="O6" s="195">
        <v>8</v>
      </c>
      <c r="P6" s="195">
        <v>4</v>
      </c>
      <c r="Q6" s="195"/>
      <c r="R6" s="195"/>
      <c r="S6" s="195">
        <v>8</v>
      </c>
      <c r="T6" s="195">
        <v>8</v>
      </c>
      <c r="U6" s="195">
        <v>8</v>
      </c>
      <c r="V6" s="195">
        <v>4</v>
      </c>
      <c r="W6" s="195">
        <v>4</v>
      </c>
      <c r="X6" s="195"/>
      <c r="Y6" s="195"/>
      <c r="Z6" s="195"/>
      <c r="AA6" s="195"/>
      <c r="AB6" s="195"/>
      <c r="AC6" s="195"/>
      <c r="AD6" s="195"/>
      <c r="AE6" s="195"/>
      <c r="AF6" s="195"/>
      <c r="AG6" s="195"/>
      <c r="AH6" s="196">
        <f>SUM(C6:AG6)</f>
        <v>108</v>
      </c>
      <c r="AI6" s="195">
        <v>160</v>
      </c>
      <c r="AJ6" s="197">
        <f>AH6/AI6</f>
        <v>0.67500000000000004</v>
      </c>
    </row>
    <row r="7" spans="1:36" s="14" customFormat="1" ht="18.75" customHeight="1">
      <c r="A7" s="193"/>
      <c r="B7" s="194" t="str">
        <f>IF(設備使用費!C8&lt;&gt;"",設備使用費!C8,"")</f>
        <v>磨石機</v>
      </c>
      <c r="C7" s="195"/>
      <c r="D7" s="195"/>
      <c r="E7" s="195">
        <v>8</v>
      </c>
      <c r="F7" s="195">
        <v>8</v>
      </c>
      <c r="G7" s="195">
        <v>8</v>
      </c>
      <c r="H7" s="195">
        <v>8</v>
      </c>
      <c r="I7" s="195">
        <v>8</v>
      </c>
      <c r="J7" s="195"/>
      <c r="K7" s="195"/>
      <c r="L7" s="195">
        <v>8</v>
      </c>
      <c r="M7" s="195">
        <v>8</v>
      </c>
      <c r="N7" s="195">
        <v>8</v>
      </c>
      <c r="O7" s="195">
        <v>8</v>
      </c>
      <c r="P7" s="195">
        <v>8</v>
      </c>
      <c r="Q7" s="195"/>
      <c r="R7" s="195"/>
      <c r="S7" s="195">
        <v>8</v>
      </c>
      <c r="T7" s="195">
        <v>8</v>
      </c>
      <c r="U7" s="195">
        <v>8</v>
      </c>
      <c r="V7" s="195">
        <v>8</v>
      </c>
      <c r="W7" s="195">
        <v>8</v>
      </c>
      <c r="X7" s="195"/>
      <c r="Y7" s="195"/>
      <c r="Z7" s="195">
        <v>8</v>
      </c>
      <c r="AA7" s="195">
        <v>8</v>
      </c>
      <c r="AB7" s="195">
        <v>8</v>
      </c>
      <c r="AC7" s="195">
        <v>8</v>
      </c>
      <c r="AD7" s="195">
        <v>8</v>
      </c>
      <c r="AE7" s="195"/>
      <c r="AF7" s="195"/>
      <c r="AG7" s="195"/>
      <c r="AH7" s="196">
        <f>SUM(C7:AG7)</f>
        <v>160</v>
      </c>
      <c r="AI7" s="195">
        <v>160</v>
      </c>
      <c r="AJ7" s="197">
        <f>AH7/AI7</f>
        <v>1</v>
      </c>
    </row>
    <row r="8" spans="1:36" s="14" customFormat="1" ht="18.75" customHeight="1">
      <c r="A8" s="193"/>
      <c r="B8" s="194" t="str">
        <f>IF(設備使用費!C9&lt;&gt;"",設備使用費!C9,"")</f>
        <v>加工機</v>
      </c>
      <c r="C8" s="195"/>
      <c r="D8" s="195"/>
      <c r="E8" s="195">
        <v>4</v>
      </c>
      <c r="F8" s="195">
        <v>4</v>
      </c>
      <c r="G8" s="195">
        <v>4</v>
      </c>
      <c r="H8" s="195">
        <v>4</v>
      </c>
      <c r="I8" s="195">
        <v>4</v>
      </c>
      <c r="J8" s="195"/>
      <c r="K8" s="195"/>
      <c r="L8" s="195">
        <v>4</v>
      </c>
      <c r="M8" s="195">
        <v>4</v>
      </c>
      <c r="N8" s="195">
        <v>4</v>
      </c>
      <c r="O8" s="195">
        <v>4</v>
      </c>
      <c r="P8" s="195">
        <v>4</v>
      </c>
      <c r="Q8" s="195"/>
      <c r="R8" s="195"/>
      <c r="S8" s="195">
        <v>4</v>
      </c>
      <c r="T8" s="195">
        <v>4</v>
      </c>
      <c r="U8" s="195">
        <v>4</v>
      </c>
      <c r="V8" s="195">
        <v>4</v>
      </c>
      <c r="W8" s="195">
        <v>4</v>
      </c>
      <c r="X8" s="195"/>
      <c r="Y8" s="195"/>
      <c r="Z8" s="195">
        <v>4</v>
      </c>
      <c r="AA8" s="195">
        <v>4</v>
      </c>
      <c r="AB8" s="195">
        <v>4</v>
      </c>
      <c r="AC8" s="195">
        <v>4</v>
      </c>
      <c r="AD8" s="195">
        <v>4</v>
      </c>
      <c r="AE8" s="195"/>
      <c r="AF8" s="195"/>
      <c r="AG8" s="195"/>
      <c r="AH8" s="196">
        <f>SUM(C8:AG8)</f>
        <v>80</v>
      </c>
      <c r="AI8" s="195">
        <v>160</v>
      </c>
      <c r="AJ8" s="197">
        <f>AH8/AI8</f>
        <v>0.5</v>
      </c>
    </row>
    <row r="9" spans="1:36" s="14" customFormat="1" ht="18.75" customHeight="1">
      <c r="A9" s="193"/>
      <c r="B9" s="194" t="str">
        <f>IF(設備使用費!C10&lt;&gt;"",設備使用費!C10,"")</f>
        <v/>
      </c>
      <c r="C9" s="195"/>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c r="AG9" s="195"/>
      <c r="AH9" s="196">
        <f t="shared" ref="AH9:AH11" si="0">SUM(C9:AG9)</f>
        <v>0</v>
      </c>
      <c r="AI9" s="195">
        <v>160</v>
      </c>
      <c r="AJ9" s="197">
        <f t="shared" ref="AJ9:AJ11" si="1">AH9/AI9</f>
        <v>0</v>
      </c>
    </row>
    <row r="10" spans="1:36" s="14" customFormat="1" ht="18.75" customHeight="1">
      <c r="A10" s="193"/>
      <c r="B10" s="194" t="str">
        <f>IF(設備使用費!C11&lt;&gt;"",設備使用費!C11,"")</f>
        <v/>
      </c>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c r="AA10" s="195"/>
      <c r="AB10" s="195"/>
      <c r="AC10" s="195"/>
      <c r="AD10" s="195"/>
      <c r="AE10" s="195"/>
      <c r="AF10" s="195"/>
      <c r="AG10" s="195"/>
      <c r="AH10" s="196">
        <f t="shared" si="0"/>
        <v>0</v>
      </c>
      <c r="AI10" s="195">
        <v>160</v>
      </c>
      <c r="AJ10" s="197">
        <f t="shared" si="1"/>
        <v>0</v>
      </c>
    </row>
    <row r="11" spans="1:36" s="14" customFormat="1" ht="18.75" customHeight="1">
      <c r="A11" s="193"/>
      <c r="B11" s="194" t="str">
        <f>IF(設備使用費!C12&lt;&gt;"",設備使用費!C12,"")</f>
        <v/>
      </c>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c r="AA11" s="195"/>
      <c r="AB11" s="195"/>
      <c r="AC11" s="195"/>
      <c r="AD11" s="195"/>
      <c r="AE11" s="195"/>
      <c r="AF11" s="195"/>
      <c r="AG11" s="195"/>
      <c r="AH11" s="196">
        <f t="shared" si="0"/>
        <v>0</v>
      </c>
      <c r="AI11" s="195">
        <v>160</v>
      </c>
      <c r="AJ11" s="197">
        <f t="shared" si="1"/>
        <v>0</v>
      </c>
    </row>
    <row r="12" spans="1:36" s="14" customFormat="1" ht="13.8">
      <c r="A12" s="198" t="s">
        <v>155</v>
      </c>
      <c r="B12" s="194"/>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c r="AC12" s="195"/>
      <c r="AD12" s="195"/>
      <c r="AE12" s="195"/>
      <c r="AF12" s="195"/>
      <c r="AG12" s="195"/>
      <c r="AH12" s="196"/>
      <c r="AI12" s="195"/>
      <c r="AJ12" s="197"/>
    </row>
    <row r="13" spans="1:36" s="14" customFormat="1" ht="18.75" customHeight="1">
      <c r="A13" s="193"/>
      <c r="B13" s="194" t="str">
        <f>IF(設備使用費!C19&lt;&gt;"",設備使用費!C19,"")</f>
        <v>電腦</v>
      </c>
      <c r="C13" s="195"/>
      <c r="D13" s="195"/>
      <c r="E13" s="195">
        <v>8</v>
      </c>
      <c r="F13" s="195">
        <v>8</v>
      </c>
      <c r="G13" s="195">
        <v>8</v>
      </c>
      <c r="H13" s="195">
        <v>8</v>
      </c>
      <c r="I13" s="195">
        <v>8</v>
      </c>
      <c r="J13" s="195"/>
      <c r="K13" s="195"/>
      <c r="L13" s="195">
        <v>8</v>
      </c>
      <c r="M13" s="195">
        <v>8</v>
      </c>
      <c r="N13" s="195">
        <v>8</v>
      </c>
      <c r="O13" s="195">
        <v>8</v>
      </c>
      <c r="P13" s="195">
        <v>8</v>
      </c>
      <c r="Q13" s="195"/>
      <c r="R13" s="195"/>
      <c r="S13" s="195">
        <v>8</v>
      </c>
      <c r="T13" s="195">
        <v>8</v>
      </c>
      <c r="U13" s="195">
        <v>8</v>
      </c>
      <c r="V13" s="195">
        <v>8</v>
      </c>
      <c r="W13" s="195">
        <v>8</v>
      </c>
      <c r="X13" s="195"/>
      <c r="Y13" s="195"/>
      <c r="Z13" s="195">
        <v>8</v>
      </c>
      <c r="AA13" s="195">
        <v>8</v>
      </c>
      <c r="AB13" s="195">
        <v>8</v>
      </c>
      <c r="AC13" s="195">
        <v>8</v>
      </c>
      <c r="AD13" s="195">
        <v>8</v>
      </c>
      <c r="AE13" s="195"/>
      <c r="AF13" s="195"/>
      <c r="AG13" s="195"/>
      <c r="AH13" s="196">
        <f>SUM(C13:AG13)</f>
        <v>160</v>
      </c>
      <c r="AI13" s="195">
        <v>160</v>
      </c>
      <c r="AJ13" s="197">
        <f>AH13/AI13</f>
        <v>1</v>
      </c>
    </row>
    <row r="14" spans="1:36" s="14" customFormat="1" ht="18.75" customHeight="1">
      <c r="A14" s="193"/>
      <c r="B14" s="194" t="str">
        <f>IF(設備使用費!C20&lt;&gt;"",設備使用費!C20,"")</f>
        <v>射出機</v>
      </c>
      <c r="C14" s="195"/>
      <c r="D14" s="195"/>
      <c r="E14" s="195">
        <v>8</v>
      </c>
      <c r="F14" s="195">
        <v>8</v>
      </c>
      <c r="G14" s="195">
        <v>8</v>
      </c>
      <c r="H14" s="195">
        <v>8</v>
      </c>
      <c r="I14" s="195">
        <v>8</v>
      </c>
      <c r="J14" s="195"/>
      <c r="K14" s="195"/>
      <c r="L14" s="195">
        <v>8</v>
      </c>
      <c r="M14" s="195">
        <v>8</v>
      </c>
      <c r="N14" s="195">
        <v>8</v>
      </c>
      <c r="O14" s="195">
        <v>8</v>
      </c>
      <c r="P14" s="195">
        <v>8</v>
      </c>
      <c r="Q14" s="195"/>
      <c r="R14" s="195"/>
      <c r="S14" s="195">
        <v>8</v>
      </c>
      <c r="T14" s="195">
        <v>8</v>
      </c>
      <c r="U14" s="195">
        <v>8</v>
      </c>
      <c r="V14" s="195">
        <v>8</v>
      </c>
      <c r="W14" s="195">
        <v>8</v>
      </c>
      <c r="X14" s="195"/>
      <c r="Y14" s="195"/>
      <c r="Z14" s="195">
        <v>8</v>
      </c>
      <c r="AA14" s="195">
        <v>8</v>
      </c>
      <c r="AB14" s="195">
        <v>8</v>
      </c>
      <c r="AC14" s="195">
        <v>8</v>
      </c>
      <c r="AD14" s="195">
        <v>8</v>
      </c>
      <c r="AE14" s="195"/>
      <c r="AF14" s="195"/>
      <c r="AG14" s="195"/>
      <c r="AH14" s="196">
        <f>SUM(C14:AG14)</f>
        <v>160</v>
      </c>
      <c r="AI14" s="195">
        <v>160</v>
      </c>
      <c r="AJ14" s="197">
        <f>AH14/AI14</f>
        <v>1</v>
      </c>
    </row>
    <row r="15" spans="1:36" s="14" customFormat="1" ht="18.75" customHeight="1">
      <c r="A15" s="193"/>
      <c r="B15" s="194" t="str">
        <f>IF(設備使用費!C21&lt;&gt;"",設備使用費!C21,"")</f>
        <v/>
      </c>
      <c r="C15" s="195"/>
      <c r="D15" s="195"/>
      <c r="E15" s="195"/>
      <c r="F15" s="195"/>
      <c r="G15" s="195"/>
      <c r="H15" s="195"/>
      <c r="I15" s="195"/>
      <c r="J15" s="195"/>
      <c r="K15" s="195"/>
      <c r="L15" s="195"/>
      <c r="M15" s="195"/>
      <c r="N15" s="195"/>
      <c r="O15" s="195"/>
      <c r="P15" s="195"/>
      <c r="Q15" s="195"/>
      <c r="R15" s="195"/>
      <c r="S15" s="195"/>
      <c r="T15" s="195"/>
      <c r="U15" s="195"/>
      <c r="V15" s="195"/>
      <c r="W15" s="195"/>
      <c r="X15" s="195"/>
      <c r="Y15" s="195"/>
      <c r="Z15" s="195"/>
      <c r="AA15" s="195"/>
      <c r="AB15" s="195"/>
      <c r="AC15" s="195"/>
      <c r="AD15" s="195"/>
      <c r="AE15" s="195"/>
      <c r="AF15" s="195"/>
      <c r="AG15" s="195"/>
      <c r="AH15" s="196">
        <f t="shared" ref="AH15:AH17" si="2">SUM(C15:AG15)</f>
        <v>0</v>
      </c>
      <c r="AI15" s="195">
        <v>160</v>
      </c>
      <c r="AJ15" s="197">
        <f t="shared" ref="AJ15:AJ18" si="3">AH15/AI15</f>
        <v>0</v>
      </c>
    </row>
    <row r="16" spans="1:36" s="14" customFormat="1" ht="22.5" customHeight="1">
      <c r="A16" s="193"/>
      <c r="B16" s="194" t="str">
        <f>IF(設備使用費!C22&lt;&gt;"",設備使用費!C22,"")</f>
        <v/>
      </c>
      <c r="C16" s="195"/>
      <c r="D16" s="195"/>
      <c r="E16" s="195"/>
      <c r="F16" s="195"/>
      <c r="G16" s="195"/>
      <c r="H16" s="195"/>
      <c r="I16" s="195"/>
      <c r="J16" s="195"/>
      <c r="K16" s="195"/>
      <c r="L16" s="195"/>
      <c r="M16" s="195"/>
      <c r="N16" s="195"/>
      <c r="O16" s="195"/>
      <c r="P16" s="195"/>
      <c r="Q16" s="195"/>
      <c r="R16" s="195"/>
      <c r="S16" s="195"/>
      <c r="T16" s="195"/>
      <c r="U16" s="195"/>
      <c r="V16" s="195"/>
      <c r="W16" s="195"/>
      <c r="X16" s="195"/>
      <c r="Y16" s="195"/>
      <c r="Z16" s="195"/>
      <c r="AA16" s="195"/>
      <c r="AB16" s="195"/>
      <c r="AC16" s="195"/>
      <c r="AD16" s="195"/>
      <c r="AE16" s="195"/>
      <c r="AF16" s="195"/>
      <c r="AG16" s="195"/>
      <c r="AH16" s="196">
        <f t="shared" si="2"/>
        <v>0</v>
      </c>
      <c r="AI16" s="195">
        <v>160</v>
      </c>
      <c r="AJ16" s="197">
        <f t="shared" si="3"/>
        <v>0</v>
      </c>
    </row>
    <row r="17" spans="1:36" s="14" customFormat="1" ht="22.5" customHeight="1">
      <c r="A17" s="193"/>
      <c r="B17" s="194" t="str">
        <f>IF(設備使用費!C23&lt;&gt;"",設備使用費!C23,"")</f>
        <v/>
      </c>
      <c r="C17" s="195"/>
      <c r="D17" s="195"/>
      <c r="E17" s="195"/>
      <c r="F17" s="195"/>
      <c r="G17" s="195"/>
      <c r="H17" s="195"/>
      <c r="I17" s="195"/>
      <c r="J17" s="195"/>
      <c r="K17" s="195"/>
      <c r="L17" s="195"/>
      <c r="M17" s="195"/>
      <c r="N17" s="195"/>
      <c r="O17" s="195"/>
      <c r="P17" s="195"/>
      <c r="Q17" s="195"/>
      <c r="R17" s="195"/>
      <c r="S17" s="195"/>
      <c r="T17" s="195"/>
      <c r="U17" s="195"/>
      <c r="V17" s="195"/>
      <c r="W17" s="195"/>
      <c r="X17" s="195"/>
      <c r="Y17" s="195"/>
      <c r="Z17" s="195"/>
      <c r="AA17" s="195"/>
      <c r="AB17" s="195"/>
      <c r="AC17" s="195"/>
      <c r="AD17" s="195"/>
      <c r="AE17" s="195"/>
      <c r="AF17" s="195"/>
      <c r="AG17" s="195"/>
      <c r="AH17" s="196">
        <f t="shared" si="2"/>
        <v>0</v>
      </c>
      <c r="AI17" s="195">
        <v>160</v>
      </c>
      <c r="AJ17" s="197">
        <f t="shared" si="3"/>
        <v>0</v>
      </c>
    </row>
    <row r="18" spans="1:36" s="14" customFormat="1" ht="20.25" customHeight="1">
      <c r="A18" s="193"/>
      <c r="B18" s="194" t="str">
        <f>IF(設備使用費!C24&lt;&gt;"",設備使用費!C24,"")</f>
        <v/>
      </c>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195"/>
      <c r="AH18" s="196">
        <f t="shared" ref="AH18" si="4">SUM(C18:AG18)</f>
        <v>0</v>
      </c>
      <c r="AI18" s="195">
        <v>160</v>
      </c>
      <c r="AJ18" s="197">
        <f t="shared" si="3"/>
        <v>0</v>
      </c>
    </row>
    <row r="19" spans="1:36" ht="20.25" customHeight="1">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99"/>
    </row>
    <row r="20" spans="1:36" s="14" customFormat="1" ht="18" customHeight="1">
      <c r="A20" s="14" t="s">
        <v>156</v>
      </c>
    </row>
    <row r="21" spans="1:36" s="14" customFormat="1" ht="18" customHeight="1">
      <c r="A21" s="14" t="s">
        <v>157</v>
      </c>
    </row>
    <row r="22" spans="1:36" s="14" customFormat="1" ht="13.8">
      <c r="A22" s="14" t="s">
        <v>158</v>
      </c>
    </row>
    <row r="23" spans="1:36" s="14" customFormat="1" ht="13.8"/>
    <row r="24" spans="1:36" s="128" customFormat="1" ht="17.399999999999999">
      <c r="A24" s="18"/>
      <c r="B24" s="18"/>
      <c r="C24" s="93" t="s">
        <v>31</v>
      </c>
      <c r="D24" s="18"/>
      <c r="E24" s="18"/>
      <c r="F24" s="18"/>
      <c r="G24" s="127"/>
      <c r="H24" s="18"/>
      <c r="I24" s="18"/>
      <c r="J24" s="18"/>
      <c r="K24" s="18"/>
      <c r="L24" s="18"/>
      <c r="M24" s="18"/>
      <c r="N24" s="18"/>
      <c r="O24" s="93" t="s">
        <v>32</v>
      </c>
      <c r="P24" s="18"/>
      <c r="Q24" s="18"/>
      <c r="R24" s="18"/>
      <c r="S24" s="18"/>
      <c r="T24" s="18"/>
      <c r="U24" s="18"/>
      <c r="V24" s="18"/>
      <c r="W24" s="18"/>
      <c r="X24" s="94" t="s">
        <v>33</v>
      </c>
      <c r="Y24" s="18"/>
      <c r="Z24" s="18"/>
      <c r="AA24" s="18"/>
      <c r="AB24" s="18"/>
      <c r="AC24" s="18"/>
      <c r="AD24" s="18"/>
      <c r="AE24" s="18"/>
      <c r="AF24" s="18"/>
      <c r="AG24" s="18"/>
      <c r="AH24" s="18"/>
      <c r="AI24" s="18"/>
      <c r="AJ24" s="18"/>
    </row>
    <row r="25" spans="1:36" ht="17.399999999999999">
      <c r="B25" s="18"/>
      <c r="C25" s="18"/>
      <c r="D25" s="93"/>
      <c r="E25" s="18"/>
      <c r="F25" s="18"/>
      <c r="H25" s="127"/>
      <c r="I25" s="18"/>
      <c r="K25" s="18"/>
      <c r="L25" s="18"/>
      <c r="N25" s="93"/>
      <c r="Y25" s="94"/>
    </row>
  </sheetData>
  <sheetProtection algorithmName="SHA-512" hashValue="mQcf5P7yp2Zf5/Wusfj5Z0mj8ylSd6TInjoqoa8cjISchu0yOrd40VRUfmXTDJyqsre83dnz2zA1BsV6bTU1wQ==" saltValue="8xJYq+3oM7gbenE4iBdhfA==" spinCount="100000" sheet="1" formatCells="0" formatColumns="0" formatRows="0" insertRows="0"/>
  <mergeCells count="2">
    <mergeCell ref="A1:AJ1"/>
    <mergeCell ref="A2:A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0" fitToWidth="0" fitToHeight="0" orientation="landscape" blackAndWhite="1"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M27"/>
  <sheetViews>
    <sheetView view="pageBreakPreview" zoomScale="60" zoomScaleNormal="80" workbookViewId="0">
      <selection activeCell="H11" sqref="H11"/>
    </sheetView>
  </sheetViews>
  <sheetFormatPr defaultColWidth="11.19921875" defaultRowHeight="15.6"/>
  <cols>
    <col min="1" max="1" width="2.5" style="104" customWidth="1"/>
    <col min="2" max="2" width="17.59765625" style="104" customWidth="1"/>
    <col min="3" max="3" width="15.5" style="104" customWidth="1"/>
    <col min="4" max="4" width="16.69921875" style="104" customWidth="1"/>
    <col min="5" max="5" width="15.69921875" style="104" customWidth="1"/>
    <col min="6" max="6" width="15" style="104" bestFit="1" customWidth="1"/>
    <col min="7" max="7" width="12.09765625" style="104" customWidth="1"/>
    <col min="8" max="8" width="13" style="104" customWidth="1"/>
    <col min="9" max="9" width="12.09765625" style="104" customWidth="1"/>
    <col min="10" max="10" width="14.5" style="104" customWidth="1"/>
    <col min="11" max="11" width="8.69921875" style="104" customWidth="1"/>
    <col min="12" max="12" width="8.19921875" style="104" customWidth="1"/>
    <col min="13" max="13" width="11.69921875" style="104" bestFit="1" customWidth="1"/>
    <col min="14" max="14" width="11.19921875" style="104" customWidth="1"/>
    <col min="15" max="16384" width="11.19921875" style="104"/>
  </cols>
  <sheetData>
    <row r="1" spans="1:13" ht="26.25" customHeight="1">
      <c r="A1" s="359" t="str">
        <f>計畫經費彙總表!A1</f>
        <v>五常物業規劃顧問股份(閉鎖型)有限公司</v>
      </c>
      <c r="B1" s="359"/>
      <c r="C1" s="359"/>
      <c r="D1" s="359"/>
      <c r="E1" s="359"/>
      <c r="F1" s="359"/>
      <c r="G1" s="359"/>
      <c r="H1" s="359"/>
      <c r="I1" s="359"/>
      <c r="J1" s="359"/>
      <c r="K1" s="359"/>
      <c r="L1" s="359"/>
      <c r="M1" s="359"/>
    </row>
    <row r="2" spans="1:13" ht="30" customHeight="1">
      <c r="A2" s="347" t="s">
        <v>159</v>
      </c>
      <c r="B2" s="347"/>
      <c r="C2" s="347"/>
      <c r="D2" s="347"/>
      <c r="E2" s="347"/>
      <c r="F2" s="347"/>
      <c r="G2" s="347"/>
      <c r="H2" s="347"/>
      <c r="I2" s="347"/>
      <c r="J2" s="347"/>
      <c r="K2" s="347"/>
      <c r="L2" s="347"/>
      <c r="M2" s="347"/>
    </row>
    <row r="3" spans="1:13" ht="16.8" thickBot="1">
      <c r="A3" s="5"/>
      <c r="B3" s="5"/>
      <c r="C3" s="5"/>
      <c r="D3" s="5"/>
      <c r="E3" s="5"/>
      <c r="F3" s="5"/>
      <c r="G3" s="5"/>
      <c r="H3" s="5"/>
      <c r="I3" s="5"/>
      <c r="J3" s="5"/>
      <c r="K3" s="5"/>
      <c r="L3" s="5"/>
      <c r="M3" s="6" t="s">
        <v>35</v>
      </c>
    </row>
    <row r="4" spans="1:13" s="117" customFormat="1" ht="38.25" customHeight="1" thickBot="1">
      <c r="A4" s="370" t="s">
        <v>114</v>
      </c>
      <c r="B4" s="370"/>
      <c r="C4" s="11" t="s">
        <v>115</v>
      </c>
      <c r="D4" s="12" t="s">
        <v>116</v>
      </c>
      <c r="E4" s="12" t="s">
        <v>160</v>
      </c>
      <c r="F4" s="11" t="s">
        <v>36</v>
      </c>
      <c r="G4" s="11" t="s">
        <v>87</v>
      </c>
      <c r="H4" s="11" t="s">
        <v>161</v>
      </c>
      <c r="I4" s="11" t="s">
        <v>162</v>
      </c>
      <c r="J4" s="11" t="s">
        <v>163</v>
      </c>
      <c r="K4" s="11" t="s">
        <v>93</v>
      </c>
      <c r="L4" s="11" t="s">
        <v>164</v>
      </c>
      <c r="M4" s="7" t="s">
        <v>165</v>
      </c>
    </row>
    <row r="5" spans="1:13" s="15" customFormat="1" ht="18" customHeight="1">
      <c r="A5" s="208"/>
      <c r="B5" s="209"/>
      <c r="C5" s="210"/>
      <c r="D5" s="210"/>
      <c r="E5" s="210"/>
      <c r="F5" s="210"/>
      <c r="G5" s="210"/>
      <c r="H5" s="210"/>
      <c r="I5" s="210"/>
      <c r="J5" s="210"/>
      <c r="K5" s="210"/>
      <c r="L5" s="210"/>
      <c r="M5" s="211"/>
    </row>
    <row r="6" spans="1:13" s="15" customFormat="1" ht="18" customHeight="1">
      <c r="A6" s="212"/>
      <c r="B6" s="278" t="s">
        <v>125</v>
      </c>
      <c r="C6" s="279" t="str">
        <f>設備使用記錄表!B6</f>
        <v>成型機</v>
      </c>
      <c r="D6" s="279" t="str">
        <f>設備使用記錄表!B6</f>
        <v>成型機</v>
      </c>
      <c r="E6" s="280">
        <v>800000</v>
      </c>
      <c r="F6" s="281" t="s">
        <v>166</v>
      </c>
      <c r="G6" s="279">
        <v>11205003</v>
      </c>
      <c r="H6" s="279" t="s">
        <v>167</v>
      </c>
      <c r="I6" s="279" t="s">
        <v>168</v>
      </c>
      <c r="J6" s="279" t="s">
        <v>169</v>
      </c>
      <c r="K6" s="279">
        <v>1</v>
      </c>
      <c r="L6" s="282" t="s">
        <v>170</v>
      </c>
      <c r="M6" s="283">
        <v>500</v>
      </c>
    </row>
    <row r="7" spans="1:13" s="15" customFormat="1" ht="16.5" customHeight="1">
      <c r="A7" s="212"/>
      <c r="B7" s="278" t="s">
        <v>128</v>
      </c>
      <c r="C7" s="279" t="str">
        <f>設備使用記錄表!B7</f>
        <v>磨石機</v>
      </c>
      <c r="D7" s="279" t="str">
        <f>設備使用記錄表!B7</f>
        <v>磨石機</v>
      </c>
      <c r="E7" s="280">
        <v>500000</v>
      </c>
      <c r="F7" s="281" t="s">
        <v>171</v>
      </c>
      <c r="G7" s="279">
        <v>11205009</v>
      </c>
      <c r="H7" s="279" t="s">
        <v>172</v>
      </c>
      <c r="I7" s="279" t="s">
        <v>173</v>
      </c>
      <c r="J7" s="279" t="s">
        <v>174</v>
      </c>
      <c r="K7" s="279">
        <v>1</v>
      </c>
      <c r="L7" s="282" t="s">
        <v>170</v>
      </c>
      <c r="M7" s="283">
        <v>2500</v>
      </c>
    </row>
    <row r="8" spans="1:13" s="15" customFormat="1" ht="18" customHeight="1">
      <c r="A8" s="212"/>
      <c r="B8" s="284"/>
      <c r="C8" s="279"/>
      <c r="D8" s="279"/>
      <c r="E8" s="280"/>
      <c r="F8" s="279"/>
      <c r="G8" s="279"/>
      <c r="H8" s="279"/>
      <c r="I8" s="279"/>
      <c r="J8" s="279"/>
      <c r="K8" s="279"/>
      <c r="L8" s="279"/>
      <c r="M8" s="283"/>
    </row>
    <row r="9" spans="1:13" s="15" customFormat="1" ht="16.5" customHeight="1">
      <c r="A9" s="213"/>
      <c r="B9" s="285"/>
      <c r="C9" s="279"/>
      <c r="D9" s="279"/>
      <c r="E9" s="280"/>
      <c r="F9" s="279"/>
      <c r="G9" s="279"/>
      <c r="H9" s="279"/>
      <c r="I9" s="279"/>
      <c r="J9" s="279"/>
      <c r="K9" s="279"/>
      <c r="L9" s="279"/>
      <c r="M9" s="283"/>
    </row>
    <row r="10" spans="1:13" s="15" customFormat="1" ht="16.5" customHeight="1">
      <c r="A10" s="212"/>
      <c r="B10" s="278"/>
      <c r="C10" s="279"/>
      <c r="D10" s="279"/>
      <c r="E10" s="280"/>
      <c r="F10" s="279"/>
      <c r="G10" s="279"/>
      <c r="H10" s="279"/>
      <c r="I10" s="279"/>
      <c r="J10" s="279"/>
      <c r="K10" s="279"/>
      <c r="L10" s="279"/>
      <c r="M10" s="283"/>
    </row>
    <row r="11" spans="1:13" s="15" customFormat="1" ht="17.25" customHeight="1">
      <c r="A11" s="212"/>
      <c r="B11" s="278"/>
      <c r="C11" s="279"/>
      <c r="D11" s="279"/>
      <c r="E11" s="280"/>
      <c r="F11" s="279"/>
      <c r="G11" s="279"/>
      <c r="H11" s="279"/>
      <c r="I11" s="279"/>
      <c r="J11" s="279"/>
      <c r="K11" s="279"/>
      <c r="L11" s="279"/>
      <c r="M11" s="283"/>
    </row>
    <row r="12" spans="1:13" s="15" customFormat="1" ht="15.75" customHeight="1">
      <c r="A12" s="212"/>
      <c r="B12" s="284"/>
      <c r="C12" s="279"/>
      <c r="D12" s="279"/>
      <c r="E12" s="280"/>
      <c r="F12" s="279"/>
      <c r="G12" s="279"/>
      <c r="H12" s="279"/>
      <c r="I12" s="279"/>
      <c r="J12" s="279"/>
      <c r="K12" s="279"/>
      <c r="L12" s="279"/>
      <c r="M12" s="283"/>
    </row>
    <row r="13" spans="1:13" s="15" customFormat="1" ht="19.5" customHeight="1">
      <c r="A13" s="213"/>
      <c r="B13" s="285"/>
      <c r="C13" s="279"/>
      <c r="D13" s="279"/>
      <c r="E13" s="280"/>
      <c r="F13" s="279"/>
      <c r="G13" s="279"/>
      <c r="H13" s="279"/>
      <c r="I13" s="279"/>
      <c r="J13" s="279"/>
      <c r="K13" s="279"/>
      <c r="L13" s="279"/>
      <c r="M13" s="283"/>
    </row>
    <row r="14" spans="1:13" s="15" customFormat="1" ht="16.5" customHeight="1">
      <c r="A14" s="212"/>
      <c r="B14" s="278"/>
      <c r="C14" s="279"/>
      <c r="D14" s="279"/>
      <c r="E14" s="280"/>
      <c r="F14" s="279"/>
      <c r="G14" s="279"/>
      <c r="H14" s="279"/>
      <c r="I14" s="279"/>
      <c r="J14" s="279"/>
      <c r="K14" s="279"/>
      <c r="L14" s="279"/>
      <c r="M14" s="283"/>
    </row>
    <row r="15" spans="1:13" s="15" customFormat="1" ht="17.25" customHeight="1" thickBot="1">
      <c r="A15" s="214"/>
      <c r="B15" s="286"/>
      <c r="C15" s="287"/>
      <c r="D15" s="287"/>
      <c r="E15" s="288"/>
      <c r="F15" s="287"/>
      <c r="G15" s="287"/>
      <c r="H15" s="287"/>
      <c r="I15" s="287"/>
      <c r="J15" s="287"/>
      <c r="K15" s="287"/>
      <c r="L15" s="287"/>
      <c r="M15" s="289"/>
    </row>
    <row r="16" spans="1:13" s="15" customFormat="1" ht="22.5" customHeight="1" thickBot="1">
      <c r="A16" s="322" t="s">
        <v>175</v>
      </c>
      <c r="B16" s="215"/>
      <c r="C16" s="216"/>
      <c r="D16" s="216"/>
      <c r="E16" s="217"/>
      <c r="F16" s="145"/>
      <c r="G16" s="145"/>
      <c r="H16" s="145"/>
      <c r="I16" s="145"/>
      <c r="J16" s="145"/>
      <c r="K16" s="145"/>
      <c r="L16" s="145"/>
      <c r="M16" s="218">
        <f>ROUND(SUM(M5:M15),0)</f>
        <v>3000</v>
      </c>
    </row>
    <row r="17" spans="1:13" ht="22.5" customHeight="1">
      <c r="A17" s="150"/>
      <c r="B17" s="219"/>
      <c r="C17" s="219"/>
      <c r="D17" s="219"/>
      <c r="E17" s="152"/>
      <c r="M17" s="152"/>
    </row>
    <row r="18" spans="1:13" s="14" customFormat="1" ht="13.8">
      <c r="A18" s="14" t="s">
        <v>176</v>
      </c>
    </row>
    <row r="19" spans="1:13" s="14" customFormat="1" ht="13.8">
      <c r="A19" s="14" t="s">
        <v>177</v>
      </c>
      <c r="G19" s="153"/>
    </row>
    <row r="20" spans="1:13" s="14" customFormat="1" ht="13.8">
      <c r="A20" s="14" t="s">
        <v>178</v>
      </c>
    </row>
    <row r="21" spans="1:13" s="14" customFormat="1" ht="13.8">
      <c r="A21" s="360" t="s">
        <v>179</v>
      </c>
      <c r="B21" s="360"/>
      <c r="C21" s="360"/>
      <c r="D21" s="360"/>
      <c r="E21" s="360"/>
      <c r="F21" s="360"/>
      <c r="G21" s="360"/>
      <c r="H21" s="360"/>
      <c r="I21" s="360"/>
      <c r="J21" s="360"/>
      <c r="K21" s="360"/>
      <c r="L21" s="360"/>
      <c r="M21" s="360"/>
    </row>
    <row r="22" spans="1:13" s="14" customFormat="1" ht="13.8">
      <c r="A22" s="360" t="s">
        <v>180</v>
      </c>
      <c r="B22" s="360"/>
      <c r="C22" s="360"/>
      <c r="D22" s="360"/>
      <c r="E22" s="360"/>
      <c r="F22" s="360"/>
      <c r="G22" s="360"/>
      <c r="H22" s="360"/>
      <c r="I22" s="360"/>
      <c r="J22" s="360"/>
      <c r="K22" s="360"/>
      <c r="L22" s="360"/>
      <c r="M22" s="360"/>
    </row>
    <row r="23" spans="1:13" s="14" customFormat="1">
      <c r="A23" s="369"/>
      <c r="B23" s="369"/>
      <c r="C23" s="369"/>
      <c r="D23" s="369"/>
      <c r="E23" s="369"/>
      <c r="F23" s="369"/>
      <c r="G23" s="369"/>
      <c r="H23" s="369"/>
      <c r="I23" s="369"/>
      <c r="J23" s="369"/>
      <c r="K23" s="369"/>
      <c r="L23" s="369"/>
      <c r="M23" s="369"/>
    </row>
    <row r="24" spans="1:13" s="18" customFormat="1" ht="17.399999999999999">
      <c r="A24" s="127"/>
      <c r="B24" s="93" t="s">
        <v>31</v>
      </c>
      <c r="F24" s="93" t="s">
        <v>32</v>
      </c>
      <c r="I24" s="127"/>
      <c r="K24" s="94" t="s">
        <v>33</v>
      </c>
    </row>
    <row r="25" spans="1:13">
      <c r="A25" s="369"/>
      <c r="B25" s="369"/>
      <c r="C25" s="369"/>
      <c r="D25" s="369"/>
      <c r="E25" s="369"/>
      <c r="F25" s="369"/>
      <c r="G25" s="369"/>
      <c r="H25" s="369"/>
      <c r="I25" s="369"/>
      <c r="J25" s="369"/>
      <c r="K25" s="369"/>
      <c r="L25" s="369"/>
      <c r="M25" s="369"/>
    </row>
    <row r="26" spans="1:13">
      <c r="A26" s="369"/>
      <c r="B26" s="369"/>
      <c r="C26" s="369"/>
      <c r="D26" s="369"/>
      <c r="E26" s="369"/>
      <c r="F26" s="369"/>
      <c r="G26" s="369"/>
      <c r="H26" s="369"/>
      <c r="I26" s="369"/>
      <c r="J26" s="369"/>
      <c r="K26" s="369"/>
      <c r="L26" s="369"/>
      <c r="M26" s="369"/>
    </row>
    <row r="27" spans="1:13">
      <c r="A27" s="108"/>
    </row>
  </sheetData>
  <sheetProtection algorithmName="SHA-512" hashValue="mc9Xi9CPYoU76VM8GRPbMiBRlORHEAFLTiHJTIqvsKRJ3WaF/DRtOTple+fNiL0AZU/yLBqfN7LaFNd9Ke1p1w==" saltValue="BWKqQyo7qrOWgkgNaPooZA==" spinCount="100000" sheet="1" formatCells="0" formatColumns="0" formatRows="0" insertRows="0"/>
  <mergeCells count="8">
    <mergeCell ref="A25:M25"/>
    <mergeCell ref="A26:M26"/>
    <mergeCell ref="A1:M1"/>
    <mergeCell ref="A2:M2"/>
    <mergeCell ref="A4:B4"/>
    <mergeCell ref="A21:M21"/>
    <mergeCell ref="A22:M22"/>
    <mergeCell ref="A23:M23"/>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82" fitToWidth="0" fitToHeight="0" orientation="landscape" blackAndWhite="1"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F21"/>
  <sheetViews>
    <sheetView view="pageBreakPreview" zoomScale="98" zoomScaleNormal="80" zoomScaleSheetLayoutView="98" workbookViewId="0">
      <selection sqref="A1:F1"/>
    </sheetView>
  </sheetViews>
  <sheetFormatPr defaultColWidth="11.19921875" defaultRowHeight="16.2"/>
  <cols>
    <col min="1" max="1" width="18.69921875" style="15" customWidth="1"/>
    <col min="2" max="5" width="20" style="15" customWidth="1"/>
    <col min="6" max="6" width="18" style="15" customWidth="1"/>
    <col min="7" max="7" width="21.09765625" style="15" customWidth="1"/>
    <col min="8" max="10" width="11.19921875" style="15" customWidth="1"/>
    <col min="11" max="11" width="11.09765625" style="15" customWidth="1"/>
    <col min="12" max="12" width="11.19921875" style="15" customWidth="1"/>
    <col min="13" max="16384" width="11.19921875" style="15"/>
  </cols>
  <sheetData>
    <row r="1" spans="1:6" ht="25.5" customHeight="1">
      <c r="A1" s="357" t="str">
        <f>計畫經費彙總表!A1</f>
        <v>五常物業規劃顧問股份(閉鎖型)有限公司</v>
      </c>
      <c r="B1" s="357"/>
      <c r="C1" s="357"/>
      <c r="D1" s="357"/>
      <c r="E1" s="357"/>
      <c r="F1" s="357"/>
    </row>
    <row r="2" spans="1:6" ht="30" customHeight="1">
      <c r="A2" s="347" t="s">
        <v>181</v>
      </c>
      <c r="B2" s="347"/>
      <c r="C2" s="347"/>
      <c r="D2" s="347"/>
      <c r="E2" s="347"/>
      <c r="F2" s="347"/>
    </row>
    <row r="3" spans="1:6" ht="14.25" customHeight="1">
      <c r="A3" s="326"/>
      <c r="B3" s="301"/>
      <c r="C3" s="301"/>
      <c r="D3" s="301"/>
      <c r="E3" s="301"/>
      <c r="F3" s="301"/>
    </row>
    <row r="4" spans="1:6" ht="18.75" customHeight="1">
      <c r="A4" s="295" t="s">
        <v>182</v>
      </c>
      <c r="B4" s="296"/>
      <c r="C4" s="296"/>
      <c r="D4" s="296"/>
      <c r="E4" s="297" t="s">
        <v>183</v>
      </c>
      <c r="F4" s="296"/>
    </row>
    <row r="5" spans="1:6" ht="19.5" customHeight="1">
      <c r="A5" s="295" t="s">
        <v>184</v>
      </c>
      <c r="B5" s="297"/>
      <c r="C5" s="298"/>
      <c r="D5" s="296"/>
      <c r="E5" s="295" t="s">
        <v>185</v>
      </c>
      <c r="F5" s="296"/>
    </row>
    <row r="6" spans="1:6" ht="20.25" customHeight="1" thickBot="1">
      <c r="A6" s="295" t="s">
        <v>186</v>
      </c>
      <c r="B6" s="296"/>
      <c r="C6" s="298"/>
      <c r="D6" s="296"/>
      <c r="E6" s="299"/>
      <c r="F6" s="300" t="s">
        <v>35</v>
      </c>
    </row>
    <row r="7" spans="1:6" s="222" customFormat="1" ht="21" customHeight="1" thickBot="1">
      <c r="A7" s="224" t="s">
        <v>187</v>
      </c>
      <c r="B7" s="12" t="s">
        <v>36</v>
      </c>
      <c r="C7" s="12" t="s">
        <v>87</v>
      </c>
      <c r="D7" s="12" t="s">
        <v>161</v>
      </c>
      <c r="E7" s="12" t="s">
        <v>162</v>
      </c>
      <c r="F7" s="13" t="s">
        <v>165</v>
      </c>
    </row>
    <row r="8" spans="1:6" ht="21" customHeight="1">
      <c r="A8" s="269" t="s">
        <v>188</v>
      </c>
      <c r="B8" s="263"/>
      <c r="C8" s="268"/>
      <c r="D8" s="263"/>
      <c r="E8" s="268" t="s">
        <v>189</v>
      </c>
      <c r="F8" s="290">
        <v>150000</v>
      </c>
    </row>
    <row r="9" spans="1:6" ht="21" customHeight="1">
      <c r="A9" s="269" t="s">
        <v>190</v>
      </c>
      <c r="B9" s="263"/>
      <c r="C9" s="268"/>
      <c r="D9" s="263"/>
      <c r="E9" s="268" t="s">
        <v>191</v>
      </c>
      <c r="F9" s="290">
        <v>150000</v>
      </c>
    </row>
    <row r="10" spans="1:6" ht="21" customHeight="1">
      <c r="A10" s="269"/>
      <c r="B10" s="268"/>
      <c r="C10" s="268"/>
      <c r="D10" s="268"/>
      <c r="E10" s="268"/>
      <c r="F10" s="290"/>
    </row>
    <row r="11" spans="1:6" ht="21" customHeight="1">
      <c r="A11" s="291"/>
      <c r="B11" s="268"/>
      <c r="C11" s="268"/>
      <c r="D11" s="268"/>
      <c r="E11" s="268"/>
      <c r="F11" s="290"/>
    </row>
    <row r="12" spans="1:6" ht="21" customHeight="1">
      <c r="A12" s="291"/>
      <c r="B12" s="268"/>
      <c r="C12" s="268"/>
      <c r="D12" s="268"/>
      <c r="E12" s="268"/>
      <c r="F12" s="290"/>
    </row>
    <row r="13" spans="1:6" ht="21" customHeight="1">
      <c r="A13" s="292"/>
      <c r="B13" s="268"/>
      <c r="C13" s="268"/>
      <c r="D13" s="268"/>
      <c r="E13" s="268"/>
      <c r="F13" s="290"/>
    </row>
    <row r="14" spans="1:6" ht="21" customHeight="1" thickBot="1">
      <c r="A14" s="293"/>
      <c r="B14" s="275"/>
      <c r="C14" s="275"/>
      <c r="D14" s="275"/>
      <c r="E14" s="275"/>
      <c r="F14" s="294"/>
    </row>
    <row r="15" spans="1:6" ht="21" customHeight="1" thickBot="1">
      <c r="A15" s="324" t="s">
        <v>192</v>
      </c>
      <c r="B15" s="148"/>
      <c r="C15" s="148"/>
      <c r="D15" s="148"/>
      <c r="E15" s="148"/>
      <c r="F15" s="218">
        <f>ROUND(SUM(F8:F14),0)</f>
        <v>300000</v>
      </c>
    </row>
    <row r="16" spans="1:6" ht="14.25" customHeight="1">
      <c r="A16" s="221"/>
      <c r="B16" s="151"/>
      <c r="C16" s="151"/>
      <c r="D16" s="151"/>
      <c r="E16" s="151"/>
      <c r="F16" s="223"/>
    </row>
    <row r="17" spans="1:6">
      <c r="A17" s="14" t="s">
        <v>193</v>
      </c>
    </row>
    <row r="18" spans="1:6">
      <c r="A18" s="14" t="s">
        <v>194</v>
      </c>
    </row>
    <row r="19" spans="1:6">
      <c r="A19" s="371" t="s">
        <v>195</v>
      </c>
      <c r="B19" s="371"/>
      <c r="C19" s="371"/>
      <c r="D19" s="371"/>
      <c r="E19" s="371"/>
      <c r="F19" s="371"/>
    </row>
    <row r="21" spans="1:6" s="18" customFormat="1" ht="17.399999999999999">
      <c r="A21" s="93" t="s">
        <v>31</v>
      </c>
      <c r="D21" s="93" t="s">
        <v>32</v>
      </c>
      <c r="E21" s="127"/>
      <c r="F21" s="94" t="s">
        <v>33</v>
      </c>
    </row>
  </sheetData>
  <sheetProtection algorithmName="SHA-512" hashValue="MNKUGz3qs9AKKpHs/PaRiG3ScL5Fp+kuAmThqKdN3vfd5NM4GZUe97dQqBakBguegEzummwTkQIt493HnWht7w==" saltValue="/OD5WUIfE7/vzJrgWamFAg=="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1"/>
  <dimension ref="A1:J21"/>
  <sheetViews>
    <sheetView view="pageBreakPreview" zoomScale="60" zoomScaleNormal="80" workbookViewId="0">
      <selection activeCell="A2" sqref="A2:F2"/>
    </sheetView>
  </sheetViews>
  <sheetFormatPr defaultColWidth="11.19921875" defaultRowHeight="16.2"/>
  <cols>
    <col min="1" max="1" width="18.69921875" style="15" customWidth="1"/>
    <col min="2" max="5" width="20" style="15" customWidth="1"/>
    <col min="6" max="6" width="18" style="15" customWidth="1"/>
    <col min="7" max="7" width="21.09765625" style="15" customWidth="1"/>
    <col min="8" max="10" width="11.19921875" style="15" customWidth="1"/>
    <col min="11" max="11" width="11.09765625" style="15" customWidth="1"/>
    <col min="12" max="12" width="11.19921875" style="15" customWidth="1"/>
    <col min="13" max="16384" width="11.19921875" style="15"/>
  </cols>
  <sheetData>
    <row r="1" spans="1:6" ht="25.5" customHeight="1">
      <c r="A1" s="357" t="str">
        <f>計畫經費彙總表!A1</f>
        <v>五常物業規劃顧問股份(閉鎖型)有限公司</v>
      </c>
      <c r="B1" s="357"/>
      <c r="C1" s="357"/>
      <c r="D1" s="357"/>
      <c r="E1" s="357"/>
      <c r="F1" s="357"/>
    </row>
    <row r="2" spans="1:6" ht="30" customHeight="1">
      <c r="A2" s="347" t="s">
        <v>196</v>
      </c>
      <c r="B2" s="347"/>
      <c r="C2" s="347"/>
      <c r="D2" s="347"/>
      <c r="E2" s="347"/>
      <c r="F2" s="347"/>
    </row>
    <row r="3" spans="1:6" ht="30" customHeight="1">
      <c r="A3" s="326"/>
      <c r="B3" s="301"/>
      <c r="C3" s="301"/>
      <c r="D3" s="301"/>
      <c r="E3" s="301"/>
      <c r="F3" s="301"/>
    </row>
    <row r="4" spans="1:6" ht="18.75" customHeight="1">
      <c r="A4" s="295" t="s">
        <v>182</v>
      </c>
      <c r="B4" s="296"/>
      <c r="C4" s="296"/>
      <c r="D4" s="296"/>
      <c r="E4" s="297" t="s">
        <v>183</v>
      </c>
      <c r="F4" s="296"/>
    </row>
    <row r="5" spans="1:6" ht="19.5" customHeight="1">
      <c r="A5" s="295" t="s">
        <v>184</v>
      </c>
      <c r="B5" s="297"/>
      <c r="C5" s="298"/>
      <c r="D5" s="296"/>
      <c r="E5" s="295" t="s">
        <v>185</v>
      </c>
      <c r="F5" s="296"/>
    </row>
    <row r="6" spans="1:6" ht="20.25" customHeight="1" thickBot="1">
      <c r="A6" s="295" t="s">
        <v>197</v>
      </c>
      <c r="B6" s="296"/>
      <c r="C6" s="298"/>
      <c r="D6" s="296"/>
      <c r="E6" s="299"/>
      <c r="F6" s="300" t="s">
        <v>35</v>
      </c>
    </row>
    <row r="7" spans="1:6" s="222" customFormat="1" ht="21" customHeight="1" thickBot="1">
      <c r="A7" s="224" t="s">
        <v>187</v>
      </c>
      <c r="B7" s="12" t="s">
        <v>36</v>
      </c>
      <c r="C7" s="12" t="s">
        <v>87</v>
      </c>
      <c r="D7" s="12" t="s">
        <v>161</v>
      </c>
      <c r="E7" s="12" t="s">
        <v>162</v>
      </c>
      <c r="F7" s="13" t="s">
        <v>165</v>
      </c>
    </row>
    <row r="8" spans="1:6" ht="21" customHeight="1">
      <c r="A8" s="269" t="s">
        <v>188</v>
      </c>
      <c r="B8" s="263"/>
      <c r="C8" s="268"/>
      <c r="D8" s="263"/>
      <c r="E8" s="268" t="s">
        <v>189</v>
      </c>
      <c r="F8" s="290">
        <v>200000</v>
      </c>
    </row>
    <row r="9" spans="1:6" ht="21" customHeight="1">
      <c r="A9" s="269" t="s">
        <v>190</v>
      </c>
      <c r="B9" s="263"/>
      <c r="C9" s="268"/>
      <c r="D9" s="263"/>
      <c r="E9" s="268" t="s">
        <v>191</v>
      </c>
      <c r="F9" s="290">
        <v>150000</v>
      </c>
    </row>
    <row r="10" spans="1:6" ht="21" customHeight="1">
      <c r="A10" s="269"/>
      <c r="B10" s="268"/>
      <c r="C10" s="268"/>
      <c r="D10" s="268"/>
      <c r="E10" s="268"/>
      <c r="F10" s="290"/>
    </row>
    <row r="11" spans="1:6" ht="21" customHeight="1">
      <c r="A11" s="291"/>
      <c r="B11" s="268"/>
      <c r="C11" s="268"/>
      <c r="D11" s="268"/>
      <c r="E11" s="268"/>
      <c r="F11" s="290"/>
    </row>
    <row r="12" spans="1:6" ht="21" customHeight="1">
      <c r="A12" s="291"/>
      <c r="B12" s="268"/>
      <c r="C12" s="268"/>
      <c r="D12" s="268"/>
      <c r="E12" s="268"/>
      <c r="F12" s="290"/>
    </row>
    <row r="13" spans="1:6" ht="21" customHeight="1">
      <c r="A13" s="292"/>
      <c r="B13" s="268"/>
      <c r="C13" s="268"/>
      <c r="D13" s="268"/>
      <c r="E13" s="268"/>
      <c r="F13" s="290"/>
    </row>
    <row r="14" spans="1:6" ht="21" customHeight="1" thickBot="1">
      <c r="A14" s="293"/>
      <c r="B14" s="275"/>
      <c r="C14" s="275"/>
      <c r="D14" s="275"/>
      <c r="E14" s="275"/>
      <c r="F14" s="294"/>
    </row>
    <row r="15" spans="1:6" ht="21" customHeight="1" thickBot="1">
      <c r="A15" s="324" t="s">
        <v>192</v>
      </c>
      <c r="B15" s="148"/>
      <c r="C15" s="148"/>
      <c r="D15" s="148"/>
      <c r="E15" s="148"/>
      <c r="F15" s="218">
        <f>ROUND(SUM(F8:F14),0)</f>
        <v>350000</v>
      </c>
    </row>
    <row r="16" spans="1:6" ht="12" customHeight="1">
      <c r="A16" s="221"/>
      <c r="B16" s="151"/>
      <c r="C16" s="151"/>
      <c r="D16" s="151"/>
      <c r="E16" s="151"/>
      <c r="F16" s="223"/>
    </row>
    <row r="17" spans="1:10">
      <c r="A17" s="14" t="s">
        <v>193</v>
      </c>
    </row>
    <row r="18" spans="1:10">
      <c r="A18" s="14" t="s">
        <v>198</v>
      </c>
    </row>
    <row r="19" spans="1:10">
      <c r="A19" s="371" t="s">
        <v>199</v>
      </c>
      <c r="B19" s="371"/>
      <c r="C19" s="371"/>
      <c r="D19" s="371"/>
      <c r="E19" s="371"/>
      <c r="F19" s="371"/>
    </row>
    <row r="21" spans="1:10" s="18" customFormat="1" ht="17.399999999999999">
      <c r="A21" s="93" t="s">
        <v>31</v>
      </c>
      <c r="D21" s="93" t="s">
        <v>32</v>
      </c>
      <c r="E21" s="127"/>
      <c r="F21" s="94" t="s">
        <v>33</v>
      </c>
      <c r="G21" s="93"/>
      <c r="H21" s="127"/>
      <c r="J21" s="94"/>
    </row>
  </sheetData>
  <sheetProtection algorithmName="SHA-512" hashValue="XSazTHFm2fwk+px0wKptqmtSeoX2UvRcVYeplS/g42Sudv0rL7LlFmoVkBjFuEJLfZt1aquFh/CZk9e3VTnVQw==" saltValue="PfGDXB7QGzH3mqEGEsUiQQ=="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2"/>
  <dimension ref="A1:J21"/>
  <sheetViews>
    <sheetView view="pageBreakPreview" zoomScale="89" zoomScaleNormal="80" zoomScaleSheetLayoutView="89" workbookViewId="0">
      <selection activeCell="A19" sqref="A19:F19"/>
    </sheetView>
  </sheetViews>
  <sheetFormatPr defaultColWidth="11.19921875" defaultRowHeight="16.2"/>
  <cols>
    <col min="1" max="1" width="18.69921875" style="15" customWidth="1"/>
    <col min="2" max="5" width="20" style="15" customWidth="1"/>
    <col min="6" max="6" width="18" style="15" customWidth="1"/>
    <col min="7" max="7" width="21.09765625" style="15" customWidth="1"/>
    <col min="8" max="10" width="11.19921875" style="15" customWidth="1"/>
    <col min="11" max="11" width="11.09765625" style="15" customWidth="1"/>
    <col min="12" max="12" width="11.19921875" style="15" customWidth="1"/>
    <col min="13" max="16384" width="11.19921875" style="15"/>
  </cols>
  <sheetData>
    <row r="1" spans="1:6" ht="25.5" customHeight="1">
      <c r="A1" s="357" t="str">
        <f>計畫經費彙總表!A1</f>
        <v>五常物業規劃顧問股份(閉鎖型)有限公司</v>
      </c>
      <c r="B1" s="357"/>
      <c r="C1" s="357"/>
      <c r="D1" s="357"/>
      <c r="E1" s="357"/>
      <c r="F1" s="357"/>
    </row>
    <row r="2" spans="1:6" ht="30" customHeight="1">
      <c r="A2" s="347" t="s">
        <v>200</v>
      </c>
      <c r="B2" s="347"/>
      <c r="C2" s="347"/>
      <c r="D2" s="347"/>
      <c r="E2" s="347"/>
      <c r="F2" s="347"/>
    </row>
    <row r="3" spans="1:6" ht="15.75" customHeight="1">
      <c r="A3" s="326"/>
      <c r="B3" s="301"/>
      <c r="C3" s="301"/>
      <c r="D3" s="301"/>
      <c r="E3" s="301"/>
      <c r="F3" s="301"/>
    </row>
    <row r="4" spans="1:6" ht="18.75" customHeight="1">
      <c r="A4" s="295" t="s">
        <v>182</v>
      </c>
      <c r="B4" s="296"/>
      <c r="C4" s="296"/>
      <c r="D4" s="296"/>
      <c r="E4" s="297" t="s">
        <v>183</v>
      </c>
      <c r="F4" s="296"/>
    </row>
    <row r="5" spans="1:6" ht="19.5" customHeight="1">
      <c r="A5" s="295" t="s">
        <v>184</v>
      </c>
      <c r="B5" s="297"/>
      <c r="C5" s="298"/>
      <c r="D5" s="296"/>
      <c r="E5" s="295" t="s">
        <v>185</v>
      </c>
      <c r="F5" s="296"/>
    </row>
    <row r="6" spans="1:6" ht="20.25" customHeight="1" thickBot="1">
      <c r="A6" s="295" t="s">
        <v>197</v>
      </c>
      <c r="B6" s="296"/>
      <c r="C6" s="298"/>
      <c r="D6" s="296"/>
      <c r="E6" s="299"/>
      <c r="F6" s="300" t="s">
        <v>35</v>
      </c>
    </row>
    <row r="7" spans="1:6" s="222" customFormat="1" ht="21" customHeight="1" thickBot="1">
      <c r="A7" s="224" t="s">
        <v>187</v>
      </c>
      <c r="B7" s="12" t="s">
        <v>36</v>
      </c>
      <c r="C7" s="12" t="s">
        <v>87</v>
      </c>
      <c r="D7" s="12" t="s">
        <v>161</v>
      </c>
      <c r="E7" s="12" t="s">
        <v>162</v>
      </c>
      <c r="F7" s="13" t="s">
        <v>165</v>
      </c>
    </row>
    <row r="8" spans="1:6" ht="21" customHeight="1">
      <c r="A8" s="269" t="s">
        <v>188</v>
      </c>
      <c r="B8" s="263"/>
      <c r="C8" s="268"/>
      <c r="D8" s="263"/>
      <c r="E8" s="268" t="s">
        <v>189</v>
      </c>
      <c r="F8" s="290">
        <v>300000</v>
      </c>
    </row>
    <row r="9" spans="1:6" ht="21" customHeight="1">
      <c r="A9" s="269" t="s">
        <v>190</v>
      </c>
      <c r="B9" s="263"/>
      <c r="C9" s="268"/>
      <c r="D9" s="263"/>
      <c r="E9" s="268" t="s">
        <v>191</v>
      </c>
      <c r="F9" s="290">
        <v>100000</v>
      </c>
    </row>
    <row r="10" spans="1:6" ht="21" customHeight="1">
      <c r="A10" s="269"/>
      <c r="B10" s="268"/>
      <c r="C10" s="268"/>
      <c r="D10" s="268"/>
      <c r="E10" s="268"/>
      <c r="F10" s="290"/>
    </row>
    <row r="11" spans="1:6" ht="21" customHeight="1">
      <c r="A11" s="291"/>
      <c r="B11" s="268"/>
      <c r="C11" s="268"/>
      <c r="D11" s="268"/>
      <c r="E11" s="268"/>
      <c r="F11" s="290"/>
    </row>
    <row r="12" spans="1:6" ht="21" customHeight="1">
      <c r="A12" s="291"/>
      <c r="B12" s="268"/>
      <c r="C12" s="268"/>
      <c r="D12" s="268"/>
      <c r="E12" s="268"/>
      <c r="F12" s="290"/>
    </row>
    <row r="13" spans="1:6" ht="21" customHeight="1">
      <c r="A13" s="292"/>
      <c r="B13" s="268"/>
      <c r="C13" s="268"/>
      <c r="D13" s="268"/>
      <c r="E13" s="268"/>
      <c r="F13" s="290"/>
    </row>
    <row r="14" spans="1:6" ht="21" customHeight="1" thickBot="1">
      <c r="A14" s="293"/>
      <c r="B14" s="275"/>
      <c r="C14" s="275"/>
      <c r="D14" s="275"/>
      <c r="E14" s="275"/>
      <c r="F14" s="294"/>
    </row>
    <row r="15" spans="1:6" ht="21" customHeight="1" thickBot="1">
      <c r="A15" s="324" t="s">
        <v>192</v>
      </c>
      <c r="B15" s="148"/>
      <c r="C15" s="148"/>
      <c r="D15" s="148"/>
      <c r="E15" s="148"/>
      <c r="F15" s="218">
        <f>ROUND(SUM(F8:F14),0)</f>
        <v>400000</v>
      </c>
    </row>
    <row r="16" spans="1:6" ht="14.25" customHeight="1">
      <c r="A16" s="221"/>
      <c r="B16" s="151"/>
      <c r="C16" s="151"/>
      <c r="D16" s="151"/>
      <c r="E16" s="151"/>
      <c r="F16" s="223"/>
    </row>
    <row r="17" spans="1:10">
      <c r="A17" s="14" t="s">
        <v>193</v>
      </c>
    </row>
    <row r="18" spans="1:10">
      <c r="A18" s="14" t="s">
        <v>201</v>
      </c>
    </row>
    <row r="19" spans="1:10">
      <c r="A19" s="371" t="s">
        <v>202</v>
      </c>
      <c r="B19" s="371"/>
      <c r="C19" s="371"/>
      <c r="D19" s="371"/>
      <c r="E19" s="371"/>
      <c r="F19" s="371"/>
    </row>
    <row r="20" spans="1:10">
      <c r="A20" s="331"/>
      <c r="B20" s="225"/>
      <c r="C20" s="225"/>
      <c r="D20" s="225"/>
      <c r="E20" s="225"/>
      <c r="F20" s="225"/>
    </row>
    <row r="21" spans="1:10" s="18" customFormat="1" ht="17.399999999999999">
      <c r="A21" s="93" t="s">
        <v>31</v>
      </c>
      <c r="D21" s="93" t="s">
        <v>32</v>
      </c>
      <c r="E21" s="127"/>
      <c r="F21" s="94" t="s">
        <v>33</v>
      </c>
      <c r="G21" s="93"/>
      <c r="H21" s="127"/>
      <c r="J21" s="94"/>
    </row>
  </sheetData>
  <sheetProtection algorithmName="SHA-512" hashValue="RWPvqA/UiN40M6Kpen3aVih0lU49/o+fQXY1L7/BhNpLxIZjbx1Q3kf+d+4W46pZ7shrAMuNpM/WXhTVVb38aw==" saltValue="/+ffpgyCrfjSkYQWGWQaAA==" spinCount="100000" sheet="1" formatCells="0" formatColumns="0" formatRows="0" insertRows="0"/>
  <mergeCells count="3">
    <mergeCell ref="A1:F1"/>
    <mergeCell ref="A2:F2"/>
    <mergeCell ref="A19:F19"/>
  </mergeCells>
  <phoneticPr fontId="9" type="noConversion"/>
  <printOptions horizontalCentered="1" verticalCentered="1"/>
  <pageMargins left="0.19685039370078741" right="0.15748031496062992" top="0.39370078740157483" bottom="0.39370078740157483" header="0.27559055118110237" footer="0.15748031496062992"/>
  <pageSetup paperSize="9" fitToWidth="0" fitToHeight="0" orientation="landscape" blackAndWhite="1"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3"/>
  <dimension ref="A1:N23"/>
  <sheetViews>
    <sheetView view="pageBreakPreview" zoomScale="60" zoomScaleNormal="80" workbookViewId="0">
      <selection activeCell="A2" sqref="A2:N2"/>
    </sheetView>
  </sheetViews>
  <sheetFormatPr defaultColWidth="11.19921875" defaultRowHeight="13.8"/>
  <cols>
    <col min="1" max="1" width="10.19921875" style="187" customWidth="1"/>
    <col min="2" max="2" width="7.69921875" style="187" customWidth="1"/>
    <col min="3" max="3" width="12" style="14" customWidth="1"/>
    <col min="4" max="4" width="10.59765625" style="14" customWidth="1"/>
    <col min="5" max="5" width="13.19921875" style="14" bestFit="1" customWidth="1"/>
    <col min="6" max="6" width="30.69921875" style="14" customWidth="1"/>
    <col min="7" max="7" width="12" style="14" customWidth="1"/>
    <col min="8" max="8" width="13" style="14" bestFit="1" customWidth="1"/>
    <col min="9" max="9" width="11.09765625" style="14" customWidth="1"/>
    <col min="10" max="10" width="9.19921875" style="14" customWidth="1"/>
    <col min="11" max="11" width="10.5" style="14" customWidth="1"/>
    <col min="12" max="12" width="9" style="14" customWidth="1"/>
    <col min="13" max="13" width="10.19921875" style="14" customWidth="1"/>
    <col min="14" max="14" width="11.69921875" style="14" customWidth="1"/>
    <col min="15" max="15" width="11.19921875" style="14" customWidth="1"/>
    <col min="16" max="16384" width="11.19921875" style="14"/>
  </cols>
  <sheetData>
    <row r="1" spans="1:14" ht="22.5" customHeight="1">
      <c r="A1" s="372" t="str">
        <f>計畫經費彙總表!A1</f>
        <v>五常物業規劃顧問股份(閉鎖型)有限公司</v>
      </c>
      <c r="B1" s="372"/>
      <c r="C1" s="372"/>
      <c r="D1" s="372"/>
      <c r="E1" s="372"/>
      <c r="F1" s="372"/>
      <c r="G1" s="372"/>
      <c r="H1" s="372"/>
      <c r="I1" s="372"/>
      <c r="J1" s="372"/>
      <c r="K1" s="372"/>
      <c r="L1" s="372"/>
      <c r="M1" s="372"/>
      <c r="N1" s="372"/>
    </row>
    <row r="2" spans="1:14" ht="30" customHeight="1">
      <c r="A2" s="373" t="s">
        <v>203</v>
      </c>
      <c r="B2" s="373"/>
      <c r="C2" s="373"/>
      <c r="D2" s="373"/>
      <c r="E2" s="373"/>
      <c r="F2" s="373"/>
      <c r="G2" s="373"/>
      <c r="H2" s="373"/>
      <c r="I2" s="373"/>
      <c r="J2" s="373"/>
      <c r="K2" s="373"/>
      <c r="L2" s="373"/>
      <c r="M2" s="373"/>
      <c r="N2" s="373"/>
    </row>
    <row r="3" spans="1:14">
      <c r="A3" s="241"/>
      <c r="B3" s="241"/>
      <c r="C3" s="1"/>
      <c r="D3" s="1"/>
      <c r="E3" s="1"/>
      <c r="F3" s="1"/>
      <c r="G3" s="1"/>
      <c r="H3" s="1"/>
      <c r="I3" s="1"/>
      <c r="J3" s="1"/>
      <c r="K3" s="1"/>
      <c r="L3" s="1"/>
      <c r="M3" s="1"/>
      <c r="N3" s="242" t="s">
        <v>204</v>
      </c>
    </row>
    <row r="4" spans="1:14" s="222" customFormat="1" ht="26.25" customHeight="1" thickBot="1">
      <c r="A4" s="224" t="s">
        <v>64</v>
      </c>
      <c r="B4" s="12" t="s">
        <v>205</v>
      </c>
      <c r="C4" s="12" t="s">
        <v>206</v>
      </c>
      <c r="D4" s="12" t="s">
        <v>207</v>
      </c>
      <c r="E4" s="12" t="s">
        <v>208</v>
      </c>
      <c r="F4" s="12" t="s">
        <v>209</v>
      </c>
      <c r="G4" s="12" t="s">
        <v>36</v>
      </c>
      <c r="H4" s="12" t="s">
        <v>87</v>
      </c>
      <c r="I4" s="12" t="s">
        <v>210</v>
      </c>
      <c r="J4" s="12" t="s">
        <v>211</v>
      </c>
      <c r="K4" s="12" t="s">
        <v>212</v>
      </c>
      <c r="L4" s="12" t="s">
        <v>213</v>
      </c>
      <c r="M4" s="12" t="s">
        <v>214</v>
      </c>
      <c r="N4" s="13" t="s">
        <v>74</v>
      </c>
    </row>
    <row r="5" spans="1:14" ht="21.6" customHeight="1">
      <c r="A5" s="226"/>
      <c r="B5" s="227"/>
      <c r="C5" s="228"/>
      <c r="D5" s="229"/>
      <c r="E5" s="229"/>
      <c r="F5" s="229"/>
      <c r="G5" s="229"/>
      <c r="H5" s="229"/>
      <c r="I5" s="230"/>
      <c r="J5" s="230"/>
      <c r="K5" s="230"/>
      <c r="L5" s="230"/>
      <c r="M5" s="230"/>
      <c r="N5" s="231"/>
    </row>
    <row r="6" spans="1:14" ht="21.6" customHeight="1">
      <c r="A6" s="302" t="s">
        <v>215</v>
      </c>
      <c r="B6" s="303" t="s">
        <v>216</v>
      </c>
      <c r="C6" s="304" t="s">
        <v>217</v>
      </c>
      <c r="D6" s="304">
        <v>2</v>
      </c>
      <c r="E6" s="305" t="s">
        <v>218</v>
      </c>
      <c r="F6" s="305" t="s">
        <v>219</v>
      </c>
      <c r="G6" s="304"/>
      <c r="H6" s="305"/>
      <c r="I6" s="306"/>
      <c r="J6" s="306">
        <v>300</v>
      </c>
      <c r="K6" s="306">
        <v>1000</v>
      </c>
      <c r="L6" s="306">
        <v>550</v>
      </c>
      <c r="M6" s="306"/>
      <c r="N6" s="232">
        <f>ROUND(SUM(I6:M6),0)</f>
        <v>1850</v>
      </c>
    </row>
    <row r="7" spans="1:14" ht="21.6" customHeight="1">
      <c r="A7" s="302" t="s">
        <v>220</v>
      </c>
      <c r="B7" s="303" t="s">
        <v>221</v>
      </c>
      <c r="C7" s="307"/>
      <c r="D7" s="305"/>
      <c r="E7" s="305"/>
      <c r="F7" s="305"/>
      <c r="G7" s="305"/>
      <c r="H7" s="305"/>
      <c r="I7" s="306"/>
      <c r="J7" s="306"/>
      <c r="K7" s="306"/>
      <c r="L7" s="306"/>
      <c r="M7" s="306"/>
      <c r="N7" s="232">
        <f t="shared" ref="N7:N13" si="0">ROUND(SUM(I7:M7),0)</f>
        <v>0</v>
      </c>
    </row>
    <row r="8" spans="1:14" ht="21.6" customHeight="1">
      <c r="A8" s="308"/>
      <c r="B8" s="303"/>
      <c r="C8" s="305"/>
      <c r="D8" s="305"/>
      <c r="E8" s="305"/>
      <c r="F8" s="305"/>
      <c r="G8" s="305"/>
      <c r="H8" s="305"/>
      <c r="I8" s="309"/>
      <c r="J8" s="309"/>
      <c r="K8" s="309"/>
      <c r="L8" s="309"/>
      <c r="M8" s="309"/>
      <c r="N8" s="232">
        <f t="shared" si="0"/>
        <v>0</v>
      </c>
    </row>
    <row r="9" spans="1:14" ht="21.6" customHeight="1">
      <c r="A9" s="310"/>
      <c r="B9" s="303"/>
      <c r="C9" s="305"/>
      <c r="D9" s="305"/>
      <c r="E9" s="305"/>
      <c r="F9" s="305"/>
      <c r="G9" s="305"/>
      <c r="H9" s="305"/>
      <c r="I9" s="306"/>
      <c r="J9" s="306"/>
      <c r="K9" s="306"/>
      <c r="L9" s="306"/>
      <c r="M9" s="309"/>
      <c r="N9" s="232">
        <f t="shared" si="0"/>
        <v>0</v>
      </c>
    </row>
    <row r="10" spans="1:14" ht="21.6" customHeight="1">
      <c r="A10" s="310"/>
      <c r="B10" s="303"/>
      <c r="C10" s="305"/>
      <c r="D10" s="305"/>
      <c r="E10" s="305"/>
      <c r="F10" s="305"/>
      <c r="G10" s="305"/>
      <c r="H10" s="305"/>
      <c r="I10" s="306"/>
      <c r="J10" s="306"/>
      <c r="K10" s="306"/>
      <c r="L10" s="306"/>
      <c r="M10" s="309"/>
      <c r="N10" s="232">
        <f t="shared" si="0"/>
        <v>0</v>
      </c>
    </row>
    <row r="11" spans="1:14" ht="21.6" customHeight="1">
      <c r="A11" s="302"/>
      <c r="B11" s="303"/>
      <c r="C11" s="305"/>
      <c r="D11" s="305"/>
      <c r="E11" s="305"/>
      <c r="F11" s="305"/>
      <c r="G11" s="305"/>
      <c r="H11" s="305"/>
      <c r="I11" s="306"/>
      <c r="J11" s="306"/>
      <c r="K11" s="306"/>
      <c r="L11" s="306"/>
      <c r="M11" s="309"/>
      <c r="N11" s="232">
        <f t="shared" si="0"/>
        <v>0</v>
      </c>
    </row>
    <row r="12" spans="1:14" ht="21.6" customHeight="1">
      <c r="A12" s="302"/>
      <c r="B12" s="303"/>
      <c r="C12" s="305"/>
      <c r="D12" s="305"/>
      <c r="E12" s="305"/>
      <c r="F12" s="305"/>
      <c r="G12" s="305"/>
      <c r="H12" s="305"/>
      <c r="I12" s="306"/>
      <c r="J12" s="306"/>
      <c r="K12" s="306"/>
      <c r="L12" s="306"/>
      <c r="M12" s="309"/>
      <c r="N12" s="232">
        <f t="shared" si="0"/>
        <v>0</v>
      </c>
    </row>
    <row r="13" spans="1:14" ht="21.6" customHeight="1" thickBot="1">
      <c r="A13" s="311"/>
      <c r="B13" s="312"/>
      <c r="C13" s="313"/>
      <c r="D13" s="313"/>
      <c r="E13" s="313"/>
      <c r="F13" s="313"/>
      <c r="G13" s="313"/>
      <c r="H13" s="313"/>
      <c r="I13" s="314"/>
      <c r="J13" s="314"/>
      <c r="K13" s="314"/>
      <c r="L13" s="314"/>
      <c r="M13" s="314"/>
      <c r="N13" s="232">
        <f t="shared" si="0"/>
        <v>0</v>
      </c>
    </row>
    <row r="14" spans="1:14" ht="26.25" customHeight="1" thickBot="1">
      <c r="A14" s="325" t="s">
        <v>222</v>
      </c>
      <c r="B14" s="233"/>
      <c r="C14" s="234"/>
      <c r="D14" s="234"/>
      <c r="E14" s="234"/>
      <c r="F14" s="234"/>
      <c r="G14" s="234"/>
      <c r="H14" s="235"/>
      <c r="I14" s="236"/>
      <c r="J14" s="236"/>
      <c r="K14" s="236"/>
      <c r="L14" s="236"/>
      <c r="M14" s="236"/>
      <c r="N14" s="237">
        <f>ROUND(SUM(N5:N13),0)</f>
        <v>1850</v>
      </c>
    </row>
    <row r="16" spans="1:14" ht="17.25" customHeight="1">
      <c r="A16" s="238" t="s">
        <v>223</v>
      </c>
    </row>
    <row r="17" spans="1:14" ht="14.25" customHeight="1">
      <c r="A17" s="239" t="s">
        <v>224</v>
      </c>
      <c r="B17" s="239"/>
      <c r="C17" s="239"/>
      <c r="D17" s="239"/>
      <c r="E17" s="239"/>
      <c r="F17" s="239"/>
      <c r="G17" s="239"/>
      <c r="H17" s="239"/>
      <c r="I17" s="239"/>
      <c r="J17" s="239"/>
      <c r="K17" s="239"/>
      <c r="L17" s="239"/>
      <c r="M17" s="239"/>
      <c r="N17" s="239"/>
    </row>
    <row r="18" spans="1:14">
      <c r="A18" s="360" t="s">
        <v>225</v>
      </c>
      <c r="B18" s="360"/>
      <c r="C18" s="360"/>
      <c r="D18" s="360"/>
      <c r="E18" s="360"/>
      <c r="F18" s="360"/>
      <c r="G18" s="360"/>
      <c r="H18" s="360"/>
      <c r="I18" s="360"/>
      <c r="J18" s="360"/>
      <c r="K18" s="360"/>
      <c r="L18" s="360"/>
      <c r="M18" s="360"/>
      <c r="N18" s="360"/>
    </row>
    <row r="19" spans="1:14" ht="14.25" customHeight="1">
      <c r="A19" s="360" t="s">
        <v>226</v>
      </c>
      <c r="B19" s="360"/>
      <c r="C19" s="360"/>
      <c r="D19" s="360"/>
      <c r="E19" s="360"/>
      <c r="F19" s="360"/>
      <c r="G19" s="360"/>
      <c r="H19" s="360"/>
      <c r="I19" s="360"/>
      <c r="J19" s="360"/>
      <c r="K19" s="360"/>
      <c r="L19" s="360"/>
      <c r="M19" s="360"/>
      <c r="N19" s="360"/>
    </row>
    <row r="20" spans="1:14" ht="14.25" customHeight="1">
      <c r="A20" s="360" t="s">
        <v>227</v>
      </c>
      <c r="B20" s="360"/>
      <c r="C20" s="360"/>
      <c r="D20" s="360"/>
      <c r="E20" s="360"/>
      <c r="F20" s="360"/>
      <c r="G20" s="360"/>
      <c r="H20" s="360"/>
      <c r="I20" s="360"/>
      <c r="J20" s="360"/>
      <c r="K20" s="360"/>
      <c r="L20" s="360"/>
      <c r="M20" s="360"/>
      <c r="N20" s="360"/>
    </row>
    <row r="21" spans="1:14" ht="14.25" customHeight="1">
      <c r="A21" s="239" t="s">
        <v>228</v>
      </c>
      <c r="B21" s="225"/>
      <c r="C21" s="225"/>
      <c r="D21" s="225"/>
      <c r="E21" s="225"/>
      <c r="F21" s="225"/>
      <c r="G21" s="225"/>
      <c r="H21" s="225"/>
      <c r="I21" s="225"/>
      <c r="J21" s="225"/>
      <c r="K21" s="225"/>
      <c r="L21" s="225"/>
      <c r="M21" s="225"/>
      <c r="N21" s="225"/>
    </row>
    <row r="22" spans="1:14" s="18" customFormat="1" ht="17.399999999999999">
      <c r="B22" s="93" t="s">
        <v>31</v>
      </c>
      <c r="F22" s="93" t="s">
        <v>32</v>
      </c>
      <c r="K22" s="94" t="s">
        <v>33</v>
      </c>
    </row>
    <row r="23" spans="1:14" ht="14.25" customHeight="1">
      <c r="A23" s="16"/>
      <c r="C23" s="240"/>
    </row>
  </sheetData>
  <sheetProtection algorithmName="SHA-512" hashValue="b7IIjMBqFzq16TBcSa6O5LRULuqRRG2KOVT9bCm481uc4dTrdzGv3y3O7FnITQX4aXvjnV9q+iGZ1CAwDgeDnQ==" saltValue="D/rOgyjIq/qNdMMU2W1TB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0001-448C-4B92-8B52-60DFFAB43F55}">
  <sheetPr codeName="工作表14"/>
  <dimension ref="A1:N23"/>
  <sheetViews>
    <sheetView view="pageBreakPreview" zoomScale="60" zoomScaleNormal="80" workbookViewId="0">
      <selection activeCell="A2" sqref="A2:N2"/>
    </sheetView>
  </sheetViews>
  <sheetFormatPr defaultColWidth="11.19921875" defaultRowHeight="13.8"/>
  <cols>
    <col min="1" max="1" width="10.19921875" style="187" customWidth="1"/>
    <col min="2" max="2" width="7.69921875" style="187" customWidth="1"/>
    <col min="3" max="3" width="12" style="14" customWidth="1"/>
    <col min="4" max="4" width="10.59765625" style="14" customWidth="1"/>
    <col min="5" max="5" width="13.19921875" style="14" bestFit="1" customWidth="1"/>
    <col min="6" max="6" width="30.69921875" style="14" customWidth="1"/>
    <col min="7" max="7" width="12" style="14" customWidth="1"/>
    <col min="8" max="8" width="13" style="14" bestFit="1" customWidth="1"/>
    <col min="9" max="9" width="11.09765625" style="14" customWidth="1"/>
    <col min="10" max="10" width="9.19921875" style="14" customWidth="1"/>
    <col min="11" max="11" width="10.5" style="14" customWidth="1"/>
    <col min="12" max="12" width="9" style="14" customWidth="1"/>
    <col min="13" max="13" width="10.19921875" style="14" customWidth="1"/>
    <col min="14" max="14" width="11.69921875" style="14" customWidth="1"/>
    <col min="15" max="15" width="11.19921875" style="14" customWidth="1"/>
    <col min="16" max="16384" width="11.19921875" style="14"/>
  </cols>
  <sheetData>
    <row r="1" spans="1:14" ht="22.5" customHeight="1">
      <c r="A1" s="372" t="str">
        <f>計畫經費彙總表!A1</f>
        <v>五常物業規劃顧問股份(閉鎖型)有限公司</v>
      </c>
      <c r="B1" s="372"/>
      <c r="C1" s="372"/>
      <c r="D1" s="372"/>
      <c r="E1" s="372"/>
      <c r="F1" s="372"/>
      <c r="G1" s="372"/>
      <c r="H1" s="372"/>
      <c r="I1" s="372"/>
      <c r="J1" s="372"/>
      <c r="K1" s="372"/>
      <c r="L1" s="372"/>
      <c r="M1" s="372"/>
      <c r="N1" s="372"/>
    </row>
    <row r="2" spans="1:14" ht="30" customHeight="1">
      <c r="A2" s="373" t="s">
        <v>229</v>
      </c>
      <c r="B2" s="373"/>
      <c r="C2" s="373"/>
      <c r="D2" s="373"/>
      <c r="E2" s="373"/>
      <c r="F2" s="373"/>
      <c r="G2" s="373"/>
      <c r="H2" s="373"/>
      <c r="I2" s="373"/>
      <c r="J2" s="373"/>
      <c r="K2" s="373"/>
      <c r="L2" s="373"/>
      <c r="M2" s="373"/>
      <c r="N2" s="373"/>
    </row>
    <row r="3" spans="1:14" ht="14.4" thickBot="1">
      <c r="A3" s="241"/>
      <c r="B3" s="241"/>
      <c r="C3" s="1"/>
      <c r="D3" s="1"/>
      <c r="E3" s="1"/>
      <c r="F3" s="1"/>
      <c r="G3" s="1"/>
      <c r="H3" s="1"/>
      <c r="I3" s="1"/>
      <c r="J3" s="1"/>
      <c r="K3" s="1"/>
      <c r="L3" s="1"/>
      <c r="M3" s="1"/>
      <c r="N3" s="242" t="s">
        <v>204</v>
      </c>
    </row>
    <row r="4" spans="1:14" s="222" customFormat="1" ht="26.25" customHeight="1" thickBot="1">
      <c r="A4" s="224" t="s">
        <v>64</v>
      </c>
      <c r="B4" s="12" t="s">
        <v>205</v>
      </c>
      <c r="C4" s="12" t="s">
        <v>206</v>
      </c>
      <c r="D4" s="12" t="s">
        <v>207</v>
      </c>
      <c r="E4" s="12" t="s">
        <v>208</v>
      </c>
      <c r="F4" s="12" t="s">
        <v>209</v>
      </c>
      <c r="G4" s="12" t="s">
        <v>36</v>
      </c>
      <c r="H4" s="12" t="s">
        <v>87</v>
      </c>
      <c r="I4" s="12" t="s">
        <v>210</v>
      </c>
      <c r="J4" s="12" t="s">
        <v>211</v>
      </c>
      <c r="K4" s="12" t="s">
        <v>212</v>
      </c>
      <c r="L4" s="12" t="s">
        <v>213</v>
      </c>
      <c r="M4" s="12" t="s">
        <v>214</v>
      </c>
      <c r="N4" s="13" t="s">
        <v>74</v>
      </c>
    </row>
    <row r="5" spans="1:14" ht="21.6" customHeight="1">
      <c r="A5" s="226"/>
      <c r="B5" s="227"/>
      <c r="C5" s="228"/>
      <c r="D5" s="229"/>
      <c r="E5" s="229"/>
      <c r="F5" s="229"/>
      <c r="G5" s="229"/>
      <c r="H5" s="229"/>
      <c r="I5" s="230"/>
      <c r="J5" s="230"/>
      <c r="K5" s="230"/>
      <c r="L5" s="230"/>
      <c r="M5" s="230"/>
      <c r="N5" s="231"/>
    </row>
    <row r="6" spans="1:14" ht="21.6" customHeight="1">
      <c r="A6" s="302" t="s">
        <v>215</v>
      </c>
      <c r="B6" s="303" t="s">
        <v>216</v>
      </c>
      <c r="C6" s="304" t="s">
        <v>230</v>
      </c>
      <c r="D6" s="304">
        <v>2</v>
      </c>
      <c r="E6" s="305" t="s">
        <v>231</v>
      </c>
      <c r="F6" s="305" t="s">
        <v>219</v>
      </c>
      <c r="G6" s="304"/>
      <c r="H6" s="305"/>
      <c r="I6" s="306">
        <v>1000</v>
      </c>
      <c r="J6" s="306"/>
      <c r="K6" s="306">
        <v>450</v>
      </c>
      <c r="L6" s="306">
        <v>550</v>
      </c>
      <c r="M6" s="306"/>
      <c r="N6" s="232">
        <f>ROUND(SUM(I6:M6),0)</f>
        <v>2000</v>
      </c>
    </row>
    <row r="7" spans="1:14" ht="21.6" customHeight="1">
      <c r="A7" s="302" t="s">
        <v>220</v>
      </c>
      <c r="B7" s="303" t="s">
        <v>221</v>
      </c>
      <c r="C7" s="307"/>
      <c r="D7" s="305"/>
      <c r="E7" s="305"/>
      <c r="F7" s="305"/>
      <c r="G7" s="305"/>
      <c r="H7" s="305"/>
      <c r="I7" s="306"/>
      <c r="J7" s="306"/>
      <c r="K7" s="306"/>
      <c r="L7" s="306"/>
      <c r="M7" s="306"/>
      <c r="N7" s="232">
        <f t="shared" ref="N7:N13" si="0">ROUND(SUM(I7:M7),0)</f>
        <v>0</v>
      </c>
    </row>
    <row r="8" spans="1:14" ht="21.6" customHeight="1">
      <c r="A8" s="308"/>
      <c r="B8" s="303"/>
      <c r="C8" s="305"/>
      <c r="D8" s="305"/>
      <c r="E8" s="305"/>
      <c r="F8" s="305"/>
      <c r="G8" s="305"/>
      <c r="H8" s="305"/>
      <c r="I8" s="309"/>
      <c r="J8" s="309"/>
      <c r="K8" s="309"/>
      <c r="L8" s="309"/>
      <c r="M8" s="309"/>
      <c r="N8" s="232">
        <f t="shared" si="0"/>
        <v>0</v>
      </c>
    </row>
    <row r="9" spans="1:14" ht="21.6" customHeight="1">
      <c r="A9" s="310"/>
      <c r="B9" s="303"/>
      <c r="C9" s="305"/>
      <c r="D9" s="305"/>
      <c r="E9" s="305"/>
      <c r="F9" s="305"/>
      <c r="G9" s="305"/>
      <c r="H9" s="305"/>
      <c r="I9" s="306"/>
      <c r="J9" s="306"/>
      <c r="K9" s="306"/>
      <c r="L9" s="306"/>
      <c r="M9" s="309"/>
      <c r="N9" s="232">
        <f t="shared" si="0"/>
        <v>0</v>
      </c>
    </row>
    <row r="10" spans="1:14" ht="21.6" customHeight="1">
      <c r="A10" s="310"/>
      <c r="B10" s="303"/>
      <c r="C10" s="305"/>
      <c r="D10" s="305"/>
      <c r="E10" s="305"/>
      <c r="F10" s="305"/>
      <c r="G10" s="305"/>
      <c r="H10" s="305"/>
      <c r="I10" s="306"/>
      <c r="J10" s="306"/>
      <c r="K10" s="306"/>
      <c r="L10" s="306"/>
      <c r="M10" s="309"/>
      <c r="N10" s="232">
        <f t="shared" si="0"/>
        <v>0</v>
      </c>
    </row>
    <row r="11" spans="1:14" ht="21.6" customHeight="1">
      <c r="A11" s="302"/>
      <c r="B11" s="303"/>
      <c r="C11" s="305"/>
      <c r="D11" s="305"/>
      <c r="E11" s="305"/>
      <c r="F11" s="305"/>
      <c r="G11" s="305"/>
      <c r="H11" s="305"/>
      <c r="I11" s="306"/>
      <c r="J11" s="306"/>
      <c r="K11" s="306"/>
      <c r="L11" s="306"/>
      <c r="M11" s="309"/>
      <c r="N11" s="232">
        <f t="shared" si="0"/>
        <v>0</v>
      </c>
    </row>
    <row r="12" spans="1:14" ht="21.6" customHeight="1">
      <c r="A12" s="302"/>
      <c r="B12" s="303"/>
      <c r="C12" s="305"/>
      <c r="D12" s="305"/>
      <c r="E12" s="305"/>
      <c r="F12" s="305"/>
      <c r="G12" s="305"/>
      <c r="H12" s="305"/>
      <c r="I12" s="306"/>
      <c r="J12" s="306"/>
      <c r="K12" s="306"/>
      <c r="L12" s="306"/>
      <c r="M12" s="309"/>
      <c r="N12" s="232">
        <f t="shared" si="0"/>
        <v>0</v>
      </c>
    </row>
    <row r="13" spans="1:14" ht="21.6" customHeight="1" thickBot="1">
      <c r="A13" s="311"/>
      <c r="B13" s="312"/>
      <c r="C13" s="313"/>
      <c r="D13" s="313"/>
      <c r="E13" s="313"/>
      <c r="F13" s="313"/>
      <c r="G13" s="313"/>
      <c r="H13" s="313"/>
      <c r="I13" s="314"/>
      <c r="J13" s="314"/>
      <c r="K13" s="314"/>
      <c r="L13" s="314"/>
      <c r="M13" s="314"/>
      <c r="N13" s="232">
        <f t="shared" si="0"/>
        <v>0</v>
      </c>
    </row>
    <row r="14" spans="1:14" ht="26.25" customHeight="1" thickBot="1">
      <c r="A14" s="325" t="s">
        <v>222</v>
      </c>
      <c r="B14" s="233"/>
      <c r="C14" s="234"/>
      <c r="D14" s="234"/>
      <c r="E14" s="234"/>
      <c r="F14" s="234"/>
      <c r="G14" s="234"/>
      <c r="H14" s="235"/>
      <c r="I14" s="236"/>
      <c r="J14" s="236"/>
      <c r="K14" s="236"/>
      <c r="L14" s="236"/>
      <c r="M14" s="236"/>
      <c r="N14" s="237">
        <f>ROUND(SUM(N5:N13),0)</f>
        <v>2000</v>
      </c>
    </row>
    <row r="16" spans="1:14" ht="17.25" customHeight="1">
      <c r="A16" s="238" t="s">
        <v>223</v>
      </c>
    </row>
    <row r="17" spans="1:14" ht="14.25" customHeight="1">
      <c r="A17" s="239" t="s">
        <v>224</v>
      </c>
      <c r="B17" s="239"/>
      <c r="C17" s="239"/>
      <c r="D17" s="239"/>
      <c r="E17" s="239"/>
      <c r="F17" s="239"/>
      <c r="G17" s="239"/>
      <c r="H17" s="239"/>
      <c r="I17" s="239"/>
      <c r="J17" s="239"/>
      <c r="K17" s="239"/>
      <c r="L17" s="239"/>
      <c r="M17" s="239"/>
      <c r="N17" s="239"/>
    </row>
    <row r="18" spans="1:14">
      <c r="A18" s="360" t="s">
        <v>225</v>
      </c>
      <c r="B18" s="360"/>
      <c r="C18" s="360"/>
      <c r="D18" s="360"/>
      <c r="E18" s="360"/>
      <c r="F18" s="360"/>
      <c r="G18" s="360"/>
      <c r="H18" s="360"/>
      <c r="I18" s="360"/>
      <c r="J18" s="360"/>
      <c r="K18" s="360"/>
      <c r="L18" s="360"/>
      <c r="M18" s="360"/>
      <c r="N18" s="360"/>
    </row>
    <row r="19" spans="1:14" ht="14.25" customHeight="1">
      <c r="A19" s="360" t="s">
        <v>226</v>
      </c>
      <c r="B19" s="360"/>
      <c r="C19" s="360"/>
      <c r="D19" s="360"/>
      <c r="E19" s="360"/>
      <c r="F19" s="360"/>
      <c r="G19" s="360"/>
      <c r="H19" s="360"/>
      <c r="I19" s="360"/>
      <c r="J19" s="360"/>
      <c r="K19" s="360"/>
      <c r="L19" s="360"/>
      <c r="M19" s="360"/>
      <c r="N19" s="360"/>
    </row>
    <row r="20" spans="1:14" ht="14.25" customHeight="1">
      <c r="A20" s="360" t="s">
        <v>227</v>
      </c>
      <c r="B20" s="360"/>
      <c r="C20" s="360"/>
      <c r="D20" s="360"/>
      <c r="E20" s="360"/>
      <c r="F20" s="360"/>
      <c r="G20" s="360"/>
      <c r="H20" s="360"/>
      <c r="I20" s="360"/>
      <c r="J20" s="360"/>
      <c r="K20" s="360"/>
      <c r="L20" s="360"/>
      <c r="M20" s="360"/>
      <c r="N20" s="360"/>
    </row>
    <row r="21" spans="1:14" ht="14.25" customHeight="1">
      <c r="A21" s="239" t="s">
        <v>228</v>
      </c>
      <c r="B21" s="225"/>
      <c r="C21" s="225"/>
      <c r="D21" s="225"/>
      <c r="E21" s="225"/>
      <c r="F21" s="225"/>
      <c r="G21" s="225"/>
      <c r="H21" s="225"/>
      <c r="I21" s="225"/>
      <c r="J21" s="225"/>
      <c r="K21" s="225"/>
      <c r="L21" s="225"/>
      <c r="M21" s="225"/>
      <c r="N21" s="225"/>
    </row>
    <row r="22" spans="1:14" s="18" customFormat="1" ht="17.399999999999999">
      <c r="B22" s="93" t="s">
        <v>31</v>
      </c>
      <c r="F22" s="93" t="s">
        <v>32</v>
      </c>
      <c r="K22" s="94" t="s">
        <v>33</v>
      </c>
    </row>
    <row r="23" spans="1:14" ht="14.25" customHeight="1">
      <c r="A23" s="16"/>
      <c r="C23" s="240"/>
    </row>
  </sheetData>
  <sheetProtection algorithmName="SHA-512" hashValue="PYRhiDT9p+DQfNS7wbF/VQQTsaLU2NXEZ7tnc8e2KGDbU2tX9AumnxQeIQ4oa7TdwHjZrHbREbxWcYycmFR3Og==" saltValue="iDsXklJfDm0f9Utf/dcHug==" spinCount="100000" sheet="1" formatCells="0" formatColumns="0" formatRows="0" insertRows="0"/>
  <mergeCells count="5">
    <mergeCell ref="A1:N1"/>
    <mergeCell ref="A2:N2"/>
    <mergeCell ref="A18:N18"/>
    <mergeCell ref="A19:N19"/>
    <mergeCell ref="A20:N20"/>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9" fitToWidth="0" fitToHeight="0" orientation="landscape" blackAndWhite="1"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15"/>
  <dimension ref="A1:J30"/>
  <sheetViews>
    <sheetView view="pageBreakPreview" zoomScale="60" zoomScaleNormal="80" workbookViewId="0">
      <selection activeCell="G10" sqref="G10"/>
    </sheetView>
  </sheetViews>
  <sheetFormatPr defaultColWidth="11.19921875" defaultRowHeight="16.2"/>
  <cols>
    <col min="1" max="1" width="13.19921875" style="15" customWidth="1"/>
    <col min="2" max="2" width="13.69921875" style="15" customWidth="1"/>
    <col min="3" max="3" width="15" style="15" customWidth="1"/>
    <col min="4" max="4" width="15.09765625" style="15" customWidth="1"/>
    <col min="5" max="5" width="10.09765625" style="15" bestFit="1" customWidth="1"/>
    <col min="6" max="6" width="16.19921875" style="15" customWidth="1"/>
    <col min="7" max="7" width="27.09765625" style="15" customWidth="1"/>
    <col min="8" max="8" width="7.59765625" style="220" customWidth="1"/>
    <col min="9" max="9" width="30.59765625" style="15" customWidth="1"/>
    <col min="10" max="10" width="27.5" style="15" customWidth="1"/>
    <col min="11" max="11" width="11.19921875" style="15" customWidth="1"/>
    <col min="12" max="12" width="11.09765625" style="15" customWidth="1"/>
    <col min="13" max="13" width="11.19921875" style="15" customWidth="1"/>
    <col min="14" max="16384" width="11.19921875" style="15"/>
  </cols>
  <sheetData>
    <row r="1" spans="1:10" ht="21.75" customHeight="1">
      <c r="A1" s="357" t="str">
        <f>計畫經費彙總表!A1</f>
        <v>五常物業規劃顧問股份(閉鎖型)有限公司</v>
      </c>
      <c r="B1" s="357"/>
      <c r="C1" s="357"/>
      <c r="D1" s="357"/>
      <c r="E1" s="357"/>
      <c r="F1" s="357"/>
      <c r="G1" s="357"/>
      <c r="H1" s="357"/>
      <c r="I1" s="357"/>
      <c r="J1" s="357"/>
    </row>
    <row r="2" spans="1:10" ht="22.2">
      <c r="A2" s="347" t="s">
        <v>232</v>
      </c>
      <c r="B2" s="347"/>
      <c r="C2" s="347"/>
      <c r="D2" s="347"/>
      <c r="E2" s="347"/>
      <c r="F2" s="347"/>
      <c r="G2" s="347"/>
      <c r="H2" s="347"/>
      <c r="I2" s="347"/>
      <c r="J2" s="347"/>
    </row>
    <row r="3" spans="1:10">
      <c r="A3" s="247"/>
      <c r="B3" s="247"/>
      <c r="C3" s="247"/>
      <c r="D3" s="247"/>
      <c r="E3" s="247"/>
      <c r="F3" s="247"/>
      <c r="G3" s="247"/>
      <c r="H3" s="247"/>
      <c r="I3" s="247"/>
      <c r="J3" s="6" t="s">
        <v>35</v>
      </c>
    </row>
    <row r="4" spans="1:10" s="243" customFormat="1" ht="45.75" customHeight="1" thickBot="1">
      <c r="A4" s="10" t="s">
        <v>36</v>
      </c>
      <c r="B4" s="11" t="s">
        <v>87</v>
      </c>
      <c r="C4" s="12" t="s">
        <v>233</v>
      </c>
      <c r="D4" s="12" t="s">
        <v>234</v>
      </c>
      <c r="E4" s="11" t="s">
        <v>90</v>
      </c>
      <c r="F4" s="12" t="s">
        <v>235</v>
      </c>
      <c r="G4" s="12" t="s">
        <v>92</v>
      </c>
      <c r="H4" s="11" t="s">
        <v>93</v>
      </c>
      <c r="I4" s="11" t="s">
        <v>236</v>
      </c>
      <c r="J4" s="13" t="s">
        <v>237</v>
      </c>
    </row>
    <row r="5" spans="1:10" ht="18" customHeight="1">
      <c r="A5" s="244"/>
      <c r="B5" s="141"/>
      <c r="C5" s="141"/>
      <c r="D5" s="141"/>
      <c r="E5" s="141"/>
      <c r="F5" s="141"/>
      <c r="G5" s="141"/>
      <c r="H5" s="144"/>
      <c r="I5" s="141"/>
      <c r="J5" s="245"/>
    </row>
    <row r="6" spans="1:10">
      <c r="A6" s="271" t="s">
        <v>96</v>
      </c>
      <c r="B6" s="268"/>
      <c r="C6" s="268"/>
      <c r="D6" s="268" t="s">
        <v>98</v>
      </c>
      <c r="E6" s="263" t="s">
        <v>99</v>
      </c>
      <c r="F6" s="264"/>
      <c r="G6" s="315"/>
      <c r="H6" s="263">
        <v>1</v>
      </c>
      <c r="I6" s="263"/>
      <c r="J6" s="290">
        <v>1200</v>
      </c>
    </row>
    <row r="7" spans="1:10">
      <c r="A7" s="271" t="s">
        <v>238</v>
      </c>
      <c r="B7" s="268"/>
      <c r="C7" s="268"/>
      <c r="D7" s="268" t="s">
        <v>103</v>
      </c>
      <c r="E7" s="263" t="s">
        <v>99</v>
      </c>
      <c r="F7" s="264"/>
      <c r="G7" s="315"/>
      <c r="H7" s="263">
        <v>3</v>
      </c>
      <c r="I7" s="263"/>
      <c r="J7" s="290">
        <v>6000</v>
      </c>
    </row>
    <row r="8" spans="1:10">
      <c r="A8" s="271"/>
      <c r="B8" s="268"/>
      <c r="C8" s="268"/>
      <c r="D8" s="268"/>
      <c r="E8" s="263"/>
      <c r="F8" s="264"/>
      <c r="G8" s="315"/>
      <c r="H8" s="263"/>
      <c r="I8" s="263"/>
      <c r="J8" s="290"/>
    </row>
    <row r="9" spans="1:10">
      <c r="A9" s="271"/>
      <c r="B9" s="268"/>
      <c r="C9" s="268"/>
      <c r="D9" s="268"/>
      <c r="E9" s="263"/>
      <c r="F9" s="264"/>
      <c r="G9" s="315"/>
      <c r="H9" s="263"/>
      <c r="I9" s="263"/>
      <c r="J9" s="290"/>
    </row>
    <row r="10" spans="1:10">
      <c r="A10" s="269"/>
      <c r="B10" s="268"/>
      <c r="C10" s="268"/>
      <c r="D10" s="268"/>
      <c r="E10" s="268"/>
      <c r="F10" s="268"/>
      <c r="G10" s="315"/>
      <c r="H10" s="263"/>
      <c r="I10" s="268"/>
      <c r="J10" s="290"/>
    </row>
    <row r="11" spans="1:10">
      <c r="A11" s="316"/>
      <c r="B11" s="268"/>
      <c r="C11" s="268"/>
      <c r="D11" s="268"/>
      <c r="E11" s="268"/>
      <c r="F11" s="268"/>
      <c r="G11" s="315"/>
      <c r="H11" s="263"/>
      <c r="I11" s="268"/>
      <c r="J11" s="290"/>
    </row>
    <row r="12" spans="1:10" ht="22.5" customHeight="1">
      <c r="A12" s="271"/>
      <c r="B12" s="268"/>
      <c r="C12" s="268"/>
      <c r="D12" s="268"/>
      <c r="E12" s="268"/>
      <c r="F12" s="268"/>
      <c r="G12" s="315"/>
      <c r="H12" s="263"/>
      <c r="I12" s="268"/>
      <c r="J12" s="290"/>
    </row>
    <row r="13" spans="1:10">
      <c r="A13" s="271"/>
      <c r="B13" s="268"/>
      <c r="C13" s="268"/>
      <c r="D13" s="268"/>
      <c r="E13" s="268"/>
      <c r="F13" s="268"/>
      <c r="G13" s="315"/>
      <c r="H13" s="263"/>
      <c r="I13" s="268"/>
      <c r="J13" s="290"/>
    </row>
    <row r="14" spans="1:10" ht="15.75" customHeight="1">
      <c r="A14" s="316"/>
      <c r="B14" s="268"/>
      <c r="C14" s="268"/>
      <c r="D14" s="268"/>
      <c r="E14" s="268"/>
      <c r="F14" s="268"/>
      <c r="G14" s="268"/>
      <c r="H14" s="263"/>
      <c r="I14" s="268"/>
      <c r="J14" s="290"/>
    </row>
    <row r="15" spans="1:10" ht="15.75" customHeight="1">
      <c r="A15" s="271"/>
      <c r="B15" s="268"/>
      <c r="C15" s="268"/>
      <c r="D15" s="268"/>
      <c r="E15" s="268"/>
      <c r="F15" s="268"/>
      <c r="G15" s="268"/>
      <c r="H15" s="263"/>
      <c r="I15" s="268"/>
      <c r="J15" s="290"/>
    </row>
    <row r="16" spans="1:10" ht="16.5" customHeight="1">
      <c r="A16" s="271"/>
      <c r="B16" s="268"/>
      <c r="C16" s="268"/>
      <c r="D16" s="268"/>
      <c r="E16" s="268"/>
      <c r="F16" s="268"/>
      <c r="G16" s="268"/>
      <c r="H16" s="263"/>
      <c r="I16" s="268"/>
      <c r="J16" s="290"/>
    </row>
    <row r="17" spans="1:10" ht="16.5" customHeight="1" thickBot="1">
      <c r="A17" s="273"/>
      <c r="B17" s="275"/>
      <c r="C17" s="275"/>
      <c r="D17" s="275"/>
      <c r="E17" s="275"/>
      <c r="F17" s="275"/>
      <c r="G17" s="275"/>
      <c r="H17" s="317"/>
      <c r="I17" s="275"/>
      <c r="J17" s="289"/>
    </row>
    <row r="18" spans="1:10" ht="17.25" customHeight="1" thickBot="1">
      <c r="A18" s="322" t="s">
        <v>239</v>
      </c>
      <c r="B18" s="148"/>
      <c r="C18" s="148"/>
      <c r="D18" s="148"/>
      <c r="E18" s="148"/>
      <c r="F18" s="148"/>
      <c r="G18" s="148"/>
      <c r="H18" s="246"/>
      <c r="I18" s="148"/>
      <c r="J18" s="218">
        <f>ROUND(SUM(J5:J17),0)</f>
        <v>7200</v>
      </c>
    </row>
    <row r="19" spans="1:10" ht="17.25" customHeight="1">
      <c r="A19" s="150"/>
      <c r="B19" s="151"/>
      <c r="C19" s="151"/>
      <c r="D19" s="151"/>
      <c r="E19" s="151"/>
      <c r="F19" s="151"/>
      <c r="G19" s="151"/>
      <c r="I19" s="151"/>
      <c r="J19" s="223"/>
    </row>
    <row r="20" spans="1:10" ht="14.25" customHeight="1">
      <c r="A20" s="153" t="s">
        <v>240</v>
      </c>
    </row>
    <row r="21" spans="1:10" ht="14.25" customHeight="1">
      <c r="A21" s="153" t="s">
        <v>241</v>
      </c>
    </row>
    <row r="22" spans="1:10">
      <c r="A22" s="14" t="s">
        <v>242</v>
      </c>
    </row>
    <row r="23" spans="1:10" s="14" customFormat="1" ht="16.5" customHeight="1">
      <c r="A23" s="14" t="s">
        <v>243</v>
      </c>
    </row>
    <row r="24" spans="1:10">
      <c r="A24" s="14" t="s">
        <v>244</v>
      </c>
    </row>
    <row r="25" spans="1:10">
      <c r="A25" s="14" t="s">
        <v>245</v>
      </c>
    </row>
    <row r="26" spans="1:10">
      <c r="A26" s="14" t="s">
        <v>246</v>
      </c>
    </row>
    <row r="27" spans="1:10">
      <c r="A27" s="14" t="s">
        <v>247</v>
      </c>
    </row>
    <row r="28" spans="1:10">
      <c r="A28" s="14" t="s">
        <v>248</v>
      </c>
    </row>
    <row r="29" spans="1:10">
      <c r="A29" s="14"/>
    </row>
    <row r="30" spans="1:10" s="18" customFormat="1" ht="17.399999999999999">
      <c r="A30" s="127" t="s">
        <v>31</v>
      </c>
      <c r="F30" s="93" t="s">
        <v>32</v>
      </c>
      <c r="I30" s="156" t="s">
        <v>33</v>
      </c>
    </row>
  </sheetData>
  <sheetProtection algorithmName="SHA-512" hashValue="syaJR4FeRnVrw4zxomy943wSkkjNM58eqwq+yZ1n1iG1Agm78HgwapZFsp1YWmU8du0ezvWAuEsC3QcTnBxUhw==" saltValue="zdsnEfiAi5pLWU6hoiRoiw==" spinCount="100000" sheet="1" formatCells="0" formatColumns="0" formatRows="0" insertRows="0"/>
  <mergeCells count="2">
    <mergeCell ref="A1:J1"/>
    <mergeCell ref="A2:J2"/>
  </mergeCells>
  <phoneticPr fontId="9" type="noConversion"/>
  <printOptions horizontalCentered="1" verticalCentered="1"/>
  <pageMargins left="0.19685039370078741" right="0.15748031496062992" top="0.39370078740157483" bottom="0.39370078740157483" header="0.27559055118110237" footer="0.15748031496062992"/>
  <pageSetup paperSize="9" scale="77" fitToWidth="0" fitToHeight="0" orientation="landscape" blackAndWhite="1"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CE41-B766-43BF-94DE-1ADF29434020}">
  <dimension ref="A1"/>
  <sheetViews>
    <sheetView topLeftCell="A36" workbookViewId="0">
      <selection sqref="A1:N69"/>
    </sheetView>
  </sheetViews>
  <sheetFormatPr defaultRowHeight="15.6"/>
  <cols>
    <col min="1" max="1" width="25.59765625" customWidth="1"/>
    <col min="2" max="2" width="6.8984375" customWidth="1"/>
    <col min="3" max="3" width="6.59765625" customWidth="1"/>
    <col min="4" max="4" width="6.69921875" customWidth="1"/>
    <col min="5" max="5" width="7.09765625" customWidth="1"/>
    <col min="6" max="6" width="7" customWidth="1"/>
    <col min="7" max="7" width="6.796875" customWidth="1"/>
    <col min="8" max="8" width="7.19921875" customWidth="1"/>
    <col min="9" max="9" width="6.5" customWidth="1"/>
    <col min="10" max="10" width="6.8984375" customWidth="1"/>
    <col min="11" max="11" width="6.69921875" customWidth="1"/>
    <col min="12" max="12" width="7.09765625" customWidth="1"/>
    <col min="13" max="13" width="6.796875" customWidth="1"/>
    <col min="14" max="14" width="6.8984375" customWidth="1"/>
  </cols>
  <sheetData>
    <row r="1" ht="30" customHeight="1"/>
  </sheetData>
  <phoneticPr fontId="9"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BE7DC3-3999-411A-A1A8-EE84CF9526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19</vt:i4>
      </vt:variant>
      <vt:variant>
        <vt:lpstr>具名範圍</vt:lpstr>
      </vt:variant>
      <vt:variant>
        <vt:i4>12</vt:i4>
      </vt:variant>
    </vt:vector>
  </HeadingPairs>
  <TitlesOfParts>
    <vt:vector size="31" baseType="lpstr">
      <vt:lpstr>計畫經費彙總表</vt:lpstr>
      <vt:lpstr>細項計畫資訊</vt:lpstr>
      <vt:lpstr>計畫架構</vt:lpstr>
      <vt:lpstr>人事費</vt:lpstr>
      <vt:lpstr>工作表3</vt:lpstr>
      <vt:lpstr>加班記錄</vt:lpstr>
      <vt:lpstr>顧問</vt:lpstr>
      <vt:lpstr>工時記錄表</vt:lpstr>
      <vt:lpstr>材料費</vt:lpstr>
      <vt:lpstr>設備使用費</vt:lpstr>
      <vt:lpstr>設備使用記錄表</vt:lpstr>
      <vt:lpstr>設備維護費</vt:lpstr>
      <vt:lpstr>技術購買費</vt:lpstr>
      <vt:lpstr>委託研究費</vt:lpstr>
      <vt:lpstr>委託勞務費</vt:lpstr>
      <vt:lpstr>國內差旅費</vt:lpstr>
      <vt:lpstr>國外差旅費</vt:lpstr>
      <vt:lpstr>市場驗證費</vt:lpstr>
      <vt:lpstr>工作表2</vt:lpstr>
      <vt:lpstr>人事費!Print_Area</vt:lpstr>
      <vt:lpstr>工時記錄表!Print_Area</vt:lpstr>
      <vt:lpstr>加班記錄!Print_Area</vt:lpstr>
      <vt:lpstr>市場驗證費!Print_Area</vt:lpstr>
      <vt:lpstr>材料費!Print_Area</vt:lpstr>
      <vt:lpstr>計畫經費彙總表!Print_Area</vt:lpstr>
      <vt:lpstr>國內差旅費!Print_Area</vt:lpstr>
      <vt:lpstr>國外差旅費!Print_Area</vt:lpstr>
      <vt:lpstr>設備使用記錄表!Print_Area</vt:lpstr>
      <vt:lpstr>設備使用費!Print_Area</vt:lpstr>
      <vt:lpstr>設備維護費!Print_Area</vt:lpstr>
      <vt:lpstr>顧問!Print_Area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IDB</dc:creator>
  <cp:keywords/>
  <dc:description/>
  <cp:lastModifiedBy>政隆 江</cp:lastModifiedBy>
  <cp:revision/>
  <cp:lastPrinted>2024-03-13T01:58:13Z</cp:lastPrinted>
  <dcterms:created xsi:type="dcterms:W3CDTF">1998-03-19T06:09:40Z</dcterms:created>
  <dcterms:modified xsi:type="dcterms:W3CDTF">2024-03-13T01:58:26Z</dcterms:modified>
  <cp:category/>
  <cp:contentStatus/>
</cp:coreProperties>
</file>