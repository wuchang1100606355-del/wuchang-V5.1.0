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defaultThemeVersion="166925"/>
  <mc:AlternateContent xmlns:mc="http://schemas.openxmlformats.org/markup-compatibility/2006">
    <mc:Choice Requires="x15">
      <x15ac:absPath xmlns:x15ac="http://schemas.microsoft.com/office/spreadsheetml/2010/11/ac" url="C:\Users\o0930\Dropbox\社區產業\補助案\SBIR\"/>
    </mc:Choice>
  </mc:AlternateContent>
  <xr:revisionPtr revIDLastSave="0" documentId="8_{F4E56A42-2376-4B65-A591-E4D2D8DBE0B3}" xr6:coauthVersionLast="47" xr6:coauthVersionMax="47" xr10:uidLastSave="{00000000-0000-0000-0000-000000000000}"/>
  <bookViews>
    <workbookView xWindow="-108" yWindow="-108" windowWidth="23256" windowHeight="13896" xr2:uid="{00000000-000D-0000-FFFF-FFFF00000000}"/>
  </bookViews>
  <sheets>
    <sheet name="計畫經費彙總表" sheetId="1" r:id="rId1"/>
    <sheet name="人事費" sheetId="2" r:id="rId2"/>
    <sheet name="加班記錄" sheetId="3" r:id="rId3"/>
    <sheet name="顧問" sheetId="4" r:id="rId4"/>
    <sheet name="工時記錄表" sheetId="5" r:id="rId5"/>
    <sheet name="材料費" sheetId="6" r:id="rId6"/>
    <sheet name="設備使用費" sheetId="7" r:id="rId7"/>
    <sheet name="設備使用記錄表" sheetId="8" r:id="rId8"/>
    <sheet name="設備維護費" sheetId="9" r:id="rId9"/>
    <sheet name="技術購買費" sheetId="10" r:id="rId10"/>
    <sheet name="委託研究費" sheetId="11" r:id="rId11"/>
    <sheet name="委託勞務費" sheetId="12" r:id="rId12"/>
    <sheet name="國內差旅費" sheetId="13" r:id="rId13"/>
    <sheet name="國外差旅費" sheetId="15" r:id="rId14"/>
    <sheet name="市場驗證費" sheetId="14" r:id="rId15"/>
  </sheets>
  <definedNames>
    <definedName name="_xlnm.Print_Area" localSheetId="1">人事費!$A$1:$I$19</definedName>
    <definedName name="_xlnm.Print_Area" localSheetId="4">工時記錄表!$A$1:$AJ$25</definedName>
    <definedName name="_xlnm.Print_Area" localSheetId="2">加班記錄!$A$1:$J$14</definedName>
    <definedName name="_xlnm.Print_Area" localSheetId="14">市場驗證費!$A$1:$J$30</definedName>
    <definedName name="_xlnm.Print_Area" localSheetId="5">材料費!$A$1:$J$38</definedName>
    <definedName name="_xlnm.Print_Area" localSheetId="0">計畫經費彙總表!$A$1:$M$29</definedName>
    <definedName name="_xlnm.Print_Area" localSheetId="12">國內差旅費!$A$1:$N$22</definedName>
    <definedName name="_xlnm.Print_Area" localSheetId="13">國外差旅費!$A$1:$N$22</definedName>
    <definedName name="_xlnm.Print_Area" localSheetId="7">設備使用記錄表!$A$1:$AJ$24</definedName>
    <definedName name="_xlnm.Print_Area" localSheetId="6">設備使用費!$A$1:$K$34</definedName>
    <definedName name="_xlnm.Print_Area" localSheetId="8">設備維護費!$A$1:$M$24</definedName>
    <definedName name="_xlnm.Print_Area" localSheetId="3">顧問!$A$1:$E$22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H14" i="8" l="1"/>
  <c r="AH13" i="8"/>
  <c r="AJ18" i="8"/>
  <c r="AH18" i="8"/>
  <c r="B18" i="8"/>
  <c r="J24" i="7"/>
  <c r="I20" i="7"/>
  <c r="I21" i="7"/>
  <c r="I22" i="7"/>
  <c r="I23" i="7"/>
  <c r="I24" i="7"/>
  <c r="I8" i="7"/>
  <c r="I9" i="7"/>
  <c r="I10" i="7"/>
  <c r="I11" i="7"/>
  <c r="I12" i="7"/>
  <c r="I7" i="7"/>
  <c r="K24" i="7" l="1"/>
  <c r="AH17" i="8" l="1"/>
  <c r="AJ17" i="8" s="1"/>
  <c r="J23" i="7" s="1"/>
  <c r="K23" i="7" s="1"/>
  <c r="AH16" i="8"/>
  <c r="AJ16" i="8" s="1"/>
  <c r="J22" i="7" s="1"/>
  <c r="K22" i="7" s="1"/>
  <c r="AH15" i="8"/>
  <c r="AJ15" i="8" s="1"/>
  <c r="J21" i="7" s="1"/>
  <c r="AH11" i="8"/>
  <c r="AJ11" i="8" s="1"/>
  <c r="J12" i="7" s="1"/>
  <c r="AH10" i="8"/>
  <c r="AJ10" i="8" s="1"/>
  <c r="J11" i="7" s="1"/>
  <c r="AH9" i="8"/>
  <c r="AJ9" i="8" s="1"/>
  <c r="J10" i="7" s="1"/>
  <c r="B17" i="8"/>
  <c r="B16" i="8"/>
  <c r="B15" i="8"/>
  <c r="B14" i="8"/>
  <c r="B13" i="8"/>
  <c r="B11" i="8"/>
  <c r="B10" i="8"/>
  <c r="B9" i="8"/>
  <c r="B8" i="8"/>
  <c r="B7" i="8"/>
  <c r="B6" i="8"/>
  <c r="N13" i="15"/>
  <c r="N12" i="15"/>
  <c r="N11" i="15"/>
  <c r="N10" i="15"/>
  <c r="N9" i="15"/>
  <c r="N8" i="15"/>
  <c r="N7" i="15"/>
  <c r="N6" i="15"/>
  <c r="N13" i="13"/>
  <c r="N12" i="13"/>
  <c r="N11" i="13"/>
  <c r="N10" i="13"/>
  <c r="N9" i="13"/>
  <c r="N8" i="13"/>
  <c r="N7" i="13"/>
  <c r="N6" i="13"/>
  <c r="D19" i="1" l="1"/>
  <c r="G19" i="1"/>
  <c r="G18" i="1"/>
  <c r="D18" i="1"/>
  <c r="N14" i="15"/>
  <c r="J19" i="1" s="1"/>
  <c r="A1" i="15"/>
  <c r="D10" i="1"/>
  <c r="J18" i="14"/>
  <c r="J20" i="1" s="1"/>
  <c r="F15" i="12"/>
  <c r="J16" i="1" s="1"/>
  <c r="F15" i="11"/>
  <c r="J15" i="1" s="1"/>
  <c r="F15" i="10"/>
  <c r="J14" i="1" s="1"/>
  <c r="M16" i="9"/>
  <c r="J12" i="1" s="1"/>
  <c r="J27" i="6"/>
  <c r="J10" i="1" s="1"/>
  <c r="H10" i="1" s="1"/>
  <c r="E15" i="4"/>
  <c r="J9" i="1" s="1"/>
  <c r="I11" i="3"/>
  <c r="A1" i="14"/>
  <c r="A1" i="13"/>
  <c r="A1" i="12"/>
  <c r="A1" i="11"/>
  <c r="A1" i="10"/>
  <c r="A1" i="9"/>
  <c r="D7" i="9"/>
  <c r="C6" i="9"/>
  <c r="A1" i="8"/>
  <c r="A1" i="7"/>
  <c r="A1" i="6"/>
  <c r="A1" i="5"/>
  <c r="A1" i="4"/>
  <c r="A1" i="3"/>
  <c r="H10" i="2"/>
  <c r="H9" i="2"/>
  <c r="H8" i="2"/>
  <c r="H13" i="2" s="1"/>
  <c r="H7" i="2"/>
  <c r="A1" i="2"/>
  <c r="N14" i="13"/>
  <c r="J18" i="1" s="1"/>
  <c r="AJ14" i="8"/>
  <c r="J20" i="7" s="1"/>
  <c r="AJ13" i="8"/>
  <c r="J19" i="7" s="1"/>
  <c r="AH8" i="8"/>
  <c r="AJ8" i="8" s="1"/>
  <c r="J9" i="7" s="1"/>
  <c r="AH7" i="8"/>
  <c r="AJ7" i="8" s="1"/>
  <c r="J8" i="7" s="1"/>
  <c r="AH6" i="8"/>
  <c r="AJ6" i="8" s="1"/>
  <c r="J7" i="7" s="1"/>
  <c r="K21" i="7"/>
  <c r="I19" i="7"/>
  <c r="K12" i="7"/>
  <c r="K11" i="7"/>
  <c r="K10" i="7"/>
  <c r="AF17" i="5"/>
  <c r="AE17" i="5"/>
  <c r="AD17" i="5"/>
  <c r="AC17" i="5"/>
  <c r="AB17" i="5"/>
  <c r="AA17" i="5"/>
  <c r="Z17" i="5"/>
  <c r="Y17" i="5"/>
  <c r="X17" i="5"/>
  <c r="W17" i="5"/>
  <c r="V17" i="5"/>
  <c r="U17" i="5"/>
  <c r="T17" i="5"/>
  <c r="S17" i="5"/>
  <c r="R17" i="5"/>
  <c r="Q17" i="5"/>
  <c r="P17" i="5"/>
  <c r="O17" i="5"/>
  <c r="N17" i="5"/>
  <c r="M17" i="5"/>
  <c r="L17" i="5"/>
  <c r="K17" i="5"/>
  <c r="J17" i="5"/>
  <c r="I17" i="5"/>
  <c r="H17" i="5"/>
  <c r="G17" i="5"/>
  <c r="F17" i="5"/>
  <c r="E17" i="5"/>
  <c r="D17" i="5"/>
  <c r="C17" i="5"/>
  <c r="B17" i="5"/>
  <c r="AG8" i="5"/>
  <c r="AI8" i="5" s="1"/>
  <c r="F10" i="2" s="1"/>
  <c r="AG7" i="5"/>
  <c r="AI7" i="5" s="1"/>
  <c r="F9" i="2" s="1"/>
  <c r="AG6" i="5"/>
  <c r="AI6" i="5" s="1"/>
  <c r="F8" i="2" s="1"/>
  <c r="AG5" i="5"/>
  <c r="AI5" i="5" s="1"/>
  <c r="D13" i="2"/>
  <c r="C13" i="2"/>
  <c r="B13" i="2"/>
  <c r="G12" i="2"/>
  <c r="I12" i="2" s="1"/>
  <c r="G11" i="2"/>
  <c r="I11" i="2" s="1"/>
  <c r="E10" i="2"/>
  <c r="E9" i="2"/>
  <c r="E8" i="2"/>
  <c r="E7" i="2"/>
  <c r="F21" i="1"/>
  <c r="E21" i="1"/>
  <c r="C21" i="1"/>
  <c r="B21" i="1"/>
  <c r="G20" i="1"/>
  <c r="D20" i="1"/>
  <c r="G16" i="1"/>
  <c r="D16" i="1"/>
  <c r="G15" i="1"/>
  <c r="D15" i="1"/>
  <c r="G14" i="1"/>
  <c r="D14" i="1"/>
  <c r="G12" i="1"/>
  <c r="D12" i="1"/>
  <c r="G11" i="1"/>
  <c r="D11" i="1"/>
  <c r="G10" i="1"/>
  <c r="G9" i="1"/>
  <c r="D9" i="1"/>
  <c r="G8" i="1"/>
  <c r="D8" i="1"/>
  <c r="K20" i="7" l="1"/>
  <c r="K25" i="7" s="1"/>
  <c r="K19" i="7"/>
  <c r="H18" i="1"/>
  <c r="K18" i="1" s="1"/>
  <c r="K19" i="1"/>
  <c r="AI17" i="5"/>
  <c r="H15" i="1"/>
  <c r="I15" i="1" s="1"/>
  <c r="L15" i="1" s="1"/>
  <c r="G10" i="2"/>
  <c r="I10" i="2" s="1"/>
  <c r="C7" i="9"/>
  <c r="E13" i="2"/>
  <c r="K7" i="7"/>
  <c r="D21" i="1"/>
  <c r="G21" i="1"/>
  <c r="K8" i="7"/>
  <c r="H9" i="1"/>
  <c r="K9" i="1" s="1"/>
  <c r="K10" i="1"/>
  <c r="H12" i="1"/>
  <c r="K12" i="1" s="1"/>
  <c r="G9" i="2"/>
  <c r="I9" i="2" s="1"/>
  <c r="H14" i="1"/>
  <c r="K14" i="1" s="1"/>
  <c r="K9" i="7"/>
  <c r="H16" i="1"/>
  <c r="K16" i="1" s="1"/>
  <c r="F7" i="2"/>
  <c r="H20" i="1"/>
  <c r="K20" i="1" s="1"/>
  <c r="D6" i="9"/>
  <c r="G8" i="2"/>
  <c r="I8" i="2" s="1"/>
  <c r="AG17" i="5"/>
  <c r="K13" i="7" l="1"/>
  <c r="I18" i="1"/>
  <c r="L18" i="1" s="1"/>
  <c r="M18" i="1" s="1"/>
  <c r="I19" i="1"/>
  <c r="L19" i="1" s="1"/>
  <c r="M19" i="1" s="1"/>
  <c r="K15" i="1"/>
  <c r="M15" i="1" s="1"/>
  <c r="I10" i="1"/>
  <c r="L10" i="1" s="1"/>
  <c r="M10" i="1" s="1"/>
  <c r="I9" i="1"/>
  <c r="L9" i="1" s="1"/>
  <c r="M9" i="1" s="1"/>
  <c r="I14" i="1"/>
  <c r="L14" i="1" s="1"/>
  <c r="M14" i="1" s="1"/>
  <c r="G7" i="2"/>
  <c r="I7" i="2" s="1"/>
  <c r="I13" i="2" s="1"/>
  <c r="J8" i="1" s="1"/>
  <c r="F13" i="2"/>
  <c r="I16" i="1"/>
  <c r="I12" i="1"/>
  <c r="L12" i="1" s="1"/>
  <c r="M12" i="1" s="1"/>
  <c r="I20" i="1"/>
  <c r="L20" i="1" s="1"/>
  <c r="M20" i="1" s="1"/>
  <c r="K26" i="7" l="1"/>
  <c r="J11" i="1" s="1"/>
  <c r="H11" i="1" s="1"/>
  <c r="K11" i="1" s="1"/>
  <c r="L16" i="1"/>
  <c r="M16" i="1" s="1"/>
  <c r="G13" i="2"/>
  <c r="I11" i="1" l="1"/>
  <c r="L11" i="1" s="1"/>
  <c r="M11" i="1" s="1"/>
  <c r="J21" i="1"/>
  <c r="H8" i="1"/>
  <c r="K8" i="1" l="1"/>
  <c r="H21" i="1"/>
  <c r="I8" i="1"/>
  <c r="K21" i="1" l="1"/>
  <c r="L8" i="1"/>
  <c r="L21" i="1" s="1"/>
  <c r="I21" i="1"/>
  <c r="M8" i="1" l="1"/>
  <c r="M21"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dp4</author>
  </authors>
  <commentList>
    <comment ref="A1" authorId="0" shapeId="0" xr:uid="{DF65C2C5-0DD8-441A-8105-6310BDCB2489}">
      <text>
        <r>
          <rPr>
            <b/>
            <sz val="9"/>
            <color indexed="81"/>
            <rFont val="細明體"/>
            <family val="3"/>
            <charset val="136"/>
          </rPr>
          <t>填表注意事項</t>
        </r>
        <r>
          <rPr>
            <b/>
            <sz val="9"/>
            <color indexed="81"/>
            <rFont val="Tahoma"/>
            <family val="2"/>
          </rPr>
          <t xml:space="preserve">:
</t>
        </r>
        <r>
          <rPr>
            <sz val="9"/>
            <color indexed="81"/>
            <rFont val="Tahoma"/>
            <family val="2"/>
          </rPr>
          <t>1.</t>
        </r>
        <r>
          <rPr>
            <sz val="9"/>
            <color indexed="81"/>
            <rFont val="細明體"/>
            <family val="3"/>
            <charset val="136"/>
          </rPr>
          <t xml:space="preserve">標示綠色者為可修改欄位
</t>
        </r>
        <r>
          <rPr>
            <sz val="9"/>
            <color indexed="81"/>
            <rFont val="Tahoma"/>
            <family val="2"/>
          </rPr>
          <t>2.</t>
        </r>
        <r>
          <rPr>
            <sz val="9"/>
            <color indexed="81"/>
            <rFont val="細明體"/>
            <family val="3"/>
            <charset val="136"/>
          </rPr>
          <t xml:space="preserve">標示藍色的三個技術移轉科目小計欄位，只有在當月份技術移轉交易對象不只一家，需要同時連結多張專帳表格時才修改公式，否則請勿修改公式
</t>
        </r>
        <r>
          <rPr>
            <sz val="9"/>
            <color indexed="81"/>
            <rFont val="Tahoma"/>
            <family val="2"/>
          </rPr>
          <t>3.</t>
        </r>
        <r>
          <rPr>
            <sz val="9"/>
            <color indexed="81"/>
            <rFont val="細明體"/>
            <family val="3"/>
            <charset val="136"/>
          </rPr>
          <t>白色的欄位建議勿修改</t>
        </r>
        <r>
          <rPr>
            <sz val="9"/>
            <color indexed="81"/>
            <rFont val="Tahoma"/>
            <family val="2"/>
          </rPr>
          <t>(</t>
        </r>
        <r>
          <rPr>
            <sz val="9"/>
            <color indexed="81"/>
            <rFont val="細明體"/>
            <family val="3"/>
            <charset val="136"/>
          </rPr>
          <t>該等欄位大部分已經鎖定無法修改</t>
        </r>
        <r>
          <rPr>
            <sz val="9"/>
            <color indexed="81"/>
            <rFont val="Tahoma"/>
            <family val="2"/>
          </rPr>
          <t>)
4.</t>
        </r>
        <r>
          <rPr>
            <sz val="9"/>
            <color indexed="81"/>
            <rFont val="細明體"/>
            <family val="3"/>
            <charset val="136"/>
          </rPr>
          <t>列印時注意上期累計支用數</t>
        </r>
        <r>
          <rPr>
            <sz val="9"/>
            <color indexed="81"/>
            <rFont val="Tahoma"/>
            <family val="2"/>
          </rPr>
          <t>(EFG</t>
        </r>
        <r>
          <rPr>
            <sz val="9"/>
            <color indexed="81"/>
            <rFont val="細明體"/>
            <family val="3"/>
            <charset val="136"/>
          </rPr>
          <t>三欄</t>
        </r>
        <r>
          <rPr>
            <sz val="9"/>
            <color indexed="81"/>
            <rFont val="Tahoma"/>
            <family val="2"/>
          </rPr>
          <t>)</t>
        </r>
        <r>
          <rPr>
            <sz val="9"/>
            <color indexed="81"/>
            <rFont val="細明體"/>
            <family val="3"/>
            <charset val="136"/>
          </rPr>
          <t xml:space="preserve">請隱藏起來
</t>
        </r>
        <r>
          <rPr>
            <sz val="9"/>
            <color indexed="81"/>
            <rFont val="Tahoma"/>
            <family val="2"/>
          </rPr>
          <t>5.</t>
        </r>
        <r>
          <rPr>
            <sz val="9"/>
            <color indexed="81"/>
            <rFont val="細明體"/>
            <family val="3"/>
            <charset val="136"/>
          </rPr>
          <t>每個月填一份經費累計表</t>
        </r>
        <r>
          <rPr>
            <sz val="9"/>
            <color indexed="81"/>
            <rFont val="Tahoma"/>
            <family val="2"/>
          </rPr>
          <t>excel</t>
        </r>
        <r>
          <rPr>
            <sz val="9"/>
            <color indexed="81"/>
            <rFont val="細明體"/>
            <family val="3"/>
            <charset val="136"/>
          </rPr>
          <t>檔，請勿把多個月份的資料放在同一個</t>
        </r>
        <r>
          <rPr>
            <sz val="9"/>
            <color indexed="81"/>
            <rFont val="Tahoma"/>
            <family val="2"/>
          </rPr>
          <t>excel</t>
        </r>
        <r>
          <rPr>
            <sz val="9"/>
            <color indexed="81"/>
            <rFont val="細明體"/>
            <family val="3"/>
            <charset val="136"/>
          </rPr>
          <t xml:space="preserve">檔案中，因為公式很容易跑掉，這樣很容易造成計算錯誤
</t>
        </r>
        <r>
          <rPr>
            <sz val="9"/>
            <color indexed="81"/>
            <rFont val="Tahoma"/>
            <family val="2"/>
          </rPr>
          <t>6.</t>
        </r>
        <r>
          <rPr>
            <sz val="9"/>
            <color indexed="81"/>
            <rFont val="細明體"/>
            <family val="3"/>
            <charset val="136"/>
          </rPr>
          <t xml:space="preserve">填寫上若有不了解的地方，請撥電話或寫信詢問正風聯合會計師事務所負責審查貴公司的查帳員
</t>
        </r>
        <r>
          <rPr>
            <sz val="9"/>
            <color indexed="81"/>
            <rFont val="Tahoma"/>
            <family val="2"/>
          </rPr>
          <t>7.</t>
        </r>
        <r>
          <rPr>
            <sz val="9"/>
            <color indexed="81"/>
            <rFont val="細明體"/>
            <family val="3"/>
            <charset val="136"/>
          </rPr>
          <t>表格上方蓋公司大章，表格下方負責人部分蓋公司負責人小章。另表格下方其他權責人員章也務必蓋上</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dp4</author>
  </authors>
  <commentList>
    <comment ref="A1" authorId="0" shapeId="0" xr:uid="{58505A33-84B0-4B6B-96A1-FD510377BE76}">
      <text>
        <r>
          <rPr>
            <b/>
            <sz val="12"/>
            <color indexed="81"/>
            <rFont val="細明體"/>
            <family val="3"/>
            <charset val="136"/>
          </rPr>
          <t>填表注意事項</t>
        </r>
        <r>
          <rPr>
            <b/>
            <sz val="12"/>
            <color indexed="81"/>
            <rFont val="Tahoma"/>
            <family val="2"/>
          </rPr>
          <t>:</t>
        </r>
        <r>
          <rPr>
            <sz val="12"/>
            <color indexed="81"/>
            <rFont val="Tahoma"/>
            <family val="2"/>
          </rPr>
          <t xml:space="preserve">
1.</t>
        </r>
        <r>
          <rPr>
            <sz val="12"/>
            <color indexed="81"/>
            <rFont val="細明體"/>
            <family val="3"/>
            <charset val="136"/>
          </rPr>
          <t xml:space="preserve">填綠色部分即可，白色部分的數字有預設公式，請不要修改，避免計算錯誤
</t>
        </r>
        <r>
          <rPr>
            <sz val="12"/>
            <color indexed="81"/>
            <rFont val="Tahoma"/>
            <family val="2"/>
          </rPr>
          <t>2.</t>
        </r>
        <r>
          <rPr>
            <sz val="12"/>
            <color indexed="81"/>
            <rFont val="細明體"/>
            <family val="3"/>
            <charset val="136"/>
          </rPr>
          <t>表格下方所列權責人員皆應蓋章</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dp4</author>
  </authors>
  <commentList>
    <comment ref="A1" authorId="0" shapeId="0" xr:uid="{41175235-546A-43CA-A2FD-84CE32508C58}">
      <text>
        <r>
          <rPr>
            <b/>
            <sz val="12"/>
            <color indexed="81"/>
            <rFont val="細明體"/>
            <family val="3"/>
            <charset val="136"/>
          </rPr>
          <t>填表注意事項</t>
        </r>
        <r>
          <rPr>
            <b/>
            <sz val="12"/>
            <color indexed="81"/>
            <rFont val="Tahoma"/>
            <family val="2"/>
          </rPr>
          <t>:</t>
        </r>
        <r>
          <rPr>
            <sz val="12"/>
            <color indexed="81"/>
            <rFont val="Tahoma"/>
            <family val="2"/>
          </rPr>
          <t xml:space="preserve">
1.</t>
        </r>
        <r>
          <rPr>
            <sz val="12"/>
            <color indexed="81"/>
            <rFont val="細明體"/>
            <family val="3"/>
            <charset val="136"/>
          </rPr>
          <t xml:space="preserve">填綠色部分即可，白色部分的數字有預設公式，請不要修改，避免計算錯誤
</t>
        </r>
        <r>
          <rPr>
            <sz val="12"/>
            <color indexed="81"/>
            <rFont val="Tahoma"/>
            <family val="2"/>
          </rPr>
          <t>2.</t>
        </r>
        <r>
          <rPr>
            <sz val="12"/>
            <color indexed="81"/>
            <rFont val="細明體"/>
            <family val="3"/>
            <charset val="136"/>
          </rPr>
          <t>表格下方所列權責人員皆應蓋章</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dp4</author>
  </authors>
  <commentList>
    <comment ref="A1" authorId="0" shapeId="0" xr:uid="{8304E897-D99C-4803-9CF4-67C219C72885}">
      <text>
        <r>
          <rPr>
            <b/>
            <sz val="12"/>
            <color indexed="81"/>
            <rFont val="細明體"/>
            <family val="3"/>
            <charset val="136"/>
          </rPr>
          <t>填表注意事項</t>
        </r>
        <r>
          <rPr>
            <b/>
            <sz val="12"/>
            <color indexed="81"/>
            <rFont val="Tahoma"/>
            <family val="2"/>
          </rPr>
          <t xml:space="preserve">:
</t>
        </r>
        <r>
          <rPr>
            <sz val="12"/>
            <color indexed="81"/>
            <rFont val="Tahoma"/>
            <family val="2"/>
          </rPr>
          <t>1.</t>
        </r>
        <r>
          <rPr>
            <sz val="12"/>
            <color indexed="81"/>
            <rFont val="細明體"/>
            <family val="3"/>
            <charset val="136"/>
          </rPr>
          <t xml:space="preserve">填綠色部分即可，白色部分的數字有預設公式，請不要修改，避免計算錯誤
</t>
        </r>
        <r>
          <rPr>
            <sz val="12"/>
            <color indexed="81"/>
            <rFont val="Tahoma"/>
            <family val="2"/>
          </rPr>
          <t>2.</t>
        </r>
        <r>
          <rPr>
            <sz val="12"/>
            <color indexed="81"/>
            <rFont val="細明體"/>
            <family val="3"/>
            <charset val="136"/>
          </rPr>
          <t>表格下方所列權責人員皆應蓋章</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dp4</author>
  </authors>
  <commentList>
    <comment ref="A1" authorId="0" shapeId="0" xr:uid="{69327EE6-E3E8-40B7-AFBF-467A764617BC}">
      <text>
        <r>
          <rPr>
            <b/>
            <sz val="12"/>
            <color indexed="81"/>
            <rFont val="細明體"/>
            <family val="3"/>
            <charset val="136"/>
          </rPr>
          <t>填表注意事項</t>
        </r>
        <r>
          <rPr>
            <b/>
            <sz val="12"/>
            <color indexed="81"/>
            <rFont val="Tahoma"/>
            <family val="2"/>
          </rPr>
          <t>:</t>
        </r>
        <r>
          <rPr>
            <sz val="12"/>
            <color indexed="81"/>
            <rFont val="Tahoma"/>
            <family val="2"/>
          </rPr>
          <t xml:space="preserve">
1.</t>
        </r>
        <r>
          <rPr>
            <sz val="12"/>
            <color indexed="81"/>
            <rFont val="細明體"/>
            <family val="3"/>
            <charset val="136"/>
          </rPr>
          <t xml:space="preserve">填綠色部分即可，白色部分的數字有預設公式，請不要修改，避免計算錯誤
</t>
        </r>
        <r>
          <rPr>
            <sz val="12"/>
            <color indexed="81"/>
            <rFont val="Tahoma"/>
            <family val="2"/>
          </rPr>
          <t>2.</t>
        </r>
        <r>
          <rPr>
            <sz val="12"/>
            <color indexed="81"/>
            <rFont val="細明體"/>
            <family val="3"/>
            <charset val="136"/>
          </rPr>
          <t>正常工作時數每個月可能不同(受大小月、例假日等因素影響)，請務必逐月確認是否填寫正確
3."簽名欄"位務必由投入計畫人員本人親簽，不要蓋章
4.表格下方所列計畫主持人、主辦會計、填表人等權責人員皆應蓋章</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dp4</author>
  </authors>
  <commentList>
    <comment ref="A1" authorId="0" shapeId="0" xr:uid="{B0D15ACA-BD43-40E6-A063-36C9B681CD97}">
      <text>
        <r>
          <rPr>
            <b/>
            <sz val="12"/>
            <color indexed="81"/>
            <rFont val="細明體"/>
            <family val="3"/>
            <charset val="136"/>
          </rPr>
          <t>填表注意事項</t>
        </r>
        <r>
          <rPr>
            <b/>
            <sz val="12"/>
            <color indexed="81"/>
            <rFont val="Tahoma"/>
            <family val="2"/>
          </rPr>
          <t xml:space="preserve">:
</t>
        </r>
        <r>
          <rPr>
            <sz val="12"/>
            <color indexed="81"/>
            <rFont val="Tahoma"/>
            <family val="2"/>
          </rPr>
          <t>1.</t>
        </r>
        <r>
          <rPr>
            <sz val="12"/>
            <color indexed="81"/>
            <rFont val="細明體"/>
            <family val="3"/>
            <charset val="136"/>
          </rPr>
          <t xml:space="preserve">填綠色部分即可，白色部分的數字有預設公式，請不要修改，避免計算錯誤
</t>
        </r>
        <r>
          <rPr>
            <sz val="12"/>
            <color indexed="81"/>
            <rFont val="Tahoma"/>
            <family val="2"/>
          </rPr>
          <t>2.</t>
        </r>
        <r>
          <rPr>
            <sz val="12"/>
            <color indexed="81"/>
            <rFont val="細明體"/>
            <family val="3"/>
            <charset val="136"/>
          </rPr>
          <t>表格下方所列權責人員皆應蓋章</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dp4</author>
  </authors>
  <commentList>
    <comment ref="A1" authorId="0" shapeId="0" xr:uid="{AEC7D688-AE13-4F01-A4BD-ECE706B01712}">
      <text>
        <r>
          <rPr>
            <b/>
            <sz val="12"/>
            <color indexed="81"/>
            <rFont val="細明體"/>
            <family val="3"/>
            <charset val="136"/>
          </rPr>
          <t xml:space="preserve">填表注意事項:
</t>
        </r>
        <r>
          <rPr>
            <sz val="12"/>
            <color indexed="81"/>
            <rFont val="細明體"/>
            <family val="3"/>
            <charset val="136"/>
          </rPr>
          <t>1.填綠色部分即可，白色部分的數字有預設公式，請不要修改，避免計算錯誤
2.所列設備名稱務必與"設備使用紀錄表"所列設備名稱完全相符
3.表格下方所列權責人員皆應蓋章</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dp4</author>
  </authors>
  <commentList>
    <comment ref="A1" authorId="0" shapeId="0" xr:uid="{9698085F-9898-4B8F-B74A-ECEE35345416}">
      <text>
        <r>
          <rPr>
            <b/>
            <sz val="12"/>
            <color indexed="81"/>
            <rFont val="細明體"/>
            <family val="3"/>
            <charset val="136"/>
          </rPr>
          <t>填表注意事項</t>
        </r>
        <r>
          <rPr>
            <b/>
            <sz val="12"/>
            <color indexed="81"/>
            <rFont val="Tahoma"/>
            <family val="2"/>
          </rPr>
          <t>:</t>
        </r>
        <r>
          <rPr>
            <sz val="12"/>
            <color indexed="81"/>
            <rFont val="Tahoma"/>
            <family val="2"/>
          </rPr>
          <t xml:space="preserve">
1.</t>
        </r>
        <r>
          <rPr>
            <sz val="12"/>
            <color indexed="81"/>
            <rFont val="細明體"/>
            <family val="3"/>
            <charset val="136"/>
          </rPr>
          <t xml:space="preserve">填綠色部分即可，白色部分的數字有預設公式，請不要修改，避免計算錯誤
</t>
        </r>
        <r>
          <rPr>
            <sz val="12"/>
            <color indexed="81"/>
            <rFont val="Tahoma"/>
            <family val="2"/>
          </rPr>
          <t>2.</t>
        </r>
        <r>
          <rPr>
            <sz val="12"/>
            <color indexed="81"/>
            <rFont val="細明體"/>
            <family val="3"/>
            <charset val="136"/>
          </rPr>
          <t>所列設備名稱務必與"設備使用費"工作表所列設備名稱完全相符
3</t>
        </r>
        <r>
          <rPr>
            <sz val="12"/>
            <color indexed="81"/>
            <rFont val="Tahoma"/>
            <family val="2"/>
          </rPr>
          <t>.</t>
        </r>
        <r>
          <rPr>
            <sz val="12"/>
            <color indexed="81"/>
            <rFont val="細明體"/>
            <family val="3"/>
            <charset val="136"/>
          </rPr>
          <t>表格下方所列權責人員皆應蓋章</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dp4</author>
  </authors>
  <commentList>
    <comment ref="A1" authorId="0" shapeId="0" xr:uid="{0829B917-661D-4211-99F4-7EB99B807FFD}">
      <text>
        <r>
          <rPr>
            <b/>
            <sz val="12"/>
            <color indexed="81"/>
            <rFont val="細明體"/>
            <family val="3"/>
            <charset val="136"/>
          </rPr>
          <t>填表注意事項</t>
        </r>
        <r>
          <rPr>
            <b/>
            <sz val="12"/>
            <color indexed="81"/>
            <rFont val="Tahoma"/>
            <family val="2"/>
          </rPr>
          <t xml:space="preserve">:
</t>
        </r>
        <r>
          <rPr>
            <sz val="12"/>
            <color indexed="81"/>
            <rFont val="Tahoma"/>
            <family val="2"/>
          </rPr>
          <t>1.</t>
        </r>
        <r>
          <rPr>
            <sz val="12"/>
            <color indexed="81"/>
            <rFont val="細明體"/>
            <family val="3"/>
            <charset val="136"/>
          </rPr>
          <t xml:space="preserve">填綠色部分即可，白色部分的數字有預設公式，請不要修改，避免計算錯誤
</t>
        </r>
        <r>
          <rPr>
            <sz val="12"/>
            <color indexed="81"/>
            <rFont val="Tahoma"/>
            <family val="2"/>
          </rPr>
          <t>2.</t>
        </r>
        <r>
          <rPr>
            <sz val="12"/>
            <color indexed="81"/>
            <rFont val="細明體"/>
            <family val="3"/>
            <charset val="136"/>
          </rPr>
          <t>表格下方所列權責人員皆應蓋章</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dp4</author>
  </authors>
  <commentList>
    <comment ref="A1" authorId="0" shapeId="0" xr:uid="{2E60961A-8365-412F-B234-971F038353C8}">
      <text>
        <r>
          <rPr>
            <b/>
            <sz val="12"/>
            <color indexed="81"/>
            <rFont val="細明體"/>
            <family val="3"/>
            <charset val="136"/>
          </rPr>
          <t>填表注意事項</t>
        </r>
        <r>
          <rPr>
            <b/>
            <sz val="12"/>
            <color indexed="81"/>
            <rFont val="Tahoma"/>
            <family val="2"/>
          </rPr>
          <t xml:space="preserve">:
</t>
        </r>
        <r>
          <rPr>
            <sz val="12"/>
            <color indexed="81"/>
            <rFont val="Tahoma"/>
            <family val="2"/>
          </rPr>
          <t>1.</t>
        </r>
        <r>
          <rPr>
            <sz val="12"/>
            <color indexed="81"/>
            <rFont val="細明體"/>
            <family val="3"/>
            <charset val="136"/>
          </rPr>
          <t xml:space="preserve">填綠色部分即可，白色部分的數字有預設公式，請不要修改，避免計算錯誤
</t>
        </r>
        <r>
          <rPr>
            <sz val="12"/>
            <color indexed="81"/>
            <rFont val="Tahoma"/>
            <family val="2"/>
          </rPr>
          <t>2.</t>
        </r>
        <r>
          <rPr>
            <sz val="12"/>
            <color indexed="81"/>
            <rFont val="細明體"/>
            <family val="3"/>
            <charset val="136"/>
          </rPr>
          <t>表格下方所列權責人員皆應蓋章</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dp4</author>
  </authors>
  <commentList>
    <comment ref="A1" authorId="0" shapeId="0" xr:uid="{18081065-44B9-4521-9D6E-290C679E51E5}">
      <text>
        <r>
          <rPr>
            <b/>
            <sz val="12"/>
            <color indexed="81"/>
            <rFont val="細明體"/>
            <family val="3"/>
            <charset val="136"/>
          </rPr>
          <t>填表注意事項</t>
        </r>
        <r>
          <rPr>
            <b/>
            <sz val="12"/>
            <color indexed="81"/>
            <rFont val="Tahoma"/>
            <family val="2"/>
          </rPr>
          <t xml:space="preserve">:
</t>
        </r>
        <r>
          <rPr>
            <sz val="12"/>
            <color indexed="81"/>
            <rFont val="Tahoma"/>
            <family val="2"/>
          </rPr>
          <t>1.</t>
        </r>
        <r>
          <rPr>
            <sz val="12"/>
            <color indexed="81"/>
            <rFont val="細明體"/>
            <family val="3"/>
            <charset val="136"/>
          </rPr>
          <t xml:space="preserve">填綠色部分即可，白色部分的數字有預設公式，請不要修改，避免計算錯誤
</t>
        </r>
        <r>
          <rPr>
            <sz val="12"/>
            <color indexed="81"/>
            <rFont val="Tahoma"/>
            <family val="2"/>
          </rPr>
          <t>2.</t>
        </r>
        <r>
          <rPr>
            <sz val="12"/>
            <color indexed="81"/>
            <rFont val="細明體"/>
            <family val="3"/>
            <charset val="136"/>
          </rPr>
          <t>表格下方所列權責人員皆應蓋章</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dp4</author>
  </authors>
  <commentList>
    <comment ref="A1" authorId="0" shapeId="0" xr:uid="{BA8F1B1E-9343-47FD-8034-FB08C6B10EFC}">
      <text>
        <r>
          <rPr>
            <b/>
            <sz val="12"/>
            <color indexed="81"/>
            <rFont val="細明體"/>
            <family val="3"/>
            <charset val="136"/>
          </rPr>
          <t>填表注意事項</t>
        </r>
        <r>
          <rPr>
            <b/>
            <sz val="12"/>
            <color indexed="81"/>
            <rFont val="Tahoma"/>
            <family val="2"/>
          </rPr>
          <t xml:space="preserve">:
</t>
        </r>
        <r>
          <rPr>
            <sz val="12"/>
            <color indexed="81"/>
            <rFont val="Tahoma"/>
            <family val="2"/>
          </rPr>
          <t>1.</t>
        </r>
        <r>
          <rPr>
            <sz val="12"/>
            <color indexed="81"/>
            <rFont val="細明體"/>
            <family val="3"/>
            <charset val="136"/>
          </rPr>
          <t xml:space="preserve">填綠色部分即可，白色部分的數字有預設公式，請不要修改，避免計算錯誤
</t>
        </r>
        <r>
          <rPr>
            <sz val="12"/>
            <color indexed="81"/>
            <rFont val="Tahoma"/>
            <family val="2"/>
          </rPr>
          <t>2.</t>
        </r>
        <r>
          <rPr>
            <sz val="12"/>
            <color indexed="81"/>
            <rFont val="細明體"/>
            <family val="3"/>
            <charset val="136"/>
          </rPr>
          <t>表格下方所列權責人員皆應蓋章</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dp4</author>
  </authors>
  <commentList>
    <comment ref="A1" authorId="0" shapeId="0" xr:uid="{47EADEC4-52FE-41CC-A8DE-D174D38F59BE}">
      <text>
        <r>
          <rPr>
            <b/>
            <sz val="12"/>
            <color indexed="81"/>
            <rFont val="細明體"/>
            <family val="3"/>
            <charset val="136"/>
          </rPr>
          <t>填表注意事項</t>
        </r>
        <r>
          <rPr>
            <b/>
            <sz val="12"/>
            <color indexed="81"/>
            <rFont val="Tahoma"/>
            <family val="2"/>
          </rPr>
          <t xml:space="preserve">:
</t>
        </r>
        <r>
          <rPr>
            <sz val="12"/>
            <color indexed="81"/>
            <rFont val="Tahoma"/>
            <family val="2"/>
          </rPr>
          <t>1.</t>
        </r>
        <r>
          <rPr>
            <sz val="12"/>
            <color indexed="81"/>
            <rFont val="細明體"/>
            <family val="3"/>
            <charset val="136"/>
          </rPr>
          <t xml:space="preserve">填綠色部分即可，白色部分的數字有預設公式，請不要修改，避免計算錯誤
</t>
        </r>
        <r>
          <rPr>
            <sz val="12"/>
            <color indexed="81"/>
            <rFont val="Tahoma"/>
            <family val="2"/>
          </rPr>
          <t>2.</t>
        </r>
        <r>
          <rPr>
            <sz val="12"/>
            <color indexed="81"/>
            <rFont val="細明體"/>
            <family val="3"/>
            <charset val="136"/>
          </rPr>
          <t>表格下方所列權責人員皆應蓋章</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dp4</author>
  </authors>
  <commentList>
    <comment ref="A1" authorId="0" shapeId="0" xr:uid="{632A4FD2-E412-404D-A0D1-2C28E295308D}">
      <text>
        <r>
          <rPr>
            <b/>
            <sz val="12"/>
            <color indexed="81"/>
            <rFont val="細明體"/>
            <family val="3"/>
            <charset val="136"/>
          </rPr>
          <t>填表注意事項</t>
        </r>
        <r>
          <rPr>
            <b/>
            <sz val="12"/>
            <color indexed="81"/>
            <rFont val="Tahoma"/>
            <family val="2"/>
          </rPr>
          <t xml:space="preserve">:
</t>
        </r>
        <r>
          <rPr>
            <sz val="12"/>
            <color indexed="81"/>
            <rFont val="Tahoma"/>
            <family val="2"/>
          </rPr>
          <t>1.</t>
        </r>
        <r>
          <rPr>
            <sz val="12"/>
            <color indexed="81"/>
            <rFont val="細明體"/>
            <family val="3"/>
            <charset val="136"/>
          </rPr>
          <t xml:space="preserve">填綠色部分即可，白色部分的數字有預設公式，請不要修改，避免計算錯誤
</t>
        </r>
        <r>
          <rPr>
            <sz val="12"/>
            <color indexed="81"/>
            <rFont val="Tahoma"/>
            <family val="2"/>
          </rPr>
          <t>2.</t>
        </r>
        <r>
          <rPr>
            <sz val="12"/>
            <color indexed="81"/>
            <rFont val="細明體"/>
            <family val="3"/>
            <charset val="136"/>
          </rPr>
          <t>表格下方所列權責人員皆應蓋章</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dp4</author>
  </authors>
  <commentList>
    <comment ref="A1" authorId="0" shapeId="0" xr:uid="{574AD6E9-E12E-4A7B-BC66-AF9D63090205}">
      <text>
        <r>
          <rPr>
            <b/>
            <sz val="12"/>
            <color indexed="81"/>
            <rFont val="細明體"/>
            <family val="3"/>
            <charset val="136"/>
          </rPr>
          <t>填表注意事項</t>
        </r>
        <r>
          <rPr>
            <b/>
            <sz val="12"/>
            <color indexed="81"/>
            <rFont val="Tahoma"/>
            <family val="2"/>
          </rPr>
          <t xml:space="preserve">:
</t>
        </r>
        <r>
          <rPr>
            <sz val="12"/>
            <color indexed="81"/>
            <rFont val="Tahoma"/>
            <family val="2"/>
          </rPr>
          <t>1.</t>
        </r>
        <r>
          <rPr>
            <sz val="12"/>
            <color indexed="81"/>
            <rFont val="細明體"/>
            <family val="3"/>
            <charset val="136"/>
          </rPr>
          <t xml:space="preserve">填綠色部分即可，白色部分的數字有預設公式，請不要修改，避免計算錯誤
</t>
        </r>
        <r>
          <rPr>
            <sz val="12"/>
            <color indexed="81"/>
            <rFont val="Tahoma"/>
            <family val="2"/>
          </rPr>
          <t>2.</t>
        </r>
        <r>
          <rPr>
            <sz val="12"/>
            <color indexed="81"/>
            <rFont val="細明體"/>
            <family val="3"/>
            <charset val="136"/>
          </rPr>
          <t>表格下方所列權責人員皆應蓋章</t>
        </r>
      </text>
    </comment>
  </commentList>
</comments>
</file>

<file path=xl/sharedStrings.xml><?xml version="1.0" encoding="utf-8"?>
<sst xmlns="http://schemas.openxmlformats.org/spreadsheetml/2006/main" count="427" uniqueCount="250">
  <si>
    <t>××股份有限公司</t>
  </si>
  <si>
    <t>經費累計表(應按月編制)</t>
  </si>
  <si>
    <t>中華民國112年02月01日至112年00月00日</t>
    <phoneticPr fontId="9" type="noConversion"/>
  </si>
  <si>
    <t>金額單位：元</t>
  </si>
  <si>
    <t>計畫預算數</t>
  </si>
  <si>
    <r>
      <t>上期累計支用數</t>
    </r>
    <r>
      <rPr>
        <b/>
        <sz val="10"/>
        <color rgb="FF000000"/>
        <rFont val="標楷體"/>
        <family val="4"/>
        <charset val="136"/>
      </rPr>
      <t>(列印時請隱藏此欄位)</t>
    </r>
    <phoneticPr fontId="9" type="noConversion"/>
  </si>
  <si>
    <t xml:space="preserve">  本期支用數</t>
  </si>
  <si>
    <t xml:space="preserve"> 累計支用數</t>
  </si>
  <si>
    <t>預算科目</t>
  </si>
  <si>
    <t>補助款</t>
  </si>
  <si>
    <t>自籌款</t>
  </si>
  <si>
    <t>小計</t>
  </si>
  <si>
    <t>一、人事費</t>
  </si>
  <si>
    <t xml:space="preserve">    1.計畫人員</t>
  </si>
  <si>
    <t xml:space="preserve">    2.顧問</t>
  </si>
  <si>
    <t>二、消耗性器材及原材料費</t>
  </si>
  <si>
    <t>三、研發設備使用費</t>
  </si>
  <si>
    <t>四、研發設備維護費</t>
  </si>
  <si>
    <t>五、技術移轉費</t>
  </si>
  <si>
    <t xml:space="preserve">    1.技術或智慧財產權購買費</t>
  </si>
  <si>
    <t xml:space="preserve">    2.委託研究費</t>
  </si>
  <si>
    <t xml:space="preserve">    3.委託勞務費</t>
  </si>
  <si>
    <t>六、差旅費</t>
  </si>
  <si>
    <t xml:space="preserve">    1.國內差旅費</t>
    <phoneticPr fontId="9" type="noConversion"/>
  </si>
  <si>
    <t xml:space="preserve">    2.國外差旅費</t>
    <phoneticPr fontId="9" type="noConversion"/>
  </si>
  <si>
    <t>七、市場驗證費</t>
  </si>
  <si>
    <t>合  計</t>
  </si>
  <si>
    <t>註1:金額以元為單位。</t>
  </si>
  <si>
    <t>註2:補助款及自籌款出現#DIV/0!之欄位請填0。</t>
  </si>
  <si>
    <t>註3:請填寫綠色填滿之欄位，電腦會自動編列小計。</t>
  </si>
  <si>
    <t>註4:列印時請隱藏「上期累計實支數」之欄位</t>
  </si>
  <si>
    <t>公司負責人:</t>
  </si>
  <si>
    <t>計畫主持人:</t>
  </si>
  <si>
    <t>主辦會計:</t>
  </si>
  <si>
    <t>填表人：</t>
  </si>
  <si>
    <t>SIIR計畫－計畫人員薪資計算表  (112年××月)</t>
    <phoneticPr fontId="9" type="noConversion"/>
  </si>
  <si>
    <t>金額單位:元</t>
  </si>
  <si>
    <t>傳票日期</t>
  </si>
  <si>
    <t>傳票編號</t>
  </si>
  <si>
    <r>
      <t>計畫人員姓</t>
    </r>
    <r>
      <rPr>
        <b/>
        <sz val="18"/>
        <color rgb="FF000000"/>
        <rFont val="Times New Roman"/>
        <family val="1"/>
      </rPr>
      <t xml:space="preserve">  </t>
    </r>
    <r>
      <rPr>
        <b/>
        <sz val="18"/>
        <color rgb="FF000000"/>
        <rFont val="標楷體"/>
        <family val="4"/>
        <charset val="136"/>
      </rPr>
      <t>名</t>
    </r>
  </si>
  <si>
    <r>
      <t>本</t>
    </r>
    <r>
      <rPr>
        <b/>
        <sz val="18"/>
        <color rgb="FF000000"/>
        <rFont val="Times New Roman"/>
        <family val="1"/>
      </rPr>
      <t>(</t>
    </r>
    <r>
      <rPr>
        <b/>
        <sz val="18"/>
        <color rgb="FF000000"/>
        <rFont val="標楷體"/>
        <family val="4"/>
        <charset val="136"/>
      </rPr>
      <t>底</t>
    </r>
    <r>
      <rPr>
        <b/>
        <sz val="18"/>
        <color rgb="FF000000"/>
        <rFont val="Times New Roman"/>
        <family val="1"/>
      </rPr>
      <t>)</t>
    </r>
    <r>
      <rPr>
        <b/>
        <sz val="18"/>
        <color rgb="FF000000"/>
        <rFont val="標楷體"/>
        <family val="4"/>
        <charset val="136"/>
      </rPr>
      <t xml:space="preserve">薪
</t>
    </r>
    <r>
      <rPr>
        <b/>
        <sz val="18"/>
        <color rgb="FF000000"/>
        <rFont val="Times New Roman"/>
        <family val="1"/>
      </rPr>
      <t>A</t>
    </r>
  </si>
  <si>
    <r>
      <t xml:space="preserve">職務加給或
技術津貼
</t>
    </r>
    <r>
      <rPr>
        <b/>
        <sz val="18"/>
        <color rgb="FF000000"/>
        <rFont val="Times New Roman"/>
        <family val="1"/>
      </rPr>
      <t>B</t>
    </r>
  </si>
  <si>
    <r>
      <t xml:space="preserve">主管加給
</t>
    </r>
    <r>
      <rPr>
        <b/>
        <sz val="18"/>
        <color rgb="FF000000"/>
        <rFont val="Times New Roman"/>
        <family val="1"/>
      </rPr>
      <t>C</t>
    </r>
  </si>
  <si>
    <r>
      <t xml:space="preserve">月薪小計
</t>
    </r>
    <r>
      <rPr>
        <b/>
        <sz val="18"/>
        <color rgb="FF000000"/>
        <rFont val="Times New Roman"/>
        <family val="1"/>
      </rPr>
      <t>D=A+B+C</t>
    </r>
  </si>
  <si>
    <r>
      <t xml:space="preserve">投入比率
</t>
    </r>
    <r>
      <rPr>
        <b/>
        <sz val="18"/>
        <color rgb="FF000000"/>
        <rFont val="Times New Roman"/>
        <family val="1"/>
      </rPr>
      <t>(</t>
    </r>
    <r>
      <rPr>
        <b/>
        <sz val="18"/>
        <color rgb="FF000000"/>
        <rFont val="標楷體"/>
        <family val="4"/>
        <charset val="136"/>
      </rPr>
      <t>註</t>
    </r>
    <r>
      <rPr>
        <b/>
        <sz val="18"/>
        <color rgb="FF000000"/>
        <rFont val="Times New Roman"/>
        <family val="1"/>
      </rPr>
      <t>1)</t>
    </r>
    <r>
      <rPr>
        <b/>
        <sz val="18"/>
        <color rgb="FF000000"/>
        <rFont val="Times New Roman"/>
        <family val="1"/>
      </rPr>
      <t xml:space="preserve">
I</t>
    </r>
  </si>
  <si>
    <r>
      <t>可列入本計畫之薪餉</t>
    </r>
    <r>
      <rPr>
        <b/>
        <sz val="18"/>
        <color rgb="FF000000"/>
        <rFont val="Times New Roman"/>
        <family val="1"/>
      </rPr>
      <t>J=D*I</t>
    </r>
  </si>
  <si>
    <r>
      <t xml:space="preserve">本計畫加班費
</t>
    </r>
    <r>
      <rPr>
        <b/>
        <sz val="18"/>
        <color rgb="FF000000"/>
        <rFont val="Times New Roman"/>
        <family val="1"/>
      </rPr>
      <t>K</t>
    </r>
  </si>
  <si>
    <r>
      <t xml:space="preserve">應計入本計畫薪資
</t>
    </r>
    <r>
      <rPr>
        <b/>
        <sz val="18"/>
        <color rgb="FF000000"/>
        <rFont val="Times New Roman"/>
        <family val="1"/>
      </rPr>
      <t>L=J+K</t>
    </r>
  </si>
  <si>
    <r>
      <t>1.</t>
    </r>
    <r>
      <rPr>
        <sz val="18"/>
        <color rgb="FF000000"/>
        <rFont val="標楷體"/>
        <family val="4"/>
        <charset val="136"/>
      </rPr>
      <t>×××</t>
    </r>
  </si>
  <si>
    <r>
      <t>2.</t>
    </r>
    <r>
      <rPr>
        <sz val="18"/>
        <color rgb="FF000000"/>
        <rFont val="標楷體"/>
        <family val="4"/>
        <charset val="136"/>
      </rPr>
      <t>×××</t>
    </r>
  </si>
  <si>
    <r>
      <t>3.</t>
    </r>
    <r>
      <rPr>
        <sz val="18"/>
        <color rgb="FF000000"/>
        <rFont val="標楷體"/>
        <family val="4"/>
        <charset val="136"/>
      </rPr>
      <t>×××</t>
    </r>
  </si>
  <si>
    <r>
      <t>4.</t>
    </r>
    <r>
      <rPr>
        <sz val="18"/>
        <color rgb="FF000000"/>
        <rFont val="標楷體"/>
        <family val="4"/>
        <charset val="136"/>
      </rPr>
      <t>×××</t>
    </r>
  </si>
  <si>
    <r>
      <t>合</t>
    </r>
    <r>
      <rPr>
        <b/>
        <sz val="18"/>
        <color rgb="FF000000"/>
        <rFont val="Times New Roman"/>
        <family val="1"/>
      </rPr>
      <t xml:space="preserve">   </t>
    </r>
    <r>
      <rPr>
        <b/>
        <sz val="18"/>
        <color rgb="FF000000"/>
        <rFont val="標楷體"/>
        <family val="4"/>
        <charset val="136"/>
      </rPr>
      <t>計</t>
    </r>
  </si>
  <si>
    <t>註1：投入比率應與工時記錄表合計當月份一致。每月投入比率以1為上限。</t>
  </si>
  <si>
    <t>註2：帳務查核時應備妥下列文件備查: 1.薪資清冊(內容包含：發放之薪資結構明細計算)</t>
  </si>
  <si>
    <t xml:space="preserve">     2.銀行轉帳記錄或印領清冊</t>
  </si>
  <si>
    <t>SIIR計畫人員加班記錄總表  (112年××月)</t>
    <phoneticPr fontId="9" type="noConversion"/>
  </si>
  <si>
    <t>計畫人員姓  名</t>
  </si>
  <si>
    <t>加班事由</t>
  </si>
  <si>
    <t>加班時數</t>
  </si>
  <si>
    <t>加班費計算公式</t>
  </si>
  <si>
    <t>本計畫之加班費</t>
  </si>
  <si>
    <t>計畫人員簽名</t>
  </si>
  <si>
    <t>合   計</t>
  </si>
  <si>
    <t>SIIR計畫－顧問費(112年××月)</t>
    <phoneticPr fontId="9" type="noConversion"/>
  </si>
  <si>
    <t>姓名</t>
  </si>
  <si>
    <t>摘要</t>
  </si>
  <si>
    <r>
      <t>合</t>
    </r>
    <r>
      <rPr>
        <b/>
        <sz val="12"/>
        <color rgb="FF000000"/>
        <rFont val="Times New Roman"/>
        <family val="1"/>
      </rPr>
      <t xml:space="preserve">    </t>
    </r>
    <r>
      <rPr>
        <b/>
        <sz val="12"/>
        <color rgb="FF000000"/>
        <rFont val="標楷體"/>
        <family val="4"/>
        <charset val="136"/>
      </rPr>
      <t>計</t>
    </r>
  </si>
  <si>
    <r>
      <t>1.</t>
    </r>
    <r>
      <rPr>
        <sz val="12"/>
        <color rgb="FF000000"/>
        <rFont val="標楷體"/>
        <family val="4"/>
        <charset val="136"/>
      </rPr>
      <t>×××</t>
    </r>
  </si>
  <si>
    <r>
      <t>2.</t>
    </r>
    <r>
      <rPr>
        <sz val="12"/>
        <color rgb="FF000000"/>
        <rFont val="標楷體"/>
        <family val="4"/>
        <charset val="136"/>
      </rPr>
      <t>×××</t>
    </r>
  </si>
  <si>
    <r>
      <t>合</t>
    </r>
    <r>
      <rPr>
        <b/>
        <sz val="12"/>
        <color rgb="FF000000"/>
        <rFont val="Times New Roman"/>
        <family val="1"/>
      </rPr>
      <t xml:space="preserve">   </t>
    </r>
    <r>
      <rPr>
        <b/>
        <sz val="12"/>
        <color rgb="FF000000"/>
        <rFont val="標楷體"/>
        <family val="4"/>
        <charset val="136"/>
      </rPr>
      <t>計</t>
    </r>
  </si>
  <si>
    <t xml:space="preserve">註1：帳務查核時應備妥下列文件備查:1.領款收據（應書明受領事由、受領人名、地址、                </t>
  </si>
  <si>
    <t xml:space="preserve">     身份證編號，由受領人簽名 或蓋章） 2.證明支付金額之文件(ex:銀行匯款單據)
</t>
  </si>
  <si>
    <t>註2：顧問任職單位同意函。</t>
  </si>
  <si>
    <t>SIIR計畫工時記錄表(112年××月)</t>
    <phoneticPr fontId="9" type="noConversion"/>
  </si>
  <si>
    <t>合計</t>
  </si>
  <si>
    <t>正常工作時數</t>
  </si>
  <si>
    <t>投入
比率</t>
  </si>
  <si>
    <t>簽名欄</t>
  </si>
  <si>
    <r>
      <t>1.</t>
    </r>
    <r>
      <rPr>
        <sz val="10"/>
        <color rgb="FF000000"/>
        <rFont val="標楷體"/>
        <family val="4"/>
        <charset val="136"/>
      </rPr>
      <t>×××</t>
    </r>
  </si>
  <si>
    <r>
      <t>2.</t>
    </r>
    <r>
      <rPr>
        <sz val="10"/>
        <color rgb="FF000000"/>
        <rFont val="標楷體"/>
        <family val="4"/>
        <charset val="136"/>
      </rPr>
      <t>×××</t>
    </r>
  </si>
  <si>
    <r>
      <t>3.</t>
    </r>
    <r>
      <rPr>
        <sz val="10"/>
        <color rgb="FF000000"/>
        <rFont val="標楷體"/>
        <family val="4"/>
        <charset val="136"/>
      </rPr>
      <t>×××</t>
    </r>
  </si>
  <si>
    <r>
      <t>4.</t>
    </r>
    <r>
      <rPr>
        <sz val="10"/>
        <color rgb="FF000000"/>
        <rFont val="標楷體"/>
        <family val="4"/>
        <charset val="136"/>
      </rPr>
      <t>×××</t>
    </r>
  </si>
  <si>
    <r>
      <t>註1</t>
    </r>
    <r>
      <rPr>
        <sz val="10"/>
        <color rgb="FF000000"/>
        <rFont val="Times New Roman"/>
        <family val="1"/>
      </rPr>
      <t>.</t>
    </r>
    <r>
      <rPr>
        <sz val="10"/>
        <color rgb="FF000000"/>
        <rFont val="標楷體"/>
        <family val="4"/>
        <charset val="136"/>
      </rPr>
      <t>請假不論事由，請假時數均不得列入本計畫投入工時計算。</t>
    </r>
  </si>
  <si>
    <r>
      <t>註2</t>
    </r>
    <r>
      <rPr>
        <sz val="10"/>
        <color rgb="FF000000"/>
        <rFont val="Times New Roman"/>
        <family val="1"/>
      </rPr>
      <t>.</t>
    </r>
    <r>
      <rPr>
        <sz val="10"/>
        <color rgb="FF000000"/>
        <rFont val="標楷體"/>
        <family val="4"/>
        <charset val="136"/>
      </rPr>
      <t>公司加班如另發加班費則上表所統計之工時不含加班時數；如採補休方式則加班時數應計入，補休時則視同請假處理。</t>
    </r>
  </si>
  <si>
    <r>
      <t>註</t>
    </r>
    <r>
      <rPr>
        <sz val="10"/>
        <color rgb="FF000000"/>
        <rFont val="Times New Roman"/>
        <family val="1"/>
      </rPr>
      <t>3.</t>
    </r>
    <r>
      <rPr>
        <sz val="10"/>
        <color rgb="FF000000"/>
        <rFont val="標楷體"/>
        <family val="4"/>
        <charset val="136"/>
      </rPr>
      <t>每月投入比率最高為</t>
    </r>
    <r>
      <rPr>
        <sz val="10"/>
        <color rgb="FF000000"/>
        <rFont val="Times New Roman"/>
        <family val="1"/>
      </rPr>
      <t>1.00</t>
    </r>
    <r>
      <rPr>
        <sz val="10"/>
        <color rgb="FF000000"/>
        <rFont val="標楷體"/>
        <family val="4"/>
        <charset val="136"/>
      </rPr>
      <t>。</t>
    </r>
  </si>
  <si>
    <r>
      <t>註4</t>
    </r>
    <r>
      <rPr>
        <sz val="10"/>
        <color rgb="FFFF0000"/>
        <rFont val="Times New Roman"/>
        <family val="1"/>
      </rPr>
      <t>.</t>
    </r>
    <r>
      <rPr>
        <sz val="10"/>
        <color rgb="FFFF0000"/>
        <rFont val="標楷體"/>
        <family val="4"/>
        <charset val="136"/>
      </rPr>
      <t>請計畫人員確認工時記錄後於簽名欄位簽名</t>
    </r>
  </si>
  <si>
    <t>SIIR計畫－消耗性器材及原材料費(112年××月)</t>
    <phoneticPr fontId="9" type="noConversion"/>
  </si>
  <si>
    <t>傳票號碼</t>
  </si>
  <si>
    <t>發票日期             (領料日期)</t>
  </si>
  <si>
    <t>發票編號         (領料單號)</t>
  </si>
  <si>
    <t>供應商</t>
  </si>
  <si>
    <t>發票品名
(註2)</t>
  </si>
  <si>
    <t>對照計畫書所列項目
(註1)</t>
  </si>
  <si>
    <t>數量</t>
  </si>
  <si>
    <t>單價(材料明細或分攤表)</t>
  </si>
  <si>
    <r>
      <t xml:space="preserve">金額
</t>
    </r>
    <r>
      <rPr>
        <b/>
        <sz val="12"/>
        <color rgb="FF000000"/>
        <rFont val="Times New Roman"/>
        <family val="1"/>
      </rPr>
      <t>(</t>
    </r>
    <r>
      <rPr>
        <b/>
        <sz val="12"/>
        <color rgb="FF000000"/>
        <rFont val="標楷體"/>
        <family val="4"/>
        <charset val="136"/>
      </rPr>
      <t>不含營業稅</t>
    </r>
    <r>
      <rPr>
        <b/>
        <sz val="12"/>
        <color rgb="FF000000"/>
        <rFont val="Times New Roman"/>
        <family val="1"/>
      </rPr>
      <t>)</t>
    </r>
  </si>
  <si>
    <t>112.4.22</t>
    <phoneticPr fontId="9" type="noConversion"/>
  </si>
  <si>
    <t>112.4.13</t>
    <phoneticPr fontId="9" type="noConversion"/>
  </si>
  <si>
    <t>AB12345678</t>
  </si>
  <si>
    <t>××</t>
  </si>
  <si>
    <t>齒輪</t>
  </si>
  <si>
    <t>112.4.24</t>
    <phoneticPr fontId="9" type="noConversion"/>
  </si>
  <si>
    <t>112.4.18</t>
    <phoneticPr fontId="9" type="noConversion"/>
  </si>
  <si>
    <t>AB13145676</t>
  </si>
  <si>
    <t>鋼材</t>
  </si>
  <si>
    <r>
      <t>合</t>
    </r>
    <r>
      <rPr>
        <b/>
        <sz val="12"/>
        <color rgb="FF000000"/>
        <rFont val="Times New Roman"/>
        <family val="1"/>
      </rPr>
      <t xml:space="preserve">                                </t>
    </r>
    <r>
      <rPr>
        <b/>
        <sz val="12"/>
        <color rgb="FF000000"/>
        <rFont val="標楷體"/>
        <family val="4"/>
        <charset val="136"/>
      </rPr>
      <t>計</t>
    </r>
  </si>
  <si>
    <t>註1：「對照計畫書所列項目」名稱需與計畫書所列之材料項目名稱一致。</t>
  </si>
  <si>
    <t>註2：「發票品名」請依發票填寫所列項目。</t>
  </si>
  <si>
    <t>註3：如屬公司共通性材料領用，發票日期、發票號碼請改填寫領料單日期、領料單號碼</t>
  </si>
  <si>
    <r>
      <t>註</t>
    </r>
    <r>
      <rPr>
        <sz val="10"/>
        <color rgb="FF000000"/>
        <rFont val="Times New Roman"/>
        <family val="1"/>
      </rPr>
      <t>4</t>
    </r>
    <r>
      <rPr>
        <sz val="10"/>
        <color rgb="FF000000"/>
        <rFont val="標楷體"/>
        <family val="4"/>
        <charset val="136"/>
      </rPr>
      <t>：營業稅不得報支。</t>
    </r>
  </si>
  <si>
    <r>
      <t>註</t>
    </r>
    <r>
      <rPr>
        <sz val="10"/>
        <color rgb="FF000000"/>
        <rFont val="Times New Roman"/>
        <family val="1"/>
      </rPr>
      <t>5</t>
    </r>
    <r>
      <rPr>
        <sz val="10"/>
        <color rgb="FF000000"/>
        <rFont val="標楷體"/>
        <family val="4"/>
        <charset val="136"/>
      </rPr>
      <t>：辦公室所需之事務性耗材不得報支。</t>
    </r>
  </si>
  <si>
    <t xml:space="preserve">註6：帳務查核時應備妥下列文件備查:1.為專案計畫採購者應提供統一發票、收據或進口結匯單據與invoice、 及內部轉帳傳票、請購單、採購單
</t>
  </si>
  <si>
    <t xml:space="preserve">     及驗收單足以證明之憑證。 2.自共通性器材領料應提供：領料單、材料明細帳或分攤表。3.涉及外幣支付時應附當時之外幣匯率表。</t>
  </si>
  <si>
    <t>SIIR計畫－設備使用費(1)---已有設備(112年××月)</t>
    <phoneticPr fontId="9" type="noConversion"/>
  </si>
  <si>
    <t>財產編號</t>
  </si>
  <si>
    <t>設備名稱</t>
  </si>
  <si>
    <t>對照計畫書所列項目</t>
  </si>
  <si>
    <t>取得日期</t>
  </si>
  <si>
    <r>
      <t xml:space="preserve">購入成本
</t>
    </r>
    <r>
      <rPr>
        <b/>
        <sz val="10"/>
        <color rgb="FF000000"/>
        <rFont val="Times New Roman"/>
        <family val="1"/>
      </rPr>
      <t>(</t>
    </r>
    <r>
      <rPr>
        <b/>
        <sz val="10"/>
        <color rgb="FF000000"/>
        <rFont val="標楷體"/>
        <family val="4"/>
        <charset val="136"/>
      </rPr>
      <t>單套</t>
    </r>
    <r>
      <rPr>
        <b/>
        <sz val="10"/>
        <color rgb="FF000000"/>
        <rFont val="Times New Roman"/>
        <family val="1"/>
      </rPr>
      <t>)</t>
    </r>
  </si>
  <si>
    <r>
      <t xml:space="preserve">套數
</t>
    </r>
    <r>
      <rPr>
        <b/>
        <sz val="10"/>
        <color rgb="FF000000"/>
        <rFont val="Times New Roman"/>
        <family val="1"/>
      </rPr>
      <t>A1</t>
    </r>
  </si>
  <si>
    <r>
      <t xml:space="preserve">投入時
單套帳面價值
（未折減餘額）
</t>
    </r>
    <r>
      <rPr>
        <b/>
        <sz val="10"/>
        <color rgb="FF000000"/>
        <rFont val="Times New Roman"/>
        <family val="1"/>
      </rPr>
      <t>A2</t>
    </r>
  </si>
  <si>
    <t>剩餘使用月數</t>
  </si>
  <si>
    <r>
      <t xml:space="preserve">每月攤提使用費
</t>
    </r>
    <r>
      <rPr>
        <b/>
        <sz val="9"/>
        <color rgb="FF000000"/>
        <rFont val="Times New Roman"/>
        <family val="1"/>
      </rPr>
      <t>A3=A1*A2*/</t>
    </r>
    <r>
      <rPr>
        <b/>
        <sz val="9"/>
        <color rgb="FF000000"/>
        <rFont val="標楷體"/>
        <family val="4"/>
        <charset val="136"/>
      </rPr>
      <t>剩餘使用月數</t>
    </r>
    <r>
      <rPr>
        <b/>
        <sz val="9"/>
        <color rgb="FF000000"/>
        <rFont val="Times New Roman"/>
        <family val="1"/>
      </rPr>
      <t xml:space="preserve">
(</t>
    </r>
    <r>
      <rPr>
        <b/>
        <sz val="9"/>
        <color rgb="FF000000"/>
        <rFont val="標楷體"/>
        <family val="4"/>
        <charset val="136"/>
      </rPr>
      <t>詳如註</t>
    </r>
    <r>
      <rPr>
        <b/>
        <sz val="9"/>
        <color rgb="FF000000"/>
        <rFont val="Times New Roman"/>
        <family val="1"/>
      </rPr>
      <t>3)</t>
    </r>
  </si>
  <si>
    <r>
      <t xml:space="preserve">本期投入比率
</t>
    </r>
    <r>
      <rPr>
        <b/>
        <sz val="10"/>
        <color rgb="FF000000"/>
        <rFont val="Times New Roman"/>
        <family val="1"/>
      </rPr>
      <t>A4</t>
    </r>
  </si>
  <si>
    <r>
      <t xml:space="preserve">本期使用費
</t>
    </r>
    <r>
      <rPr>
        <b/>
        <sz val="10"/>
        <color rgb="FF000000"/>
        <rFont val="Times New Roman"/>
        <family val="1"/>
      </rPr>
      <t>A5=A3*A4</t>
    </r>
  </si>
  <si>
    <t>(1)8800015</t>
  </si>
  <si>
    <t>成型機</t>
  </si>
  <si>
    <t>107.01.15</t>
  </si>
  <si>
    <t>(2)8900032</t>
  </si>
  <si>
    <t>磨石機</t>
  </si>
  <si>
    <t>107.07.22</t>
  </si>
  <si>
    <t>(3)8900033</t>
  </si>
  <si>
    <t>加工機</t>
  </si>
  <si>
    <t>107.07.25</t>
  </si>
  <si>
    <t>小計</t>
    <phoneticPr fontId="9" type="noConversion"/>
  </si>
  <si>
    <t>SIIR計畫－設備使用費(2)---新增設備(112年××月)</t>
    <phoneticPr fontId="9" type="noConversion"/>
  </si>
  <si>
    <r>
      <t xml:space="preserve">套數
</t>
    </r>
    <r>
      <rPr>
        <b/>
        <sz val="10"/>
        <color rgb="FF000000"/>
        <rFont val="Times New Roman"/>
        <family val="1"/>
      </rPr>
      <t>B1</t>
    </r>
  </si>
  <si>
    <r>
      <t xml:space="preserve">投入時
單套帳面價值
（未折減餘額）
</t>
    </r>
    <r>
      <rPr>
        <b/>
        <sz val="10"/>
        <color rgb="FF000000"/>
        <rFont val="Times New Roman"/>
        <family val="1"/>
      </rPr>
      <t>B2</t>
    </r>
  </si>
  <si>
    <r>
      <t xml:space="preserve">每月攤提使用費
</t>
    </r>
    <r>
      <rPr>
        <b/>
        <sz val="9"/>
        <color rgb="FF000000"/>
        <rFont val="Times New Roman"/>
        <family val="1"/>
      </rPr>
      <t>B3=B1*B2*/60</t>
    </r>
    <r>
      <rPr>
        <b/>
        <sz val="9"/>
        <color rgb="FF000000"/>
        <rFont val="Times New Roman"/>
        <family val="1"/>
      </rPr>
      <t xml:space="preserve">
(</t>
    </r>
    <r>
      <rPr>
        <b/>
        <sz val="9"/>
        <color rgb="FF000000"/>
        <rFont val="標楷體"/>
        <family val="4"/>
        <charset val="136"/>
      </rPr>
      <t>詳如註</t>
    </r>
    <r>
      <rPr>
        <b/>
        <sz val="9"/>
        <color rgb="FF000000"/>
        <rFont val="Times New Roman"/>
        <family val="1"/>
      </rPr>
      <t>3)</t>
    </r>
  </si>
  <si>
    <r>
      <t xml:space="preserve">本期投入比率
</t>
    </r>
    <r>
      <rPr>
        <b/>
        <sz val="10"/>
        <color rgb="FF000000"/>
        <rFont val="Times New Roman"/>
        <family val="1"/>
      </rPr>
      <t>B4</t>
    </r>
  </si>
  <si>
    <r>
      <t xml:space="preserve">本期使用費
</t>
    </r>
    <r>
      <rPr>
        <b/>
        <sz val="10"/>
        <color rgb="FF000000"/>
        <rFont val="Times New Roman"/>
        <family val="1"/>
      </rPr>
      <t>B5=B3*B4</t>
    </r>
  </si>
  <si>
    <t>(1)10404011</t>
  </si>
  <si>
    <t>電腦</t>
  </si>
  <si>
    <t>112.04.03</t>
    <phoneticPr fontId="9" type="noConversion"/>
  </si>
  <si>
    <t>(2)10404025</t>
  </si>
  <si>
    <t>射出機</t>
  </si>
  <si>
    <t>112.04.05</t>
    <phoneticPr fontId="9" type="noConversion"/>
  </si>
  <si>
    <t>合計</t>
    <phoneticPr fontId="9" type="noConversion"/>
  </si>
  <si>
    <r>
      <t>註</t>
    </r>
    <r>
      <rPr>
        <sz val="10"/>
        <color rgb="FF000000"/>
        <rFont val="Times New Roman"/>
        <family val="1"/>
      </rPr>
      <t>1</t>
    </r>
    <r>
      <rPr>
        <sz val="10"/>
        <color rgb="FF000000"/>
        <rFont val="標楷體"/>
        <family val="4"/>
        <charset val="136"/>
      </rPr>
      <t>：</t>
    </r>
    <r>
      <rPr>
        <sz val="10"/>
        <color rgb="FF000000"/>
        <rFont val="Times New Roman"/>
        <family val="1"/>
      </rPr>
      <t xml:space="preserve"> </t>
    </r>
    <r>
      <rPr>
        <sz val="10"/>
        <color rgb="FF000000"/>
        <rFont val="標楷體"/>
        <family val="4"/>
        <charset val="136"/>
      </rPr>
      <t>「已有設備」及「新增設備」之名稱應與計畫書所列相符並依上表分開填列。</t>
    </r>
  </si>
  <si>
    <r>
      <t>註</t>
    </r>
    <r>
      <rPr>
        <sz val="10"/>
        <color rgb="FF000000"/>
        <rFont val="Times New Roman"/>
        <family val="1"/>
      </rPr>
      <t>2</t>
    </r>
    <r>
      <rPr>
        <sz val="10"/>
        <color rgb="FF000000"/>
        <rFont val="標楷體"/>
        <family val="4"/>
        <charset val="136"/>
      </rPr>
      <t>：「本期投入比率」應依據設備使用記錄表實際投入比率一致。</t>
    </r>
  </si>
  <si>
    <t>註3：帳務查核時應備妥下列文件備查:1.新增設備-請購單、採購單、驗收單、統一發票或收據、進口報關結匯單據與INVOICE。</t>
  </si>
  <si>
    <t xml:space="preserve">     2.已有設備-財產目錄。3.研發設備使用記錄表。4.若為分攤，應附分攤表及原始憑證影本。
</t>
  </si>
  <si>
    <t>SIIR計畫設備使用記錄表(112年××月)</t>
    <phoneticPr fontId="9" type="noConversion"/>
  </si>
  <si>
    <t>正常使用時數</t>
  </si>
  <si>
    <t>已有設備</t>
  </si>
  <si>
    <t>新增設備</t>
  </si>
  <si>
    <r>
      <t>註1.當月正常使用總時數與人員上班時數相同；若設備為24小時開機者，則以24小時*當月日數，計算當月正常使用總時數</t>
    </r>
    <r>
      <rPr>
        <sz val="10"/>
        <color rgb="FFFF0000"/>
        <rFont val="標楷體"/>
        <family val="4"/>
        <charset val="136"/>
      </rPr>
      <t>。</t>
    </r>
  </si>
  <si>
    <t>註2.每月投入比率最高為1.00。</t>
  </si>
  <si>
    <t>註3.攤提設備名稱請參照計畫書所編列設備。</t>
  </si>
  <si>
    <t>SIIR計畫設備維護費---已有設備(112年××月)</t>
    <phoneticPr fontId="9" type="noConversion"/>
  </si>
  <si>
    <t>購入成本</t>
  </si>
  <si>
    <t>發票日期</t>
  </si>
  <si>
    <t>發票編號</t>
  </si>
  <si>
    <t>品名</t>
  </si>
  <si>
    <t>單位</t>
  </si>
  <si>
    <t>金額</t>
  </si>
  <si>
    <t>112.05.15</t>
    <phoneticPr fontId="9" type="noConversion"/>
  </si>
  <si>
    <t>112.05.01</t>
    <phoneticPr fontId="9" type="noConversion"/>
  </si>
  <si>
    <t>CD200102</t>
  </si>
  <si>
    <t>螺絲</t>
  </si>
  <si>
    <t>個</t>
  </si>
  <si>
    <t>112.05.22</t>
    <phoneticPr fontId="9" type="noConversion"/>
  </si>
  <si>
    <t>112.05.02</t>
    <phoneticPr fontId="9" type="noConversion"/>
  </si>
  <si>
    <t>EF200305</t>
  </si>
  <si>
    <t>模具材料</t>
  </si>
  <si>
    <t>小 計(A)</t>
  </si>
  <si>
    <t>註1：所列報之維護設備應與計畫書所列相符，並應出具維修廠商憑證，且所列維護費之金額應與原始憑證、費用分攤表相符。</t>
  </si>
  <si>
    <t>註2：營業稅不得報支。新增設備保固期間內不得列報維護費。</t>
  </si>
  <si>
    <t>註3：若屬廠商自行維修之設備，維護費不得超出原購入成本之5%。</t>
  </si>
  <si>
    <t xml:space="preserve">註4：帳務查核時應備妥下列文件備查:1.請購單、驗收單、維護合約、發票或收據等。2.屬自行維修性質者應提供「設備維修時間記錄表」
</t>
  </si>
  <si>
    <t xml:space="preserve">     及相關自行維修成本計算表。3.若為分攤，應附分攤表及原始憑證影本。4.涉及外幣支付時應附當時之外幣 匯率表。</t>
  </si>
  <si>
    <t>SIIR計畫－技術或智慧財產權購買費(112年××月)</t>
    <phoneticPr fontId="9" type="noConversion"/>
  </si>
  <si>
    <t>1.技轉(委託)項目:</t>
  </si>
  <si>
    <t>2.技轉(委託)對象：</t>
  </si>
  <si>
    <t>3.合約期間:00年00月00日~00年00月00日</t>
  </si>
  <si>
    <t>4.合約總額：</t>
  </si>
  <si>
    <t>5.付款方式：</t>
    <phoneticPr fontId="9" type="noConversion"/>
  </si>
  <si>
    <t>付款期數</t>
  </si>
  <si>
    <t>第 1 期</t>
  </si>
  <si>
    <t>AV23182456</t>
  </si>
  <si>
    <t>第 2 期</t>
  </si>
  <si>
    <t>EW86973745</t>
  </si>
  <si>
    <t>合       計</t>
  </si>
  <si>
    <t>註1：營業稅不得報支。</t>
  </si>
  <si>
    <t>註2：技術購買之對象應與計畫書所列相符，金額應與原始憑證（如：統一發票或收據）相符。</t>
  </si>
  <si>
    <t xml:space="preserve">註3：帳務查核時應備妥下列文件備查:1.技術購買契約書。(2)統一發票（或收據）、或國外之INVOICE(或RECEIPT)及匯兌水單。
         </t>
  </si>
  <si>
    <t>SIIR計畫－委託研究費(112年××月)</t>
    <phoneticPr fontId="9" type="noConversion"/>
  </si>
  <si>
    <t>5.付款方式：</t>
  </si>
  <si>
    <t>註2：委託研究之對象應與計畫書所列相符，金額應與原始憑證（如：統一發票或收據）相符。</t>
  </si>
  <si>
    <t xml:space="preserve">註3：帳務查核時應備妥下列文件備查:1.委託研究契約書。(2)統一發票（或收據）、或國外之INVOICE(或RECEIPT)及匯兌水單。
         </t>
  </si>
  <si>
    <t>SIIR計畫－委託勞務費(112年××月)</t>
    <phoneticPr fontId="9" type="noConversion"/>
  </si>
  <si>
    <t>註2：委託勞務之對象應與計畫書所列相符，金額應與原始憑證（如：統一發票或收據）相符。</t>
  </si>
  <si>
    <t xml:space="preserve">註3：帳務查核時應備妥下列文件備查:1.委託勞務契約書。(2)統一發票（或收據）、或國外之INVOICE(或RECEIPT)及匯兌水單。
         </t>
  </si>
  <si>
    <t>SIIR計畫－國內差旅費(112年××月)</t>
    <phoneticPr fontId="9" type="noConversion"/>
  </si>
  <si>
    <t>金額單元:元</t>
  </si>
  <si>
    <t>職稱</t>
  </si>
  <si>
    <t>出差期間</t>
  </si>
  <si>
    <t>天數</t>
  </si>
  <si>
    <t>地點</t>
  </si>
  <si>
    <t>事  由</t>
  </si>
  <si>
    <t>機票</t>
  </si>
  <si>
    <t>車資</t>
  </si>
  <si>
    <t>住宿費</t>
  </si>
  <si>
    <t>膳雜費</t>
  </si>
  <si>
    <t>其他</t>
  </si>
  <si>
    <t>1.×××</t>
  </si>
  <si>
    <t>經理</t>
  </si>
  <si>
    <t>3月14-15日</t>
  </si>
  <si>
    <t>塑膠中心</t>
  </si>
  <si>
    <t>討論勞務規格</t>
  </si>
  <si>
    <t>2.×××</t>
  </si>
  <si>
    <t>工程師</t>
  </si>
  <si>
    <t xml:space="preserve">    合   計</t>
  </si>
  <si>
    <t>註1：出差人員僅限本計畫計畫人員，且出差事由應與本專案計畫有關。</t>
  </si>
  <si>
    <t xml:space="preserve">註2：差旅費之膳雜費計算應不超過營利事業所得稅查核準則規定。 </t>
  </si>
  <si>
    <t xml:space="preserve">註3：帳務查核時應備妥下列文件備查:(1)搭乘飛機，應檢附機票票根或登機證存根及國際線航空機票購票證明單或旅行業代收轉付收據；
</t>
  </si>
  <si>
    <t xml:space="preserve">     其餘交通費，應檢附原始單據或旅行業代收轉付 收據。(2)乘坐輪船，應提供船票或輪船公司出具之證明。</t>
  </si>
  <si>
    <t xml:space="preserve">  　 (3)火車、汽車之車資，以經手人（即出差人）之證明為憑。但包租計程車應取具車行證明及經手人或出差人證明。(4)住宿費收據或發票。</t>
  </si>
  <si>
    <t xml:space="preserve">     (5)出差報銷單及公司差旅費報銷規定。(6)涉及外幣支付時應附當時之外幣匯率表。 
</t>
  </si>
  <si>
    <t>SIIR計畫－國外差旅費(112年××月)</t>
    <phoneticPr fontId="9" type="noConversion"/>
  </si>
  <si>
    <t>3月17-18日</t>
    <phoneticPr fontId="9" type="noConversion"/>
  </si>
  <si>
    <t>XX</t>
    <phoneticPr fontId="9" type="noConversion"/>
  </si>
  <si>
    <t>SIIR計畫－市場驗證費(112年××月)</t>
    <phoneticPr fontId="9" type="noConversion"/>
  </si>
  <si>
    <t xml:space="preserve">發票日期 </t>
  </si>
  <si>
    <t xml:space="preserve">發票編號 </t>
  </si>
  <si>
    <t>發票內容
(註2)</t>
  </si>
  <si>
    <t>單價</t>
  </si>
  <si>
    <t>金額
(不含營業稅)</t>
  </si>
  <si>
    <t>112.4.25</t>
    <phoneticPr fontId="9" type="noConversion"/>
  </si>
  <si>
    <t>合                                計</t>
  </si>
  <si>
    <t>註1：「對照計畫書所列項目」名稱需與計畫書所列之項目名稱一致。</t>
  </si>
  <si>
    <t>註2：「發票內容」請依發票填寫所列項目。</t>
  </si>
  <si>
    <t>註3：營業稅不得報支。</t>
  </si>
  <si>
    <t xml:space="preserve">註4：帳務查核時應備妥下列文件備查:1.應提供統一發票、收據或進口結匯單據與invoice。2.涉及外幣支付時應附當時之外幣匯率表。3、廣告樣張（樣張上應印有營利事業名稱
</t>
  </si>
  <si>
    <t>　　　、品牌名或與計畫有相關之資訊)。</t>
  </si>
  <si>
    <t>註5：贈送樣品或商品饋贈之項目上限不得逾本科目10%，單份不得逾新台幣500元。</t>
  </si>
  <si>
    <t>註6：贊助公益或體育活動具有廣告性質之各項費用應取得統一發票或合法憑證，並檢附載有活動名稱及營利事業名稱之相關廣告品。</t>
    <phoneticPr fontId="9" type="noConversion"/>
  </si>
  <si>
    <t>註7：活動臨時聘用人力費用須提供如人事費科目之查核資料。</t>
    <phoneticPr fontId="9" type="noConversion"/>
  </si>
  <si>
    <t>註8：活動臨時聘用人力費用，時薪不得低於政府公告最低時薪標準，且不得超過本經費科目10%。</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</si>
</sst>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76" formatCode="&quot; &quot;#,##0.00&quot; &quot;;&quot; (&quot;#,##0.00&quot;)&quot;;&quot; -&quot;00&quot; &quot;;&quot; &quot;@&quot; &quot;"/>
    <numFmt numFmtId="177" formatCode="&quot; &quot;#,##0&quot; &quot;;&quot; (&quot;#,##0&quot;)&quot;;&quot; - &quot;;&quot; &quot;@&quot; &quot;"/>
    <numFmt numFmtId="178" formatCode="&quot;NT$&quot;#,##0;[Red]&quot;-NT$&quot;#,##0"/>
    <numFmt numFmtId="179" formatCode="&quot; &quot;#,##0&quot; &quot;;&quot;-&quot;#,##0&quot; &quot;;&quot; - &quot;;&quot; &quot;@&quot; &quot;"/>
    <numFmt numFmtId="180" formatCode="0.0%"/>
    <numFmt numFmtId="181" formatCode="#,##0&quot; &quot;"/>
    <numFmt numFmtId="182" formatCode="#,##0;[Red]&quot;-&quot;#,##0"/>
    <numFmt numFmtId="183" formatCode="0.00&quot; &quot;;[Red]&quot;(&quot;0.00&quot;)&quot;"/>
  </numFmts>
  <fonts count="40" x14ac:knownFonts="1">
    <font>
      <sz val="12"/>
      <color rgb="FF000000"/>
      <name val="Times New Roman"/>
      <family val="1"/>
    </font>
    <font>
      <sz val="12"/>
      <color rgb="FF000000"/>
      <name val="Times New Roman"/>
      <family val="1"/>
    </font>
    <font>
      <sz val="10"/>
      <color rgb="FF000000"/>
      <name val="MS Sans Serif"/>
      <family val="2"/>
    </font>
    <font>
      <b/>
      <sz val="16"/>
      <color rgb="FF000000"/>
      <name val="標楷體"/>
      <family val="4"/>
      <charset val="136"/>
    </font>
    <font>
      <sz val="10"/>
      <color rgb="FF000000"/>
      <name val="標楷體"/>
      <family val="4"/>
      <charset val="136"/>
    </font>
    <font>
      <b/>
      <sz val="12"/>
      <color rgb="FF000000"/>
      <name val="標楷體"/>
      <family val="4"/>
      <charset val="136"/>
    </font>
    <font>
      <sz val="12"/>
      <color rgb="FF000000"/>
      <name val="標楷體"/>
      <family val="4"/>
      <charset val="136"/>
    </font>
    <font>
      <b/>
      <sz val="10"/>
      <color rgb="FF000000"/>
      <name val="標楷體"/>
      <family val="4"/>
      <charset val="136"/>
    </font>
    <font>
      <sz val="13"/>
      <color rgb="FF000000"/>
      <name val="標楷體"/>
      <family val="4"/>
      <charset val="136"/>
    </font>
    <font>
      <sz val="9"/>
      <name val="細明體"/>
      <family val="3"/>
      <charset val="136"/>
    </font>
    <font>
      <b/>
      <sz val="18"/>
      <color rgb="FF000000"/>
      <name val="標楷體"/>
      <family val="4"/>
      <charset val="136"/>
    </font>
    <font>
      <sz val="18"/>
      <color rgb="FF000000"/>
      <name val="Times New Roman"/>
      <family val="1"/>
    </font>
    <font>
      <sz val="18"/>
      <color rgb="FF000000"/>
      <name val="標楷體"/>
      <family val="4"/>
      <charset val="136"/>
    </font>
    <font>
      <b/>
      <sz val="18"/>
      <color rgb="FF000000"/>
      <name val="Times New Roman"/>
      <family val="1"/>
    </font>
    <font>
      <sz val="16"/>
      <color rgb="FF000000"/>
      <name val="標楷體"/>
      <family val="4"/>
      <charset val="136"/>
    </font>
    <font>
      <sz val="18"/>
      <color rgb="FFFF0000"/>
      <name val="標楷體"/>
      <family val="4"/>
      <charset val="136"/>
    </font>
    <font>
      <sz val="14"/>
      <color rgb="FF000000"/>
      <name val="標楷體"/>
      <family val="4"/>
      <charset val="136"/>
    </font>
    <font>
      <b/>
      <sz val="12"/>
      <color rgb="FF000000"/>
      <name val="細明體"/>
      <family val="3"/>
      <charset val="136"/>
    </font>
    <font>
      <b/>
      <sz val="12"/>
      <color rgb="FF000000"/>
      <name val="Times New Roman"/>
      <family val="1"/>
    </font>
    <font>
      <b/>
      <sz val="12"/>
      <color rgb="FFFF0000"/>
      <name val="標楷體"/>
      <family val="4"/>
      <charset val="136"/>
    </font>
    <font>
      <sz val="10"/>
      <color rgb="FF000000"/>
      <name val="Times New Roman"/>
      <family val="1"/>
    </font>
    <font>
      <sz val="13"/>
      <color rgb="FF000000"/>
      <name val="Times New Roman"/>
      <family val="1"/>
    </font>
    <font>
      <b/>
      <sz val="14"/>
      <color rgb="FF000000"/>
      <name val="標楷體"/>
      <family val="4"/>
      <charset val="136"/>
    </font>
    <font>
      <sz val="8"/>
      <color rgb="FF000000"/>
      <name val="標楷體"/>
      <family val="4"/>
      <charset val="136"/>
    </font>
    <font>
      <sz val="10"/>
      <color rgb="FFFF0000"/>
      <name val="標楷體"/>
      <family val="4"/>
      <charset val="136"/>
    </font>
    <font>
      <b/>
      <sz val="10"/>
      <color rgb="FF000000"/>
      <name val="Times New Roman"/>
      <family val="1"/>
    </font>
    <font>
      <sz val="8"/>
      <color rgb="FF000000"/>
      <name val="Times New Roman"/>
      <family val="1"/>
    </font>
    <font>
      <sz val="10"/>
      <color rgb="FFFF0000"/>
      <name val="Times New Roman"/>
      <family val="1"/>
    </font>
    <font>
      <b/>
      <sz val="14"/>
      <color rgb="FF000000"/>
      <name val="細明體"/>
      <family val="3"/>
      <charset val="136"/>
    </font>
    <font>
      <b/>
      <sz val="9"/>
      <color rgb="FF000000"/>
      <name val="標楷體"/>
      <family val="4"/>
      <charset val="136"/>
    </font>
    <font>
      <b/>
      <sz val="9"/>
      <color rgb="FF000000"/>
      <name val="Times New Roman"/>
      <family val="1"/>
    </font>
    <font>
      <b/>
      <sz val="12"/>
      <color rgb="FF0000FF"/>
      <name val="標楷體"/>
      <family val="4"/>
      <charset val="136"/>
    </font>
    <font>
      <sz val="9"/>
      <color indexed="81"/>
      <name val="Tahoma"/>
      <family val="2"/>
    </font>
    <font>
      <b/>
      <sz val="9"/>
      <color indexed="81"/>
      <name val="Tahoma"/>
      <family val="2"/>
    </font>
    <font>
      <b/>
      <sz val="9"/>
      <color indexed="81"/>
      <name val="細明體"/>
      <family val="3"/>
      <charset val="136"/>
    </font>
    <font>
      <sz val="9"/>
      <color indexed="81"/>
      <name val="細明體"/>
      <family val="3"/>
      <charset val="136"/>
    </font>
    <font>
      <b/>
      <sz val="12"/>
      <color indexed="81"/>
      <name val="細明體"/>
      <family val="3"/>
      <charset val="136"/>
    </font>
    <font>
      <b/>
      <sz val="12"/>
      <color indexed="81"/>
      <name val="Tahoma"/>
      <family val="2"/>
    </font>
    <font>
      <sz val="12"/>
      <color indexed="81"/>
      <name val="Tahoma"/>
      <family val="2"/>
    </font>
    <font>
      <sz val="12"/>
      <color indexed="81"/>
      <name val="細明體"/>
      <family val="3"/>
      <charset val="136"/>
    </font>
  </fonts>
  <fills count="5">
    <fill>
      <patternFill patternType="none"/>
    </fill>
    <fill>
      <patternFill patternType="gray125"/>
    </fill>
    <fill>
      <patternFill patternType="solid">
        <fgColor rgb="FFCCFFCC"/>
        <bgColor rgb="FFCCFFCC"/>
      </patternFill>
    </fill>
    <fill>
      <patternFill patternType="solid">
        <fgColor rgb="FFCCFFCC"/>
        <bgColor indexed="64"/>
      </patternFill>
    </fill>
    <fill>
      <patternFill patternType="solid">
        <fgColor theme="8" tint="0.59999389629810485"/>
        <bgColor indexed="64"/>
      </patternFill>
    </fill>
  </fills>
  <borders count="4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diagonal/>
    </border>
    <border>
      <left/>
      <right/>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medium">
        <color rgb="FF000000"/>
      </top>
      <bottom/>
      <diagonal/>
    </border>
    <border>
      <left style="thin">
        <color rgb="FF000000"/>
      </left>
      <right/>
      <top style="medium">
        <color rgb="FF000000"/>
      </top>
      <bottom/>
      <diagonal/>
    </border>
    <border>
      <left style="thin">
        <color rgb="FF000000"/>
      </left>
      <right style="medium">
        <color rgb="FF000000"/>
      </right>
      <top style="medium">
        <color rgb="FF000000"/>
      </top>
      <bottom/>
      <diagonal/>
    </border>
    <border>
      <left style="medium">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right/>
      <top/>
      <bottom style="thin">
        <color rgb="FF000000"/>
      </bottom>
      <diagonal/>
    </border>
    <border>
      <left style="medium">
        <color rgb="FF000000"/>
      </left>
      <right/>
      <top style="medium">
        <color rgb="FF000000"/>
      </top>
      <bottom style="medium">
        <color rgb="FF000000"/>
      </bottom>
      <diagonal/>
    </border>
    <border>
      <left style="medium">
        <color rgb="FF000000"/>
      </left>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style="thin">
        <color rgb="FF000000"/>
      </left>
      <right/>
      <top/>
      <bottom style="medium">
        <color rgb="FF000000"/>
      </bottom>
      <diagonal/>
    </border>
    <border>
      <left style="medium">
        <color rgb="FF000000"/>
      </left>
      <right/>
      <top/>
      <bottom style="medium">
        <color rgb="FF000000"/>
      </bottom>
      <diagonal/>
    </border>
    <border>
      <left style="thin">
        <color rgb="FF000000"/>
      </left>
      <right style="medium">
        <color rgb="FF000000"/>
      </right>
      <top/>
      <bottom style="medium">
        <color rgb="FF000000"/>
      </bottom>
      <diagonal/>
    </border>
    <border>
      <left style="thin">
        <color rgb="FF000000"/>
      </left>
      <right/>
      <top style="medium">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style="thin">
        <color rgb="FF000000"/>
      </left>
      <right/>
      <top style="thin">
        <color rgb="FF000000"/>
      </top>
      <bottom style="medium">
        <color rgb="FF000000"/>
      </bottom>
      <diagonal/>
    </border>
  </borders>
  <cellStyleXfs count="7">
    <xf numFmtId="0" fontId="0" fillId="0" borderId="0"/>
    <xf numFmtId="176" fontId="1" fillId="0" borderId="0" applyFont="0" applyFill="0" applyBorder="0" applyAlignment="0" applyProtection="0"/>
    <xf numFmtId="177" fontId="1" fillId="0" borderId="0" applyFont="0" applyFill="0" applyBorder="0" applyAlignment="0" applyProtection="0"/>
    <xf numFmtId="0" fontId="1" fillId="0" borderId="0" applyNumberFormat="0" applyFont="0" applyBorder="0" applyProtection="0"/>
    <xf numFmtId="0" fontId="2" fillId="0" borderId="0" applyNumberFormat="0" applyBorder="0" applyProtection="0"/>
    <xf numFmtId="0" fontId="2" fillId="0" borderId="0" applyNumberFormat="0" applyBorder="0" applyProtection="0"/>
    <xf numFmtId="178" fontId="1" fillId="0" borderId="0" applyFont="0" applyFill="0" applyBorder="0" applyAlignment="0" applyProtection="0"/>
  </cellStyleXfs>
  <cellXfs count="366">
    <xf numFmtId="0" fontId="0" fillId="0" borderId="0" xfId="0"/>
    <xf numFmtId="0" fontId="4" fillId="0" borderId="0" xfId="0" applyFont="1"/>
    <xf numFmtId="0" fontId="5" fillId="0" borderId="0" xfId="0" applyFont="1"/>
    <xf numFmtId="0" fontId="6" fillId="0" borderId="0" xfId="0" applyFont="1"/>
    <xf numFmtId="0" fontId="4" fillId="0" borderId="0" xfId="0" applyFont="1" applyAlignment="1">
      <alignment vertical="center"/>
    </xf>
    <xf numFmtId="0" fontId="0" fillId="0" borderId="5" xfId="0" applyBorder="1"/>
    <xf numFmtId="0" fontId="6" fillId="0" borderId="5" xfId="0" applyFont="1" applyBorder="1" applyAlignment="1">
      <alignment horizontal="right"/>
    </xf>
    <xf numFmtId="0" fontId="5" fillId="0" borderId="11" xfId="0" applyFont="1" applyBorder="1" applyAlignment="1">
      <alignment horizontal="center" vertical="center"/>
    </xf>
    <xf numFmtId="0" fontId="4" fillId="0" borderId="1" xfId="0" applyFont="1" applyBorder="1" applyAlignment="1">
      <alignment horizontal="center" vertical="center"/>
    </xf>
    <xf numFmtId="0" fontId="4" fillId="0" borderId="1" xfId="0" applyFont="1" applyBorder="1" applyAlignment="1">
      <alignment horizontal="justify"/>
    </xf>
    <xf numFmtId="0" fontId="5" fillId="0" borderId="26" xfId="0" applyFont="1" applyBorder="1" applyAlignment="1">
      <alignment horizontal="center" vertical="center"/>
    </xf>
    <xf numFmtId="0" fontId="5" fillId="0" borderId="10" xfId="0" applyFont="1" applyBorder="1" applyAlignment="1">
      <alignment horizontal="center" vertical="center"/>
    </xf>
    <xf numFmtId="0" fontId="5" fillId="0" borderId="10" xfId="0" applyFont="1" applyBorder="1" applyAlignment="1">
      <alignment horizontal="center" vertical="center" wrapText="1"/>
    </xf>
    <xf numFmtId="0" fontId="5" fillId="0" borderId="11" xfId="0" applyFont="1" applyBorder="1" applyAlignment="1">
      <alignment horizontal="center" vertical="center" wrapText="1"/>
    </xf>
    <xf numFmtId="0" fontId="4" fillId="0" borderId="0" xfId="0" applyFont="1" applyProtection="1">
      <protection locked="0"/>
    </xf>
    <xf numFmtId="0" fontId="6" fillId="0" borderId="0" xfId="0" applyFont="1" applyProtection="1">
      <protection locked="0"/>
    </xf>
    <xf numFmtId="0" fontId="4" fillId="0" borderId="0" xfId="0" applyFont="1" applyAlignment="1" applyProtection="1">
      <alignment vertical="center"/>
      <protection locked="0"/>
    </xf>
    <xf numFmtId="177" fontId="4" fillId="0" borderId="0" xfId="2" applyFont="1" applyBorder="1" applyProtection="1">
      <protection locked="0"/>
    </xf>
    <xf numFmtId="0" fontId="8" fillId="0" borderId="0" xfId="3" applyFont="1" applyProtection="1">
      <protection locked="0"/>
    </xf>
    <xf numFmtId="0" fontId="5" fillId="0" borderId="0" xfId="4" applyFont="1" applyAlignment="1" applyProtection="1">
      <alignment horizontal="left"/>
    </xf>
    <xf numFmtId="177" fontId="4" fillId="0" borderId="0" xfId="2" applyFont="1" applyProtection="1"/>
    <xf numFmtId="0" fontId="5" fillId="0" borderId="0" xfId="5" applyFont="1" applyAlignment="1" applyProtection="1">
      <alignment horizontal="right"/>
    </xf>
    <xf numFmtId="0" fontId="6" fillId="0" borderId="1" xfId="0" applyFont="1" applyBorder="1" applyAlignment="1">
      <alignment horizontal="center" vertical="center"/>
    </xf>
    <xf numFmtId="0" fontId="5" fillId="0" borderId="1" xfId="0" applyFont="1" applyBorder="1" applyAlignment="1">
      <alignment horizontal="center" vertical="center"/>
    </xf>
    <xf numFmtId="177" fontId="5" fillId="0" borderId="2" xfId="2" applyFont="1" applyBorder="1" applyAlignment="1" applyProtection="1">
      <alignment horizontal="center" vertical="center"/>
    </xf>
    <xf numFmtId="0" fontId="6" fillId="0" borderId="1" xfId="0" applyFont="1" applyBorder="1" applyAlignment="1">
      <alignment horizontal="left" vertical="center"/>
    </xf>
    <xf numFmtId="179" fontId="5" fillId="0" borderId="1" xfId="2" applyNumberFormat="1" applyFont="1" applyFill="1" applyBorder="1" applyAlignment="1" applyProtection="1">
      <alignment vertical="center"/>
    </xf>
    <xf numFmtId="177" fontId="5" fillId="0" borderId="1" xfId="2" applyFont="1" applyFill="1" applyBorder="1" applyAlignment="1" applyProtection="1">
      <alignment vertical="center"/>
    </xf>
    <xf numFmtId="182" fontId="5" fillId="0" borderId="1" xfId="2" applyNumberFormat="1" applyFont="1" applyBorder="1" applyAlignment="1" applyProtection="1">
      <alignment vertical="center"/>
    </xf>
    <xf numFmtId="177" fontId="5" fillId="0" borderId="1" xfId="0" applyNumberFormat="1" applyFont="1" applyBorder="1" applyAlignment="1">
      <alignment vertical="center"/>
    </xf>
    <xf numFmtId="177" fontId="6" fillId="0" borderId="1" xfId="2" applyFont="1" applyFill="1" applyBorder="1" applyAlignment="1" applyProtection="1">
      <alignment vertical="center"/>
    </xf>
    <xf numFmtId="0" fontId="6" fillId="0" borderId="3" xfId="0" applyFont="1" applyBorder="1" applyAlignment="1">
      <alignment vertical="center"/>
    </xf>
    <xf numFmtId="179" fontId="6" fillId="0" borderId="1" xfId="2" applyNumberFormat="1" applyFont="1" applyFill="1" applyBorder="1" applyAlignment="1" applyProtection="1">
      <alignment vertical="center"/>
    </xf>
    <xf numFmtId="0" fontId="8" fillId="0" borderId="0" xfId="3" applyFont="1" applyProtection="1"/>
    <xf numFmtId="177" fontId="4" fillId="0" borderId="0" xfId="2" applyFont="1" applyBorder="1" applyProtection="1"/>
    <xf numFmtId="179" fontId="6" fillId="2" borderId="1" xfId="2" applyNumberFormat="1" applyFont="1" applyFill="1" applyBorder="1" applyAlignment="1" applyProtection="1">
      <alignment vertical="center"/>
      <protection locked="0"/>
    </xf>
    <xf numFmtId="182" fontId="6" fillId="2" borderId="1" xfId="2" applyNumberFormat="1" applyFont="1" applyFill="1" applyBorder="1" applyAlignment="1" applyProtection="1">
      <alignment vertical="center"/>
      <protection locked="0"/>
    </xf>
    <xf numFmtId="177" fontId="4" fillId="0" borderId="0" xfId="2" applyFont="1" applyProtection="1">
      <protection locked="0"/>
    </xf>
    <xf numFmtId="177" fontId="6" fillId="4" borderId="1" xfId="2" applyFont="1" applyFill="1" applyBorder="1" applyAlignment="1" applyProtection="1">
      <alignment vertical="center"/>
      <protection locked="0"/>
    </xf>
    <xf numFmtId="182" fontId="6" fillId="0" borderId="0" xfId="2" applyNumberFormat="1" applyFont="1" applyAlignment="1" applyProtection="1">
      <alignment vertical="center"/>
      <protection locked="0"/>
    </xf>
    <xf numFmtId="0" fontId="8" fillId="3" borderId="0" xfId="5" applyFont="1" applyFill="1" applyProtection="1">
      <protection locked="0"/>
    </xf>
    <xf numFmtId="0" fontId="8" fillId="3" borderId="0" xfId="3" applyFont="1" applyFill="1" applyProtection="1">
      <protection locked="0"/>
    </xf>
    <xf numFmtId="0" fontId="8" fillId="3" borderId="0" xfId="5" applyFont="1" applyFill="1" applyAlignment="1" applyProtection="1">
      <alignment horizontal="right"/>
      <protection locked="0"/>
    </xf>
    <xf numFmtId="180" fontId="8" fillId="3" borderId="0" xfId="5" applyNumberFormat="1" applyFont="1" applyFill="1" applyProtection="1">
      <protection locked="0"/>
    </xf>
    <xf numFmtId="177" fontId="4" fillId="0" borderId="0" xfId="0" applyNumberFormat="1" applyFont="1" applyAlignment="1" applyProtection="1">
      <alignment vertical="center"/>
      <protection locked="0"/>
    </xf>
    <xf numFmtId="179" fontId="4" fillId="0" borderId="0" xfId="0" applyNumberFormat="1" applyFont="1" applyAlignment="1" applyProtection="1">
      <alignment vertical="center"/>
      <protection locked="0"/>
    </xf>
    <xf numFmtId="182" fontId="5" fillId="0" borderId="1" xfId="2" applyNumberFormat="1" applyFont="1" applyFill="1" applyBorder="1" applyAlignment="1" applyProtection="1">
      <alignment vertical="center"/>
    </xf>
    <xf numFmtId="182" fontId="6" fillId="0" borderId="1" xfId="2" applyNumberFormat="1" applyFont="1" applyFill="1" applyBorder="1" applyAlignment="1" applyProtection="1">
      <alignment vertical="center"/>
    </xf>
    <xf numFmtId="0" fontId="6" fillId="0" borderId="0" xfId="0" applyFont="1" applyAlignment="1" applyProtection="1">
      <alignment vertical="center"/>
      <protection locked="0"/>
    </xf>
    <xf numFmtId="177" fontId="6" fillId="0" borderId="1" xfId="2" applyFont="1" applyFill="1" applyBorder="1" applyAlignment="1" applyProtection="1">
      <alignment vertical="center"/>
      <protection locked="0"/>
    </xf>
    <xf numFmtId="0" fontId="10" fillId="0" borderId="0" xfId="0" applyFont="1" applyAlignment="1" applyProtection="1">
      <alignment horizontal="center"/>
      <protection locked="0"/>
    </xf>
    <xf numFmtId="0" fontId="11" fillId="0" borderId="0" xfId="0" applyFont="1" applyProtection="1">
      <protection locked="0"/>
    </xf>
    <xf numFmtId="0" fontId="11" fillId="0" borderId="5" xfId="0" applyFont="1" applyBorder="1" applyProtection="1">
      <protection locked="0"/>
    </xf>
    <xf numFmtId="0" fontId="12" fillId="0" borderId="5" xfId="0" applyFont="1" applyBorder="1" applyProtection="1">
      <protection locked="0"/>
    </xf>
    <xf numFmtId="0" fontId="10" fillId="0" borderId="0" xfId="0" applyFont="1" applyProtection="1">
      <protection locked="0"/>
    </xf>
    <xf numFmtId="0" fontId="13" fillId="0" borderId="0" xfId="0" applyFont="1" applyAlignment="1" applyProtection="1">
      <alignment horizontal="center" vertical="center" wrapText="1"/>
      <protection locked="0"/>
    </xf>
    <xf numFmtId="0" fontId="13" fillId="0" borderId="0" xfId="0" applyFont="1" applyProtection="1">
      <protection locked="0"/>
    </xf>
    <xf numFmtId="0" fontId="11" fillId="0" borderId="15" xfId="0" applyFont="1" applyBorder="1" applyAlignment="1" applyProtection="1">
      <alignment horizontal="left"/>
      <protection locked="0"/>
    </xf>
    <xf numFmtId="179" fontId="11" fillId="2" borderId="16" xfId="0" applyNumberFormat="1" applyFont="1" applyFill="1" applyBorder="1" applyProtection="1">
      <protection locked="0"/>
    </xf>
    <xf numFmtId="179" fontId="11" fillId="0" borderId="16" xfId="0" applyNumberFormat="1" applyFont="1" applyBorder="1" applyProtection="1">
      <protection locked="0"/>
    </xf>
    <xf numFmtId="176" fontId="11" fillId="2" borderId="16" xfId="1" applyFont="1" applyFill="1" applyBorder="1" applyProtection="1">
      <protection locked="0"/>
    </xf>
    <xf numFmtId="179" fontId="11" fillId="0" borderId="17" xfId="0" applyNumberFormat="1" applyFont="1" applyBorder="1" applyProtection="1">
      <protection locked="0"/>
    </xf>
    <xf numFmtId="179" fontId="11" fillId="2" borderId="1" xfId="0" applyNumberFormat="1" applyFont="1" applyFill="1" applyBorder="1" applyProtection="1">
      <protection locked="0"/>
    </xf>
    <xf numFmtId="179" fontId="11" fillId="0" borderId="1" xfId="0" applyNumberFormat="1" applyFont="1" applyBorder="1" applyProtection="1">
      <protection locked="0"/>
    </xf>
    <xf numFmtId="2" fontId="11" fillId="2" borderId="16" xfId="0" applyNumberFormat="1" applyFont="1" applyFill="1" applyBorder="1" applyProtection="1">
      <protection locked="0"/>
    </xf>
    <xf numFmtId="0" fontId="11" fillId="0" borderId="15" xfId="0" applyFont="1" applyBorder="1" applyProtection="1">
      <protection locked="0"/>
    </xf>
    <xf numFmtId="179" fontId="11" fillId="0" borderId="19" xfId="0" applyNumberFormat="1" applyFont="1" applyBorder="1" applyAlignment="1" applyProtection="1">
      <alignment horizontal="left"/>
      <protection locked="0"/>
    </xf>
    <xf numFmtId="179" fontId="11" fillId="0" borderId="20" xfId="0" applyNumberFormat="1" applyFont="1" applyBorder="1" applyAlignment="1" applyProtection="1">
      <alignment horizontal="right"/>
      <protection locked="0"/>
    </xf>
    <xf numFmtId="179" fontId="11" fillId="0" borderId="0" xfId="0" applyNumberFormat="1" applyFont="1" applyAlignment="1" applyProtection="1">
      <alignment horizontal="left"/>
      <protection locked="0"/>
    </xf>
    <xf numFmtId="0" fontId="14" fillId="0" borderId="0" xfId="0" applyFont="1" applyProtection="1">
      <protection locked="0"/>
    </xf>
    <xf numFmtId="179" fontId="14" fillId="0" borderId="0" xfId="0" applyNumberFormat="1" applyFont="1" applyProtection="1">
      <protection locked="0"/>
    </xf>
    <xf numFmtId="0" fontId="15" fillId="0" borderId="0" xfId="0" applyFont="1" applyAlignment="1" applyProtection="1">
      <alignment horizontal="left" vertical="top" wrapText="1"/>
      <protection locked="0"/>
    </xf>
    <xf numFmtId="0" fontId="16" fillId="0" borderId="0" xfId="3" applyFont="1" applyProtection="1">
      <protection locked="0"/>
    </xf>
    <xf numFmtId="0" fontId="11" fillId="0" borderId="0" xfId="5" applyFont="1" applyAlignment="1" applyProtection="1">
      <alignment horizontal="right"/>
      <protection locked="0"/>
    </xf>
    <xf numFmtId="0" fontId="11" fillId="0" borderId="0" xfId="3" applyFont="1" applyProtection="1">
      <protection locked="0"/>
    </xf>
    <xf numFmtId="179" fontId="11" fillId="0" borderId="0" xfId="0" applyNumberFormat="1" applyFont="1" applyProtection="1">
      <protection locked="0"/>
    </xf>
    <xf numFmtId="179" fontId="11" fillId="0" borderId="0" xfId="3" applyNumberFormat="1" applyFont="1" applyProtection="1">
      <protection locked="0"/>
    </xf>
    <xf numFmtId="0" fontId="10" fillId="0" borderId="6" xfId="0" applyFont="1" applyBorder="1"/>
    <xf numFmtId="0" fontId="10" fillId="0" borderId="7" xfId="0" applyFont="1" applyBorder="1"/>
    <xf numFmtId="0" fontId="10" fillId="0" borderId="6" xfId="0" applyFont="1" applyBorder="1" applyAlignment="1">
      <alignment horizontal="center" vertical="center" wrapText="1"/>
    </xf>
    <xf numFmtId="0" fontId="10" fillId="0" borderId="10" xfId="0" applyFont="1" applyBorder="1" applyAlignment="1">
      <alignment horizontal="center" vertical="center" wrapText="1"/>
    </xf>
    <xf numFmtId="0" fontId="10" fillId="0" borderId="11" xfId="0" applyFont="1" applyBorder="1" applyAlignment="1">
      <alignment horizontal="center" vertical="center" wrapText="1"/>
    </xf>
    <xf numFmtId="0" fontId="13" fillId="0" borderId="12" xfId="0" applyFont="1" applyBorder="1" applyAlignment="1">
      <alignment horizontal="center" vertical="center"/>
    </xf>
    <xf numFmtId="0" fontId="13" fillId="0" borderId="13" xfId="0" applyFont="1" applyBorder="1" applyAlignment="1">
      <alignment horizontal="center" vertical="center"/>
    </xf>
    <xf numFmtId="0" fontId="13" fillId="0" borderId="13" xfId="0" applyFont="1" applyBorder="1" applyAlignment="1">
      <alignment horizontal="center" vertical="center" wrapText="1"/>
    </xf>
    <xf numFmtId="0" fontId="13" fillId="0" borderId="14" xfId="0" applyFont="1" applyBorder="1" applyAlignment="1">
      <alignment horizontal="center" vertical="center" wrapText="1"/>
    </xf>
    <xf numFmtId="0" fontId="12" fillId="0" borderId="0" xfId="0" applyFont="1" applyProtection="1">
      <protection locked="0"/>
    </xf>
    <xf numFmtId="0" fontId="10" fillId="0" borderId="0" xfId="0" applyFont="1" applyAlignment="1" applyProtection="1">
      <alignment horizontal="center" vertical="center" wrapText="1"/>
      <protection locked="0"/>
    </xf>
    <xf numFmtId="0" fontId="12" fillId="0" borderId="17" xfId="0" applyFont="1" applyBorder="1" applyProtection="1">
      <protection locked="0"/>
    </xf>
    <xf numFmtId="179" fontId="12" fillId="0" borderId="19" xfId="0" applyNumberFormat="1" applyFont="1" applyBorder="1" applyAlignment="1" applyProtection="1">
      <alignment horizontal="left"/>
      <protection locked="0"/>
    </xf>
    <xf numFmtId="179" fontId="12" fillId="0" borderId="19" xfId="0" applyNumberFormat="1" applyFont="1" applyBorder="1" applyAlignment="1" applyProtection="1">
      <alignment horizontal="right"/>
      <protection locked="0"/>
    </xf>
    <xf numFmtId="0" fontId="12" fillId="0" borderId="20" xfId="0" applyFont="1" applyBorder="1" applyProtection="1">
      <protection locked="0"/>
    </xf>
    <xf numFmtId="179" fontId="12" fillId="0" borderId="0" xfId="0" applyNumberFormat="1" applyFont="1" applyAlignment="1" applyProtection="1">
      <alignment horizontal="left"/>
      <protection locked="0"/>
    </xf>
    <xf numFmtId="0" fontId="8" fillId="0" borderId="0" xfId="5" applyFont="1" applyAlignment="1" applyProtection="1">
      <alignment horizontal="right"/>
      <protection locked="0"/>
    </xf>
    <xf numFmtId="180" fontId="8" fillId="0" borderId="0" xfId="5" applyNumberFormat="1" applyFont="1" applyProtection="1">
      <protection locked="0"/>
    </xf>
    <xf numFmtId="179" fontId="12" fillId="0" borderId="0" xfId="0" applyNumberFormat="1" applyFont="1" applyProtection="1">
      <protection locked="0"/>
    </xf>
    <xf numFmtId="0" fontId="12" fillId="0" borderId="0" xfId="5" applyFont="1" applyAlignment="1" applyProtection="1">
      <alignment horizontal="right"/>
      <protection locked="0"/>
    </xf>
    <xf numFmtId="0" fontId="12" fillId="0" borderId="0" xfId="3" applyFont="1" applyProtection="1">
      <protection locked="0"/>
    </xf>
    <xf numFmtId="179" fontId="12" fillId="0" borderId="0" xfId="3" applyNumberFormat="1" applyFont="1" applyProtection="1">
      <protection locked="0"/>
    </xf>
    <xf numFmtId="180" fontId="12" fillId="0" borderId="0" xfId="5" applyNumberFormat="1" applyFont="1" applyProtection="1">
      <protection locked="0"/>
    </xf>
    <xf numFmtId="0" fontId="12" fillId="0" borderId="0" xfId="0" applyFont="1"/>
    <xf numFmtId="0" fontId="10" fillId="0" borderId="21" xfId="0" applyFont="1" applyBorder="1" applyAlignment="1">
      <alignment horizontal="center" vertical="center" wrapText="1"/>
    </xf>
    <xf numFmtId="0" fontId="10" fillId="0" borderId="22" xfId="0" applyFont="1" applyBorder="1" applyAlignment="1">
      <alignment vertical="center" wrapText="1"/>
    </xf>
    <xf numFmtId="0" fontId="10" fillId="0" borderId="23" xfId="0" applyFont="1" applyBorder="1" applyAlignment="1">
      <alignment horizontal="center" vertical="center" wrapText="1"/>
    </xf>
    <xf numFmtId="0" fontId="0" fillId="0" borderId="0" xfId="0" applyProtection="1">
      <protection locked="0"/>
    </xf>
    <xf numFmtId="0" fontId="0" fillId="0" borderId="0" xfId="0" applyAlignment="1" applyProtection="1">
      <alignment vertical="center"/>
      <protection locked="0"/>
    </xf>
    <xf numFmtId="181" fontId="0" fillId="0" borderId="19" xfId="0" applyNumberFormat="1" applyBorder="1" applyProtection="1">
      <protection locked="0"/>
    </xf>
    <xf numFmtId="181" fontId="0" fillId="0" borderId="20" xfId="0" applyNumberFormat="1" applyBorder="1" applyProtection="1">
      <protection locked="0"/>
    </xf>
    <xf numFmtId="0" fontId="20" fillId="0" borderId="0" xfId="0" applyFont="1" applyProtection="1">
      <protection locked="0"/>
    </xf>
    <xf numFmtId="0" fontId="16" fillId="0" borderId="0" xfId="0" applyFont="1" applyProtection="1">
      <protection locked="0"/>
    </xf>
    <xf numFmtId="0" fontId="21" fillId="0" borderId="0" xfId="5" applyFont="1" applyAlignment="1" applyProtection="1">
      <alignment horizontal="right"/>
      <protection locked="0"/>
    </xf>
    <xf numFmtId="0" fontId="21" fillId="0" borderId="0" xfId="3" applyFont="1" applyProtection="1">
      <protection locked="0"/>
    </xf>
    <xf numFmtId="0" fontId="17" fillId="0" borderId="7" xfId="0" applyFont="1" applyBorder="1" applyAlignment="1">
      <alignment horizontal="center" vertical="center"/>
    </xf>
    <xf numFmtId="0" fontId="19" fillId="0" borderId="15" xfId="0" applyFont="1" applyBorder="1" applyAlignment="1">
      <alignment horizontal="center"/>
    </xf>
    <xf numFmtId="0" fontId="0" fillId="0" borderId="1" xfId="0" applyBorder="1"/>
    <xf numFmtId="0" fontId="0" fillId="0" borderId="17" xfId="0" applyBorder="1"/>
    <xf numFmtId="0" fontId="23" fillId="0" borderId="1" xfId="0" applyFont="1" applyBorder="1" applyAlignment="1" applyProtection="1">
      <alignment horizontal="center" vertical="center"/>
      <protection locked="0"/>
    </xf>
    <xf numFmtId="0" fontId="6" fillId="0" borderId="0" xfId="0" applyFont="1" applyAlignment="1" applyProtection="1">
      <alignment horizontal="center" vertical="center"/>
      <protection locked="0"/>
    </xf>
    <xf numFmtId="0" fontId="26" fillId="0" borderId="1" xfId="0" applyFont="1" applyBorder="1" applyAlignment="1" applyProtection="1">
      <alignment horizontal="left"/>
      <protection locked="0"/>
    </xf>
    <xf numFmtId="0" fontId="0" fillId="0" borderId="0" xfId="0" applyAlignment="1" applyProtection="1">
      <alignment horizontal="left"/>
      <protection locked="0"/>
    </xf>
    <xf numFmtId="0" fontId="20" fillId="2" borderId="1" xfId="0" applyFont="1" applyFill="1" applyBorder="1" applyProtection="1">
      <protection locked="0"/>
    </xf>
    <xf numFmtId="0" fontId="20" fillId="0" borderId="1" xfId="0" applyFont="1" applyBorder="1" applyProtection="1">
      <protection locked="0"/>
    </xf>
    <xf numFmtId="2" fontId="20" fillId="0" borderId="1" xfId="0" applyNumberFormat="1" applyFont="1" applyBorder="1" applyProtection="1">
      <protection locked="0"/>
    </xf>
    <xf numFmtId="0" fontId="0" fillId="0" borderId="16" xfId="0" applyBorder="1" applyProtection="1">
      <protection locked="0"/>
    </xf>
    <xf numFmtId="0" fontId="24" fillId="0" borderId="0" xfId="0" applyFont="1" applyProtection="1">
      <protection locked="0"/>
    </xf>
    <xf numFmtId="0" fontId="21" fillId="0" borderId="0" xfId="5" applyFont="1" applyProtection="1">
      <protection locked="0"/>
    </xf>
    <xf numFmtId="180" fontId="21" fillId="0" borderId="0" xfId="5" applyNumberFormat="1" applyFont="1" applyProtection="1">
      <protection locked="0"/>
    </xf>
    <xf numFmtId="0" fontId="8" fillId="0" borderId="0" xfId="5" applyFont="1" applyProtection="1">
      <protection locked="0"/>
    </xf>
    <xf numFmtId="0" fontId="8" fillId="0" borderId="0" xfId="3" applyFont="1" applyBorder="1" applyProtection="1">
      <protection locked="0"/>
    </xf>
    <xf numFmtId="0" fontId="0" fillId="0" borderId="0" xfId="0" applyAlignment="1" applyProtection="1">
      <alignment horizontal="center"/>
      <protection locked="0"/>
    </xf>
    <xf numFmtId="0" fontId="23" fillId="0" borderId="1" xfId="0" applyFont="1" applyBorder="1" applyAlignment="1">
      <alignment horizontal="center" vertical="center"/>
    </xf>
    <xf numFmtId="0" fontId="25" fillId="0" borderId="1" xfId="0" applyFont="1" applyBorder="1" applyAlignment="1">
      <alignment horizontal="center"/>
    </xf>
    <xf numFmtId="0" fontId="26" fillId="0" borderId="1" xfId="0" applyFont="1" applyBorder="1" applyAlignment="1">
      <alignment horizontal="left"/>
    </xf>
    <xf numFmtId="0" fontId="4" fillId="0" borderId="1" xfId="0" applyFont="1" applyBorder="1" applyAlignment="1">
      <alignment horizontal="center" vertical="center" wrapText="1"/>
    </xf>
    <xf numFmtId="0" fontId="24" fillId="0" borderId="16" xfId="0" applyFont="1" applyBorder="1" applyAlignment="1">
      <alignment horizontal="center" vertical="center"/>
    </xf>
    <xf numFmtId="0" fontId="20" fillId="0" borderId="1" xfId="0" applyFont="1" applyBorder="1" applyAlignment="1">
      <alignment horizontal="right"/>
    </xf>
    <xf numFmtId="0" fontId="20" fillId="0" borderId="1" xfId="0" applyFont="1" applyBorder="1" applyAlignment="1">
      <alignment horizontal="center" wrapText="1"/>
    </xf>
    <xf numFmtId="0" fontId="0" fillId="0" borderId="16" xfId="0" applyBorder="1" applyAlignment="1">
      <alignment horizontal="left"/>
    </xf>
    <xf numFmtId="0" fontId="18" fillId="0" borderId="0" xfId="0" applyFont="1" applyAlignment="1" applyProtection="1">
      <alignment vertical="center"/>
      <protection locked="0"/>
    </xf>
    <xf numFmtId="0" fontId="18" fillId="0" borderId="27" xfId="0" applyFont="1" applyBorder="1" applyAlignment="1" applyProtection="1">
      <alignment horizontal="left"/>
      <protection locked="0"/>
    </xf>
    <xf numFmtId="0" fontId="0" fillId="0" borderId="28" xfId="0" applyBorder="1" applyProtection="1">
      <protection locked="0"/>
    </xf>
    <xf numFmtId="0" fontId="6" fillId="0" borderId="28" xfId="0" applyFont="1" applyBorder="1" applyProtection="1">
      <protection locked="0"/>
    </xf>
    <xf numFmtId="0" fontId="0" fillId="0" borderId="28" xfId="0" applyBorder="1" applyAlignment="1" applyProtection="1">
      <alignment horizontal="center"/>
      <protection locked="0"/>
    </xf>
    <xf numFmtId="0" fontId="0" fillId="0" borderId="29" xfId="0" applyBorder="1" applyProtection="1">
      <protection locked="0"/>
    </xf>
    <xf numFmtId="0" fontId="6" fillId="0" borderId="28" xfId="0" applyFont="1" applyBorder="1" applyAlignment="1" applyProtection="1">
      <alignment horizontal="center"/>
      <protection locked="0"/>
    </xf>
    <xf numFmtId="0" fontId="6" fillId="0" borderId="30" xfId="0" applyFont="1" applyBorder="1" applyProtection="1">
      <protection locked="0"/>
    </xf>
    <xf numFmtId="0" fontId="0" fillId="0" borderId="30" xfId="0" applyBorder="1" applyAlignment="1" applyProtection="1">
      <alignment horizontal="center"/>
      <protection locked="0"/>
    </xf>
    <xf numFmtId="0" fontId="0" fillId="0" borderId="30" xfId="0" applyBorder="1" applyAlignment="1" applyProtection="1">
      <alignment horizontal="left"/>
      <protection locked="0"/>
    </xf>
    <xf numFmtId="0" fontId="6" fillId="0" borderId="30" xfId="0" applyFont="1" applyBorder="1" applyAlignment="1" applyProtection="1">
      <alignment horizontal="left"/>
      <protection locked="0"/>
    </xf>
    <xf numFmtId="179" fontId="0" fillId="0" borderId="32" xfId="0" applyNumberFormat="1" applyBorder="1" applyProtection="1">
      <protection locked="0"/>
    </xf>
    <xf numFmtId="0" fontId="5" fillId="0" borderId="0" xfId="0" applyFont="1" applyAlignment="1" applyProtection="1">
      <alignment horizontal="left"/>
      <protection locked="0"/>
    </xf>
    <xf numFmtId="0" fontId="6" fillId="0" borderId="0" xfId="0" applyFont="1" applyAlignment="1" applyProtection="1">
      <alignment horizontal="left"/>
      <protection locked="0"/>
    </xf>
    <xf numFmtId="179" fontId="0" fillId="0" borderId="0" xfId="0" applyNumberFormat="1" applyProtection="1">
      <protection locked="0"/>
    </xf>
    <xf numFmtId="0" fontId="4" fillId="0" borderId="0" xfId="0" applyFont="1" applyAlignment="1" applyProtection="1">
      <alignment horizontal="left"/>
      <protection locked="0"/>
    </xf>
    <xf numFmtId="0" fontId="20" fillId="0" borderId="0" xfId="0" applyFont="1" applyAlignment="1" applyProtection="1">
      <alignment horizontal="center"/>
      <protection locked="0"/>
    </xf>
    <xf numFmtId="0" fontId="8" fillId="0" borderId="0" xfId="5" applyFont="1" applyAlignment="1" applyProtection="1">
      <alignment horizontal="center"/>
      <protection locked="0"/>
    </xf>
    <xf numFmtId="180" fontId="8" fillId="0" borderId="0" xfId="5" applyNumberFormat="1" applyFont="1" applyAlignment="1" applyProtection="1">
      <alignment horizontal="right"/>
      <protection locked="0"/>
    </xf>
    <xf numFmtId="0" fontId="7" fillId="0" borderId="0" xfId="0" applyFont="1" applyAlignment="1" applyProtection="1">
      <alignment vertical="center"/>
      <protection locked="0"/>
    </xf>
    <xf numFmtId="0" fontId="18" fillId="0" borderId="0" xfId="0" applyFont="1" applyProtection="1">
      <protection locked="0"/>
    </xf>
    <xf numFmtId="0" fontId="0" fillId="2" borderId="15" xfId="0" applyFill="1" applyBorder="1" applyAlignment="1" applyProtection="1">
      <alignment horizontal="left"/>
      <protection locked="0"/>
    </xf>
    <xf numFmtId="0" fontId="6" fillId="2" borderId="16" xfId="0" applyFont="1" applyFill="1" applyBorder="1" applyProtection="1">
      <protection locked="0"/>
    </xf>
    <xf numFmtId="179" fontId="0" fillId="2" borderId="16" xfId="0" applyNumberFormat="1" applyFill="1" applyBorder="1" applyProtection="1">
      <protection locked="0"/>
    </xf>
    <xf numFmtId="0" fontId="0" fillId="2" borderId="16" xfId="0" applyFill="1" applyBorder="1" applyProtection="1">
      <protection locked="0"/>
    </xf>
    <xf numFmtId="2" fontId="0" fillId="0" borderId="16" xfId="0" applyNumberFormat="1" applyBorder="1" applyProtection="1">
      <protection locked="0"/>
    </xf>
    <xf numFmtId="179" fontId="0" fillId="0" borderId="17" xfId="0" applyNumberFormat="1" applyBorder="1" applyProtection="1">
      <protection locked="0"/>
    </xf>
    <xf numFmtId="0" fontId="6" fillId="2" borderId="1" xfId="0" applyFont="1" applyFill="1" applyBorder="1" applyProtection="1">
      <protection locked="0"/>
    </xf>
    <xf numFmtId="0" fontId="0" fillId="2" borderId="1" xfId="0" applyFill="1" applyBorder="1" applyAlignment="1" applyProtection="1">
      <alignment horizontal="center"/>
      <protection locked="0"/>
    </xf>
    <xf numFmtId="179" fontId="0" fillId="2" borderId="1" xfId="0" applyNumberFormat="1" applyFill="1" applyBorder="1" applyProtection="1">
      <protection locked="0"/>
    </xf>
    <xf numFmtId="179" fontId="0" fillId="0" borderId="30" xfId="0" applyNumberFormat="1" applyBorder="1" applyProtection="1">
      <protection locked="0"/>
    </xf>
    <xf numFmtId="2" fontId="0" fillId="0" borderId="30" xfId="0" applyNumberFormat="1" applyBorder="1" applyProtection="1">
      <protection locked="0"/>
    </xf>
    <xf numFmtId="2" fontId="0" fillId="0" borderId="0" xfId="0" applyNumberFormat="1" applyProtection="1">
      <protection locked="0"/>
    </xf>
    <xf numFmtId="179" fontId="0" fillId="0" borderId="16" xfId="0" applyNumberFormat="1" applyBorder="1" applyProtection="1">
      <protection locked="0"/>
    </xf>
    <xf numFmtId="183" fontId="0" fillId="0" borderId="16" xfId="0" applyNumberFormat="1" applyBorder="1" applyProtection="1">
      <protection locked="0"/>
    </xf>
    <xf numFmtId="183" fontId="0" fillId="0" borderId="30" xfId="0" applyNumberFormat="1" applyBorder="1" applyProtection="1">
      <protection locked="0"/>
    </xf>
    <xf numFmtId="179" fontId="0" fillId="0" borderId="0" xfId="0" applyNumberFormat="1" applyAlignment="1" applyProtection="1">
      <alignment horizontal="center"/>
      <protection locked="0"/>
    </xf>
    <xf numFmtId="183" fontId="0" fillId="0" borderId="0" xfId="0" applyNumberFormat="1" applyProtection="1">
      <protection locked="0"/>
    </xf>
    <xf numFmtId="0" fontId="7" fillId="0" borderId="6" xfId="0" applyFont="1" applyBorder="1" applyAlignment="1">
      <alignment vertical="center"/>
    </xf>
    <xf numFmtId="0" fontId="7" fillId="0" borderId="7" xfId="0" applyFont="1" applyBorder="1" applyAlignment="1">
      <alignment vertical="center"/>
    </xf>
    <xf numFmtId="0" fontId="7" fillId="0" borderId="10" xfId="0" applyFont="1" applyBorder="1" applyAlignment="1">
      <alignment horizontal="center" vertical="center"/>
    </xf>
    <xf numFmtId="0" fontId="7" fillId="0" borderId="10" xfId="0" applyFont="1" applyBorder="1" applyAlignment="1">
      <alignment horizontal="center" vertical="center" wrapText="1"/>
    </xf>
    <xf numFmtId="0" fontId="29" fillId="0" borderId="10" xfId="0" applyFont="1" applyBorder="1" applyAlignment="1">
      <alignment horizontal="center" vertical="center" wrapText="1"/>
    </xf>
    <xf numFmtId="0" fontId="7" fillId="0" borderId="11" xfId="0" applyFont="1" applyBorder="1" applyAlignment="1">
      <alignment horizontal="center" vertical="center" wrapText="1"/>
    </xf>
    <xf numFmtId="0" fontId="0" fillId="0" borderId="21" xfId="0" applyBorder="1"/>
    <xf numFmtId="0" fontId="0" fillId="0" borderId="33" xfId="0" applyBorder="1"/>
    <xf numFmtId="0" fontId="0" fillId="0" borderId="23" xfId="0" applyBorder="1"/>
    <xf numFmtId="183" fontId="0" fillId="0" borderId="33" xfId="0" applyNumberFormat="1" applyBorder="1"/>
    <xf numFmtId="0" fontId="4" fillId="0" borderId="1" xfId="0" applyFont="1" applyBorder="1" applyAlignment="1" applyProtection="1">
      <alignment horizontal="center" vertical="center"/>
      <protection locked="0"/>
    </xf>
    <xf numFmtId="0" fontId="4" fillId="0" borderId="0" xfId="0" applyFont="1" applyAlignment="1" applyProtection="1">
      <alignment horizontal="center" vertical="center"/>
      <protection locked="0"/>
    </xf>
    <xf numFmtId="0" fontId="4" fillId="0" borderId="34" xfId="0" applyFont="1" applyBorder="1" applyAlignment="1" applyProtection="1">
      <alignment horizontal="left"/>
      <protection locked="0"/>
    </xf>
    <xf numFmtId="0" fontId="4" fillId="0" borderId="1" xfId="0" applyFont="1" applyBorder="1" applyAlignment="1" applyProtection="1">
      <alignment horizontal="left"/>
      <protection locked="0"/>
    </xf>
    <xf numFmtId="0" fontId="4" fillId="0" borderId="1" xfId="0" applyFont="1" applyBorder="1" applyAlignment="1" applyProtection="1">
      <alignment horizontal="right"/>
      <protection locked="0"/>
    </xf>
    <xf numFmtId="0" fontId="4" fillId="0" borderId="16" xfId="0" applyFont="1" applyBorder="1" applyAlignment="1" applyProtection="1">
      <alignment horizontal="center" wrapText="1"/>
      <protection locked="0"/>
    </xf>
    <xf numFmtId="0" fontId="4" fillId="0" borderId="28" xfId="0" applyFont="1" applyBorder="1" applyProtection="1">
      <protection locked="0"/>
    </xf>
    <xf numFmtId="0" fontId="4" fillId="0" borderId="16" xfId="0" applyFont="1" applyBorder="1" applyProtection="1">
      <protection locked="0"/>
    </xf>
    <xf numFmtId="0" fontId="4" fillId="0" borderId="34" xfId="0" applyFont="1" applyBorder="1" applyProtection="1">
      <protection locked="0"/>
    </xf>
    <xf numFmtId="0" fontId="4" fillId="2" borderId="1" xfId="0" applyFont="1" applyFill="1" applyBorder="1" applyProtection="1">
      <protection locked="0"/>
    </xf>
    <xf numFmtId="0" fontId="4" fillId="0" borderId="1" xfId="0" applyFont="1" applyBorder="1" applyProtection="1">
      <protection locked="0"/>
    </xf>
    <xf numFmtId="2" fontId="4" fillId="0" borderId="16" xfId="0" applyNumberFormat="1" applyFont="1" applyBorder="1" applyProtection="1">
      <protection locked="0"/>
    </xf>
    <xf numFmtId="0" fontId="4" fillId="0" borderId="4" xfId="0" applyFont="1" applyBorder="1" applyProtection="1">
      <protection locked="0"/>
    </xf>
    <xf numFmtId="2" fontId="4" fillId="0" borderId="0" xfId="0" applyNumberFormat="1" applyFont="1" applyProtection="1">
      <protection locked="0"/>
    </xf>
    <xf numFmtId="0" fontId="4" fillId="0" borderId="1" xfId="0" applyFont="1" applyBorder="1" applyAlignment="1">
      <alignment horizontal="right"/>
    </xf>
    <xf numFmtId="0" fontId="4" fillId="0" borderId="16" xfId="0" applyFont="1" applyBorder="1" applyAlignment="1">
      <alignment horizontal="center" wrapText="1"/>
    </xf>
    <xf numFmtId="0" fontId="7" fillId="0" borderId="16" xfId="0" applyFont="1" applyBorder="1" applyAlignment="1">
      <alignment horizontal="left"/>
    </xf>
    <xf numFmtId="0" fontId="4" fillId="0" borderId="34" xfId="0" applyFont="1" applyBorder="1" applyAlignment="1">
      <alignment horizontal="left"/>
    </xf>
    <xf numFmtId="0" fontId="4" fillId="0" borderId="1" xfId="0" applyFont="1" applyBorder="1" applyAlignment="1">
      <alignment horizontal="left"/>
    </xf>
    <xf numFmtId="0" fontId="4" fillId="0" borderId="16" xfId="0" applyFont="1" applyBorder="1" applyAlignment="1">
      <alignment horizontal="center" vertical="center" wrapText="1"/>
    </xf>
    <xf numFmtId="0" fontId="4" fillId="0" borderId="16" xfId="0" applyFont="1" applyBorder="1" applyAlignment="1">
      <alignment horizontal="center" vertical="center"/>
    </xf>
    <xf numFmtId="0" fontId="4" fillId="0" borderId="34" xfId="0" applyFont="1" applyBorder="1" applyAlignment="1">
      <alignment horizontal="center" vertical="center"/>
    </xf>
    <xf numFmtId="0" fontId="5" fillId="0" borderId="35" xfId="0" applyFont="1" applyBorder="1" applyProtection="1">
      <protection locked="0"/>
    </xf>
    <xf numFmtId="0" fontId="6" fillId="0" borderId="36" xfId="0" applyFont="1" applyBorder="1" applyProtection="1">
      <protection locked="0"/>
    </xf>
    <xf numFmtId="0" fontId="6" fillId="0" borderId="33" xfId="0" applyFont="1" applyBorder="1" applyProtection="1">
      <protection locked="0"/>
    </xf>
    <xf numFmtId="0" fontId="6" fillId="0" borderId="23" xfId="0" applyFont="1" applyBorder="1" applyProtection="1">
      <protection locked="0"/>
    </xf>
    <xf numFmtId="0" fontId="6" fillId="0" borderId="37" xfId="0" applyFont="1" applyBorder="1" applyProtection="1">
      <protection locked="0"/>
    </xf>
    <xf numFmtId="0" fontId="5" fillId="0" borderId="37" xfId="0" applyFont="1" applyBorder="1" applyProtection="1">
      <protection locked="0"/>
    </xf>
    <xf numFmtId="0" fontId="6" fillId="0" borderId="39" xfId="0" applyFont="1" applyBorder="1" applyProtection="1">
      <protection locked="0"/>
    </xf>
    <xf numFmtId="0" fontId="5" fillId="0" borderId="5" xfId="0" applyFont="1" applyBorder="1" applyAlignment="1" applyProtection="1">
      <alignment horizontal="left"/>
      <protection locked="0"/>
    </xf>
    <xf numFmtId="0" fontId="5" fillId="0" borderId="30" xfId="0" applyFont="1" applyBorder="1" applyAlignment="1" applyProtection="1">
      <alignment horizontal="left"/>
      <protection locked="0"/>
    </xf>
    <xf numFmtId="179" fontId="6" fillId="0" borderId="30" xfId="0" applyNumberFormat="1" applyFont="1" applyBorder="1" applyProtection="1">
      <protection locked="0"/>
    </xf>
    <xf numFmtId="179" fontId="6" fillId="0" borderId="32" xfId="0" applyNumberFormat="1" applyFont="1" applyBorder="1" applyProtection="1">
      <protection locked="0"/>
    </xf>
    <xf numFmtId="0" fontId="18" fillId="0" borderId="0" xfId="0" applyFont="1" applyAlignment="1" applyProtection="1">
      <alignment horizontal="left"/>
      <protection locked="0"/>
    </xf>
    <xf numFmtId="0" fontId="6" fillId="0" borderId="0" xfId="0" applyFont="1" applyAlignment="1" applyProtection="1">
      <alignment horizontal="center"/>
      <protection locked="0"/>
    </xf>
    <xf numFmtId="0" fontId="5" fillId="0" borderId="0" xfId="0" applyFont="1" applyAlignment="1" applyProtection="1">
      <alignment horizontal="left" vertical="center"/>
      <protection locked="0"/>
    </xf>
    <xf numFmtId="0" fontId="5" fillId="0" borderId="0" xfId="0" applyFont="1" applyAlignment="1" applyProtection="1">
      <alignment horizontal="center" vertical="center" wrapText="1"/>
      <protection locked="0"/>
    </xf>
    <xf numFmtId="179" fontId="6" fillId="0" borderId="0" xfId="0" applyNumberFormat="1" applyFont="1" applyProtection="1">
      <protection locked="0"/>
    </xf>
    <xf numFmtId="0" fontId="5" fillId="0" borderId="26" xfId="0" applyFont="1" applyBorder="1" applyAlignment="1">
      <alignment horizontal="center" vertical="center" wrapText="1"/>
    </xf>
    <xf numFmtId="0" fontId="6" fillId="0" borderId="0" xfId="0" applyFont="1" applyAlignment="1" applyProtection="1">
      <alignment horizontal="left" vertical="top"/>
      <protection locked="0"/>
    </xf>
    <xf numFmtId="0" fontId="7" fillId="0" borderId="35" xfId="0" applyFont="1" applyBorder="1" applyAlignment="1" applyProtection="1">
      <alignment horizontal="center" vertical="center"/>
      <protection locked="0"/>
    </xf>
    <xf numFmtId="0" fontId="4" fillId="0" borderId="33" xfId="0" applyFont="1" applyBorder="1" applyAlignment="1" applyProtection="1">
      <alignment horizontal="center" vertical="center"/>
      <protection locked="0"/>
    </xf>
    <xf numFmtId="0" fontId="4" fillId="0" borderId="33" xfId="0" applyFont="1" applyBorder="1" applyAlignment="1" applyProtection="1">
      <alignment horizontal="left"/>
      <protection locked="0"/>
    </xf>
    <xf numFmtId="0" fontId="4" fillId="0" borderId="33" xfId="0" applyFont="1" applyBorder="1" applyProtection="1">
      <protection locked="0"/>
    </xf>
    <xf numFmtId="179" fontId="4" fillId="0" borderId="33" xfId="0" applyNumberFormat="1" applyFont="1" applyBorder="1" applyProtection="1">
      <protection locked="0"/>
    </xf>
    <xf numFmtId="179" fontId="4" fillId="0" borderId="23" xfId="0" applyNumberFormat="1" applyFont="1" applyBorder="1" applyProtection="1">
      <protection locked="0"/>
    </xf>
    <xf numFmtId="179" fontId="4" fillId="0" borderId="17" xfId="0" applyNumberFormat="1" applyFont="1" applyBorder="1" applyProtection="1">
      <protection locked="0"/>
    </xf>
    <xf numFmtId="0" fontId="7" fillId="0" borderId="30" xfId="0" applyFont="1" applyBorder="1" applyAlignment="1" applyProtection="1">
      <alignment horizontal="center" vertical="center"/>
      <protection locked="0"/>
    </xf>
    <xf numFmtId="0" fontId="7" fillId="0" borderId="30" xfId="0" applyFont="1" applyBorder="1" applyAlignment="1" applyProtection="1">
      <alignment horizontal="left"/>
      <protection locked="0"/>
    </xf>
    <xf numFmtId="0" fontId="7" fillId="0" borderId="7" xfId="0" applyFont="1" applyBorder="1" applyAlignment="1" applyProtection="1">
      <alignment horizontal="left"/>
      <protection locked="0"/>
    </xf>
    <xf numFmtId="179" fontId="4" fillId="0" borderId="7" xfId="0" applyNumberFormat="1" applyFont="1" applyBorder="1" applyProtection="1">
      <protection locked="0"/>
    </xf>
    <xf numFmtId="179" fontId="4" fillId="0" borderId="9" xfId="0" applyNumberFormat="1" applyFont="1" applyBorder="1" applyProtection="1">
      <protection locked="0"/>
    </xf>
    <xf numFmtId="0" fontId="4" fillId="0" borderId="0" xfId="0" applyFont="1" applyAlignment="1" applyProtection="1">
      <alignment horizontal="left" vertical="center"/>
      <protection locked="0"/>
    </xf>
    <xf numFmtId="0" fontId="4" fillId="0" borderId="0" xfId="0" applyFont="1" applyAlignment="1" applyProtection="1">
      <alignment horizontal="left" vertical="top"/>
      <protection locked="0"/>
    </xf>
    <xf numFmtId="0" fontId="31" fillId="0" borderId="0" xfId="0" applyFont="1" applyProtection="1">
      <protection locked="0"/>
    </xf>
    <xf numFmtId="0" fontId="4" fillId="0" borderId="0" xfId="0" applyFont="1" applyAlignment="1">
      <alignment horizontal="center" vertical="center"/>
    </xf>
    <xf numFmtId="0" fontId="4" fillId="0" borderId="0" xfId="0" applyFont="1" applyAlignment="1">
      <alignment horizontal="right"/>
    </xf>
    <xf numFmtId="0" fontId="5" fillId="0" borderId="0" xfId="0" applyFont="1" applyAlignment="1" applyProtection="1">
      <alignment vertical="center"/>
      <protection locked="0"/>
    </xf>
    <xf numFmtId="0" fontId="5" fillId="0" borderId="27" xfId="0" applyFont="1" applyBorder="1" applyAlignment="1" applyProtection="1">
      <alignment horizontal="left"/>
      <protection locked="0"/>
    </xf>
    <xf numFmtId="0" fontId="6" fillId="0" borderId="29" xfId="0" applyFont="1" applyBorder="1" applyProtection="1">
      <protection locked="0"/>
    </xf>
    <xf numFmtId="0" fontId="6" fillId="0" borderId="30" xfId="0" applyFont="1" applyBorder="1" applyAlignment="1" applyProtection="1">
      <alignment horizontal="center"/>
      <protection locked="0"/>
    </xf>
    <xf numFmtId="0" fontId="6" fillId="0" borderId="5" xfId="0" applyFont="1" applyBorder="1"/>
    <xf numFmtId="0" fontId="16" fillId="0" borderId="0" xfId="5" applyFont="1" applyAlignment="1" applyProtection="1">
      <alignment horizontal="right"/>
      <protection locked="0"/>
    </xf>
    <xf numFmtId="180" fontId="16" fillId="0" borderId="0" xfId="5" applyNumberFormat="1" applyFont="1" applyProtection="1">
      <protection locked="0"/>
    </xf>
    <xf numFmtId="0" fontId="0" fillId="3" borderId="0" xfId="0" applyFill="1" applyProtection="1">
      <protection locked="0"/>
    </xf>
    <xf numFmtId="0" fontId="20" fillId="3" borderId="1" xfId="0" applyFont="1" applyFill="1" applyBorder="1" applyAlignment="1" applyProtection="1">
      <alignment horizontal="center"/>
      <protection locked="0"/>
    </xf>
    <xf numFmtId="0" fontId="25" fillId="3" borderId="1" xfId="0" applyFont="1" applyFill="1" applyBorder="1" applyAlignment="1" applyProtection="1">
      <alignment horizontal="center"/>
      <protection locked="0"/>
    </xf>
    <xf numFmtId="0" fontId="11" fillId="3" borderId="15" xfId="0" applyFont="1" applyFill="1" applyBorder="1" applyAlignment="1" applyProtection="1">
      <alignment horizontal="left"/>
      <protection locked="0"/>
    </xf>
    <xf numFmtId="2" fontId="12" fillId="3" borderId="1" xfId="0" applyNumberFormat="1" applyFont="1" applyFill="1" applyBorder="1" applyProtection="1">
      <protection locked="0"/>
    </xf>
    <xf numFmtId="179" fontId="12" fillId="3" borderId="1" xfId="0" applyNumberFormat="1" applyFont="1" applyFill="1" applyBorder="1" applyProtection="1">
      <protection locked="0"/>
    </xf>
    <xf numFmtId="0" fontId="0" fillId="3" borderId="15" xfId="0" applyFill="1" applyBorder="1" applyAlignment="1" applyProtection="1">
      <alignment horizontal="left"/>
      <protection locked="0"/>
    </xf>
    <xf numFmtId="181" fontId="0" fillId="3" borderId="1" xfId="0" applyNumberFormat="1" applyFill="1" applyBorder="1" applyProtection="1">
      <protection locked="0"/>
    </xf>
    <xf numFmtId="181" fontId="0" fillId="3" borderId="17" xfId="0" applyNumberFormat="1" applyFill="1" applyBorder="1" applyProtection="1">
      <protection locked="0"/>
    </xf>
    <xf numFmtId="0" fontId="12" fillId="3" borderId="15" xfId="0" applyFont="1" applyFill="1" applyBorder="1" applyAlignment="1" applyProtection="1">
      <alignment horizontal="left"/>
      <protection locked="0"/>
    </xf>
    <xf numFmtId="0" fontId="12" fillId="3" borderId="15" xfId="0" applyFont="1" applyFill="1" applyBorder="1" applyProtection="1">
      <protection locked="0"/>
    </xf>
    <xf numFmtId="0" fontId="0" fillId="3" borderId="27" xfId="0" applyFill="1" applyBorder="1" applyAlignment="1" applyProtection="1">
      <alignment horizontal="right"/>
      <protection locked="0"/>
    </xf>
    <xf numFmtId="0" fontId="0" fillId="3" borderId="28" xfId="0" applyFill="1" applyBorder="1" applyProtection="1">
      <protection locked="0"/>
    </xf>
    <xf numFmtId="0" fontId="6" fillId="3" borderId="28" xfId="0" applyFont="1" applyFill="1" applyBorder="1" applyAlignment="1" applyProtection="1">
      <alignment horizontal="center"/>
      <protection locked="0"/>
    </xf>
    <xf numFmtId="0" fontId="6" fillId="3" borderId="28" xfId="0" applyFont="1" applyFill="1" applyBorder="1" applyAlignment="1" applyProtection="1">
      <alignment horizontal="left"/>
      <protection locked="0"/>
    </xf>
    <xf numFmtId="0" fontId="0" fillId="3" borderId="28" xfId="0" applyFill="1" applyBorder="1" applyAlignment="1" applyProtection="1">
      <alignment horizontal="center"/>
      <protection locked="0"/>
    </xf>
    <xf numFmtId="179" fontId="0" fillId="3" borderId="29" xfId="0" applyNumberFormat="1" applyFill="1" applyBorder="1" applyProtection="1">
      <protection locked="0"/>
    </xf>
    <xf numFmtId="0" fontId="0" fillId="3" borderId="28" xfId="0" applyFill="1" applyBorder="1" applyAlignment="1" applyProtection="1">
      <alignment horizontal="left"/>
      <protection locked="0"/>
    </xf>
    <xf numFmtId="0" fontId="6" fillId="3" borderId="28" xfId="0" applyFont="1" applyFill="1" applyBorder="1" applyProtection="1">
      <protection locked="0"/>
    </xf>
    <xf numFmtId="0" fontId="6" fillId="3" borderId="27" xfId="0" applyFont="1" applyFill="1" applyBorder="1" applyAlignment="1" applyProtection="1">
      <alignment horizontal="center"/>
      <protection locked="0"/>
    </xf>
    <xf numFmtId="0" fontId="18" fillId="3" borderId="27" xfId="0" applyFont="1" applyFill="1" applyBorder="1" applyAlignment="1" applyProtection="1">
      <alignment horizontal="left"/>
      <protection locked="0"/>
    </xf>
    <xf numFmtId="0" fontId="6" fillId="3" borderId="27" xfId="0" applyFont="1" applyFill="1" applyBorder="1" applyAlignment="1" applyProtection="1">
      <alignment horizontal="right"/>
      <protection locked="0"/>
    </xf>
    <xf numFmtId="0" fontId="6" fillId="3" borderId="15" xfId="0" applyFont="1" applyFill="1" applyBorder="1" applyAlignment="1" applyProtection="1">
      <alignment horizontal="center"/>
      <protection locked="0"/>
    </xf>
    <xf numFmtId="0" fontId="6" fillId="3" borderId="24" xfId="0" applyFont="1" applyFill="1" applyBorder="1" applyAlignment="1" applyProtection="1">
      <alignment horizontal="center"/>
      <protection locked="0"/>
    </xf>
    <xf numFmtId="0" fontId="0" fillId="3" borderId="30" xfId="0" applyFill="1" applyBorder="1" applyProtection="1">
      <protection locked="0"/>
    </xf>
    <xf numFmtId="0" fontId="6" fillId="3" borderId="30" xfId="0" applyFont="1" applyFill="1" applyBorder="1" applyProtection="1">
      <protection locked="0"/>
    </xf>
    <xf numFmtId="0" fontId="0" fillId="3" borderId="30" xfId="0" applyFill="1" applyBorder="1" applyAlignment="1" applyProtection="1">
      <alignment horizontal="center"/>
      <protection locked="0"/>
    </xf>
    <xf numFmtId="179" fontId="0" fillId="3" borderId="20" xfId="0" applyNumberFormat="1" applyFill="1" applyBorder="1" applyProtection="1">
      <protection locked="0"/>
    </xf>
    <xf numFmtId="0" fontId="6" fillId="3" borderId="38" xfId="0" applyFont="1" applyFill="1" applyBorder="1" applyAlignment="1" applyProtection="1">
      <alignment horizontal="left"/>
      <protection locked="0"/>
    </xf>
    <xf numFmtId="0" fontId="6" fillId="3" borderId="16" xfId="0" applyFont="1" applyFill="1" applyBorder="1" applyProtection="1">
      <protection locked="0"/>
    </xf>
    <xf numFmtId="179" fontId="6" fillId="3" borderId="16" xfId="0" applyNumberFormat="1" applyFont="1" applyFill="1" applyBorder="1" applyProtection="1">
      <protection locked="0"/>
    </xf>
    <xf numFmtId="0" fontId="6" fillId="3" borderId="16" xfId="0" applyFont="1" applyFill="1" applyBorder="1" applyAlignment="1" applyProtection="1">
      <alignment horizontal="right"/>
      <protection locked="0"/>
    </xf>
    <xf numFmtId="0" fontId="6" fillId="3" borderId="16" xfId="0" applyFont="1" applyFill="1" applyBorder="1" applyAlignment="1" applyProtection="1">
      <alignment horizontal="center"/>
      <protection locked="0"/>
    </xf>
    <xf numFmtId="179" fontId="6" fillId="3" borderId="17" xfId="0" applyNumberFormat="1" applyFont="1" applyFill="1" applyBorder="1" applyProtection="1">
      <protection locked="0"/>
    </xf>
    <xf numFmtId="0" fontId="6" fillId="3" borderId="38" xfId="0" applyFont="1" applyFill="1" applyBorder="1" applyAlignment="1" applyProtection="1">
      <alignment horizontal="right"/>
      <protection locked="0"/>
    </xf>
    <xf numFmtId="0" fontId="6" fillId="3" borderId="38" xfId="0" applyFont="1" applyFill="1" applyBorder="1" applyProtection="1">
      <protection locked="0"/>
    </xf>
    <xf numFmtId="0" fontId="6" fillId="3" borderId="40" xfId="0" applyFont="1" applyFill="1" applyBorder="1" applyAlignment="1" applyProtection="1">
      <alignment horizontal="right"/>
      <protection locked="0"/>
    </xf>
    <xf numFmtId="0" fontId="6" fillId="3" borderId="41" xfId="0" applyFont="1" applyFill="1" applyBorder="1" applyProtection="1">
      <protection locked="0"/>
    </xf>
    <xf numFmtId="179" fontId="6" fillId="3" borderId="41" xfId="0" applyNumberFormat="1" applyFont="1" applyFill="1" applyBorder="1" applyProtection="1">
      <protection locked="0"/>
    </xf>
    <xf numFmtId="179" fontId="6" fillId="3" borderId="20" xfId="0" applyNumberFormat="1" applyFont="1" applyFill="1" applyBorder="1" applyProtection="1">
      <protection locked="0"/>
    </xf>
    <xf numFmtId="179" fontId="6" fillId="3" borderId="29" xfId="0" applyNumberFormat="1" applyFont="1" applyFill="1" applyBorder="1" applyProtection="1">
      <protection locked="0"/>
    </xf>
    <xf numFmtId="0" fontId="6" fillId="3" borderId="27" xfId="0" applyFont="1" applyFill="1" applyBorder="1" applyAlignment="1" applyProtection="1">
      <alignment horizontal="left"/>
      <protection locked="0"/>
    </xf>
    <xf numFmtId="0" fontId="6" fillId="3" borderId="27" xfId="0" applyFont="1" applyFill="1" applyBorder="1" applyProtection="1">
      <protection locked="0"/>
    </xf>
    <xf numFmtId="0" fontId="6" fillId="3" borderId="31" xfId="0" applyFont="1" applyFill="1" applyBorder="1" applyProtection="1">
      <protection locked="0"/>
    </xf>
    <xf numFmtId="179" fontId="6" fillId="3" borderId="32" xfId="0" applyNumberFormat="1" applyFont="1" applyFill="1" applyBorder="1" applyProtection="1">
      <protection locked="0"/>
    </xf>
    <xf numFmtId="0" fontId="5" fillId="3" borderId="0" xfId="0" applyFont="1" applyFill="1" applyAlignment="1" applyProtection="1">
      <alignment horizontal="left" vertical="center"/>
      <protection locked="0"/>
    </xf>
    <xf numFmtId="0" fontId="6" fillId="3" borderId="0" xfId="0" applyFont="1" applyFill="1" applyProtection="1">
      <protection locked="0"/>
    </xf>
    <xf numFmtId="0" fontId="5" fillId="3" borderId="0" xfId="0" applyFont="1" applyFill="1" applyProtection="1">
      <protection locked="0"/>
    </xf>
    <xf numFmtId="0" fontId="6" fillId="3" borderId="0" xfId="0" applyFont="1" applyFill="1" applyAlignment="1" applyProtection="1">
      <alignment horizontal="left"/>
      <protection locked="0"/>
    </xf>
    <xf numFmtId="0" fontId="6" fillId="3" borderId="0" xfId="0" applyFont="1" applyFill="1" applyAlignment="1" applyProtection="1">
      <alignment horizontal="left" vertical="center"/>
      <protection locked="0"/>
    </xf>
    <xf numFmtId="0" fontId="6" fillId="3" borderId="0" xfId="0" applyFont="1" applyFill="1" applyAlignment="1" applyProtection="1">
      <alignment horizontal="right"/>
      <protection locked="0"/>
    </xf>
    <xf numFmtId="0" fontId="6" fillId="3" borderId="0" xfId="0" applyFont="1" applyFill="1" applyAlignment="1" applyProtection="1">
      <alignment horizontal="center"/>
      <protection locked="0"/>
    </xf>
    <xf numFmtId="0" fontId="4" fillId="3" borderId="15" xfId="0" applyFont="1" applyFill="1" applyBorder="1" applyAlignment="1" applyProtection="1">
      <alignment horizontal="center" vertical="center"/>
      <protection locked="0"/>
    </xf>
    <xf numFmtId="0" fontId="4" fillId="3" borderId="16" xfId="0" applyFont="1" applyFill="1" applyBorder="1" applyAlignment="1" applyProtection="1">
      <alignment horizontal="center" vertical="center"/>
      <protection locked="0"/>
    </xf>
    <xf numFmtId="0" fontId="4" fillId="3" borderId="16" xfId="0" applyFont="1" applyFill="1" applyBorder="1" applyAlignment="1" applyProtection="1">
      <alignment horizontal="center"/>
      <protection locked="0"/>
    </xf>
    <xf numFmtId="0" fontId="4" fillId="3" borderId="16" xfId="0" applyFont="1" applyFill="1" applyBorder="1" applyProtection="1">
      <protection locked="0"/>
    </xf>
    <xf numFmtId="179" fontId="4" fillId="3" borderId="16" xfId="0" applyNumberFormat="1" applyFont="1" applyFill="1" applyBorder="1" applyProtection="1">
      <protection locked="0"/>
    </xf>
    <xf numFmtId="0" fontId="4" fillId="3" borderId="16" xfId="0" applyFont="1" applyFill="1" applyBorder="1" applyAlignment="1" applyProtection="1">
      <alignment horizontal="left"/>
      <protection locked="0"/>
    </xf>
    <xf numFmtId="0" fontId="4" fillId="3" borderId="37" xfId="0" applyFont="1" applyFill="1" applyBorder="1" applyAlignment="1" applyProtection="1">
      <alignment horizontal="right" vertical="center"/>
      <protection locked="0"/>
    </xf>
    <xf numFmtId="179" fontId="4" fillId="3" borderId="1" xfId="0" applyNumberFormat="1" applyFont="1" applyFill="1" applyBorder="1" applyProtection="1">
      <protection locked="0"/>
    </xf>
    <xf numFmtId="0" fontId="7" fillId="3" borderId="37" xfId="0" applyFont="1" applyFill="1" applyBorder="1" applyAlignment="1" applyProtection="1">
      <alignment horizontal="center" vertical="center"/>
      <protection locked="0"/>
    </xf>
    <xf numFmtId="0" fontId="4" fillId="3" borderId="39" xfId="0" applyFont="1" applyFill="1" applyBorder="1" applyAlignment="1" applyProtection="1">
      <alignment horizontal="right" vertical="center"/>
      <protection locked="0"/>
    </xf>
    <xf numFmtId="0" fontId="4" fillId="3" borderId="41" xfId="0" applyFont="1" applyFill="1" applyBorder="1" applyAlignment="1" applyProtection="1">
      <alignment horizontal="center" vertical="center"/>
      <protection locked="0"/>
    </xf>
    <xf numFmtId="0" fontId="4" fillId="3" borderId="41" xfId="0" applyFont="1" applyFill="1" applyBorder="1" applyProtection="1">
      <protection locked="0"/>
    </xf>
    <xf numFmtId="179" fontId="4" fillId="3" borderId="19" xfId="0" applyNumberFormat="1" applyFont="1" applyFill="1" applyBorder="1" applyProtection="1">
      <protection locked="0"/>
    </xf>
    <xf numFmtId="0" fontId="6" fillId="3" borderId="28" xfId="0" applyFont="1" applyFill="1" applyBorder="1" applyAlignment="1" applyProtection="1">
      <alignment horizontal="justify"/>
      <protection locked="0"/>
    </xf>
    <xf numFmtId="0" fontId="5" fillId="3" borderId="27" xfId="0" applyFont="1" applyFill="1" applyBorder="1" applyAlignment="1" applyProtection="1">
      <alignment horizontal="left"/>
      <protection locked="0"/>
    </xf>
    <xf numFmtId="0" fontId="6" fillId="3" borderId="30" xfId="0" applyFont="1" applyFill="1" applyBorder="1" applyAlignment="1" applyProtection="1">
      <alignment horizontal="center"/>
      <protection locked="0"/>
    </xf>
    <xf numFmtId="0" fontId="10" fillId="0" borderId="18" xfId="0" applyFont="1" applyBorder="1" applyAlignment="1">
      <alignment horizontal="center"/>
    </xf>
    <xf numFmtId="0" fontId="10" fillId="0" borderId="24" xfId="0" applyFont="1" applyBorder="1" applyAlignment="1">
      <alignment horizontal="center"/>
    </xf>
    <xf numFmtId="0" fontId="5" fillId="0" borderId="24" xfId="0" applyFont="1" applyBorder="1" applyAlignment="1">
      <alignment horizontal="center"/>
    </xf>
    <xf numFmtId="0" fontId="4" fillId="0" borderId="1" xfId="0" applyFont="1" applyBorder="1" applyAlignment="1">
      <alignment horizontal="center"/>
    </xf>
    <xf numFmtId="0" fontId="5" fillId="0" borderId="31" xfId="0" applyFont="1" applyBorder="1" applyAlignment="1">
      <alignment horizontal="left"/>
    </xf>
    <xf numFmtId="0" fontId="5" fillId="0" borderId="18" xfId="0" applyFont="1" applyBorder="1" applyAlignment="1">
      <alignment horizontal="left"/>
    </xf>
    <xf numFmtId="0" fontId="5" fillId="0" borderId="31" xfId="0" applyFont="1" applyBorder="1" applyAlignment="1">
      <alignment horizontal="left" vertical="center"/>
    </xf>
    <xf numFmtId="0" fontId="7" fillId="0" borderId="31" xfId="0" applyFont="1" applyBorder="1" applyAlignment="1">
      <alignment horizontal="left" vertical="center"/>
    </xf>
    <xf numFmtId="0" fontId="3" fillId="3" borderId="0" xfId="0" applyFont="1" applyFill="1" applyAlignment="1" applyProtection="1">
      <alignment horizontal="center"/>
      <protection locked="0"/>
    </xf>
    <xf numFmtId="0" fontId="10" fillId="0" borderId="22" xfId="0" applyFont="1" applyBorder="1" applyAlignment="1">
      <alignment horizontal="center" vertical="center" wrapText="1"/>
    </xf>
    <xf numFmtId="0" fontId="0" fillId="2" borderId="1" xfId="0" applyFill="1" applyBorder="1" applyProtection="1">
      <protection locked="0"/>
    </xf>
    <xf numFmtId="0" fontId="0" fillId="2" borderId="16" xfId="0" applyFill="1" applyBorder="1" applyAlignment="1" applyProtection="1">
      <alignment horizontal="center"/>
      <protection locked="0"/>
    </xf>
    <xf numFmtId="0" fontId="5" fillId="0" borderId="6" xfId="0" applyFont="1" applyBorder="1" applyAlignment="1">
      <alignment horizontal="center" vertical="center"/>
    </xf>
    <xf numFmtId="0" fontId="24" fillId="0" borderId="0" xfId="0" applyFont="1" applyAlignment="1" applyProtection="1">
      <alignment horizontal="left" vertical="top" wrapText="1"/>
      <protection locked="0"/>
    </xf>
    <xf numFmtId="0" fontId="10" fillId="3" borderId="7" xfId="0" applyFont="1" applyFill="1" applyBorder="1" applyProtection="1">
      <protection locked="0"/>
    </xf>
    <xf numFmtId="0" fontId="10" fillId="3" borderId="8" xfId="0" applyFont="1" applyFill="1" applyBorder="1" applyProtection="1">
      <protection locked="0"/>
    </xf>
    <xf numFmtId="0" fontId="10" fillId="3" borderId="5" xfId="0" applyFont="1" applyFill="1" applyBorder="1" applyProtection="1">
      <protection locked="0"/>
    </xf>
    <xf numFmtId="0" fontId="10" fillId="3" borderId="9" xfId="0" applyFont="1" applyFill="1" applyBorder="1" applyProtection="1">
      <protection locked="0"/>
    </xf>
    <xf numFmtId="0" fontId="7" fillId="3" borderId="7" xfId="0" applyFont="1" applyFill="1" applyBorder="1" applyAlignment="1">
      <alignment vertical="center"/>
    </xf>
    <xf numFmtId="0" fontId="7" fillId="3" borderId="5" xfId="0" applyFont="1" applyFill="1" applyBorder="1" applyAlignment="1">
      <alignment vertical="center"/>
    </xf>
    <xf numFmtId="0" fontId="7" fillId="3" borderId="9" xfId="0" applyFont="1" applyFill="1" applyBorder="1" applyAlignment="1">
      <alignment horizontal="right" vertical="center"/>
    </xf>
    <xf numFmtId="0" fontId="3" fillId="3" borderId="0" xfId="0" applyFont="1" applyFill="1" applyAlignment="1" applyProtection="1">
      <alignment horizontal="center"/>
      <protection locked="0"/>
    </xf>
    <xf numFmtId="0" fontId="3" fillId="0" borderId="0" xfId="0" applyFont="1" applyAlignment="1">
      <alignment horizontal="center"/>
    </xf>
    <xf numFmtId="177" fontId="5" fillId="3" borderId="0" xfId="2" applyFont="1" applyFill="1" applyAlignment="1" applyProtection="1">
      <alignment horizontal="center"/>
      <protection locked="0"/>
    </xf>
    <xf numFmtId="177" fontId="5" fillId="0" borderId="1" xfId="2" applyFont="1" applyFill="1" applyBorder="1" applyAlignment="1" applyProtection="1">
      <alignment horizontal="center" vertical="center"/>
    </xf>
    <xf numFmtId="0" fontId="10" fillId="3" borderId="0" xfId="0" applyFont="1" applyFill="1" applyAlignment="1" applyProtection="1">
      <alignment horizontal="center"/>
      <protection locked="0"/>
    </xf>
    <xf numFmtId="0" fontId="14" fillId="0" borderId="0" xfId="0" applyFont="1" applyAlignment="1" applyProtection="1">
      <alignment horizontal="left" vertical="top" wrapText="1"/>
      <protection locked="0"/>
    </xf>
    <xf numFmtId="0" fontId="0" fillId="3" borderId="1" xfId="0" applyFill="1" applyBorder="1" applyProtection="1">
      <protection locked="0"/>
    </xf>
    <xf numFmtId="0" fontId="0" fillId="0" borderId="19" xfId="0" applyBorder="1" applyProtection="1">
      <protection locked="0"/>
    </xf>
    <xf numFmtId="0" fontId="10" fillId="0" borderId="22" xfId="0" applyFont="1" applyBorder="1" applyAlignment="1">
      <alignment horizontal="center" vertical="center" wrapText="1"/>
    </xf>
    <xf numFmtId="0" fontId="6" fillId="0" borderId="0" xfId="0" applyFont="1" applyAlignment="1" applyProtection="1">
      <alignment horizontal="left" vertical="top" wrapText="1"/>
      <protection locked="0"/>
    </xf>
    <xf numFmtId="0" fontId="22" fillId="3" borderId="0" xfId="0" applyFont="1" applyFill="1" applyAlignment="1" applyProtection="1">
      <alignment horizontal="center"/>
      <protection locked="0"/>
    </xf>
    <xf numFmtId="0" fontId="3" fillId="3" borderId="25" xfId="0" applyFont="1" applyFill="1" applyBorder="1" applyAlignment="1" applyProtection="1">
      <alignment horizontal="center" vertical="center"/>
      <protection locked="0"/>
    </xf>
    <xf numFmtId="0" fontId="28" fillId="3" borderId="0" xfId="0" applyFont="1" applyFill="1" applyAlignment="1" applyProtection="1">
      <alignment horizontal="center"/>
      <protection locked="0"/>
    </xf>
    <xf numFmtId="0" fontId="4" fillId="0" borderId="0" xfId="0" applyFont="1" applyAlignment="1" applyProtection="1">
      <alignment horizontal="left" vertical="top" wrapText="1"/>
      <protection locked="0"/>
    </xf>
    <xf numFmtId="0" fontId="4" fillId="0" borderId="0" xfId="0" applyFont="1" applyAlignment="1" applyProtection="1">
      <alignment vertical="top" wrapText="1"/>
      <protection locked="0"/>
    </xf>
    <xf numFmtId="179" fontId="0" fillId="2" borderId="1" xfId="0" applyNumberFormat="1" applyFill="1" applyBorder="1" applyAlignment="1" applyProtection="1">
      <alignment horizontal="center"/>
      <protection locked="0"/>
    </xf>
    <xf numFmtId="0" fontId="0" fillId="2" borderId="1" xfId="0" applyFill="1" applyBorder="1" applyProtection="1">
      <protection locked="0"/>
    </xf>
    <xf numFmtId="0" fontId="0" fillId="0" borderId="7" xfId="0" applyBorder="1" applyProtection="1">
      <protection locked="0"/>
    </xf>
    <xf numFmtId="0" fontId="0" fillId="2" borderId="16" xfId="0" applyFill="1" applyBorder="1" applyAlignment="1" applyProtection="1">
      <alignment horizontal="center"/>
      <protection locked="0"/>
    </xf>
    <xf numFmtId="0" fontId="0" fillId="2" borderId="34" xfId="0" applyFill="1" applyBorder="1" applyAlignment="1" applyProtection="1">
      <alignment horizontal="center"/>
      <protection locked="0"/>
    </xf>
    <xf numFmtId="0" fontId="7" fillId="0" borderId="7" xfId="0" applyFont="1" applyBorder="1" applyAlignment="1">
      <alignment horizontal="center" vertical="center" wrapText="1"/>
    </xf>
    <xf numFmtId="0" fontId="0" fillId="0" borderId="22" xfId="0" applyBorder="1"/>
    <xf numFmtId="0" fontId="0" fillId="0" borderId="0" xfId="0" applyProtection="1">
      <protection locked="0"/>
    </xf>
    <xf numFmtId="0" fontId="5" fillId="0" borderId="6" xfId="0" applyFont="1" applyBorder="1" applyAlignment="1">
      <alignment horizontal="center" vertical="center"/>
    </xf>
    <xf numFmtId="0" fontId="24" fillId="0" borderId="0" xfId="0" applyFont="1" applyAlignment="1" applyProtection="1">
      <alignment horizontal="left" vertical="top" wrapText="1"/>
      <protection locked="0"/>
    </xf>
    <xf numFmtId="0" fontId="22" fillId="3" borderId="0" xfId="0" applyFont="1" applyFill="1" applyAlignment="1" applyProtection="1">
      <alignment horizontal="center" vertical="center"/>
      <protection locked="0"/>
    </xf>
    <xf numFmtId="0" fontId="3" fillId="3" borderId="0" xfId="0" applyFont="1" applyFill="1" applyAlignment="1" applyProtection="1">
      <alignment horizontal="center" vertical="center"/>
      <protection locked="0"/>
    </xf>
  </cellXfs>
  <cellStyles count="7">
    <cellStyle name="一般" xfId="0" builtinId="0" customBuiltin="1"/>
    <cellStyle name="一般_Sheet1" xfId="4" xr:uid="{00000000-0005-0000-0000-000001000000}"/>
    <cellStyle name="一般_Sheet2" xfId="5" xr:uid="{00000000-0005-0000-0000-000002000000}"/>
    <cellStyle name="一般_期中報告-會計報告" xfId="3" xr:uid="{00000000-0005-0000-0000-000003000000}"/>
    <cellStyle name="千分位" xfId="1" builtinId="3" customBuiltin="1"/>
    <cellStyle name="千分位[0]" xfId="2" builtinId="6" customBuiltin="1"/>
    <cellStyle name="貨幣[0]_Sheet1" xfId="6" xr:uid="{00000000-0005-0000-0000-000006000000}"/>
  </cellStyles>
  <dxfs count="0"/>
  <tableStyles count="0" defaultTableStyle="TableStyleMedium2" defaultPivotStyle="PivotStyleLight16"/>
  <colors>
    <mruColors>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2013 - 2022 主題">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dimension ref="A1:S50"/>
  <sheetViews>
    <sheetView tabSelected="1" view="pageBreakPreview" zoomScale="70" zoomScaleNormal="60" zoomScaleSheetLayoutView="70" workbookViewId="0">
      <selection activeCell="G8" sqref="G8"/>
    </sheetView>
  </sheetViews>
  <sheetFormatPr defaultColWidth="13.19921875" defaultRowHeight="13.8" x14ac:dyDescent="0.25"/>
  <cols>
    <col min="1" max="1" width="37.59765625" style="1" customWidth="1"/>
    <col min="2" max="2" width="15.69921875" style="34" customWidth="1"/>
    <col min="3" max="4" width="18.09765625" style="34" customWidth="1"/>
    <col min="5" max="7" width="15.59765625" style="34" customWidth="1"/>
    <col min="8" max="10" width="15.69921875" style="34" customWidth="1"/>
    <col min="11" max="13" width="15.69921875" style="1" customWidth="1"/>
    <col min="14" max="14" width="13.19921875" style="1" customWidth="1"/>
    <col min="15" max="16384" width="13.19921875" style="1"/>
  </cols>
  <sheetData>
    <row r="1" spans="1:19" ht="30" customHeight="1" x14ac:dyDescent="0.4">
      <c r="A1" s="339" t="s">
        <v>0</v>
      </c>
      <c r="B1" s="339"/>
      <c r="C1" s="339"/>
      <c r="D1" s="339"/>
      <c r="E1" s="339"/>
      <c r="F1" s="339"/>
      <c r="G1" s="339"/>
      <c r="H1" s="339"/>
      <c r="I1" s="339"/>
      <c r="J1" s="339"/>
      <c r="K1" s="339"/>
      <c r="L1" s="339"/>
      <c r="M1" s="339"/>
      <c r="N1" s="14"/>
      <c r="O1" s="14"/>
      <c r="P1" s="14"/>
      <c r="Q1" s="14"/>
      <c r="R1" s="14"/>
      <c r="S1" s="14"/>
    </row>
    <row r="2" spans="1:19" ht="22.2" x14ac:dyDescent="0.4">
      <c r="A2" s="340" t="s">
        <v>1</v>
      </c>
      <c r="B2" s="340"/>
      <c r="C2" s="340"/>
      <c r="D2" s="340"/>
      <c r="E2" s="340"/>
      <c r="F2" s="340"/>
      <c r="G2" s="340"/>
      <c r="H2" s="340"/>
      <c r="I2" s="340"/>
      <c r="J2" s="340"/>
      <c r="K2" s="340"/>
      <c r="L2" s="340"/>
      <c r="M2" s="340"/>
      <c r="N2" s="14"/>
      <c r="O2" s="14"/>
      <c r="P2" s="14"/>
      <c r="Q2" s="14"/>
      <c r="R2" s="14"/>
      <c r="S2" s="14"/>
    </row>
    <row r="3" spans="1:19" ht="28.5" customHeight="1" x14ac:dyDescent="0.3">
      <c r="A3" s="341" t="s">
        <v>2</v>
      </c>
      <c r="B3" s="341"/>
      <c r="C3" s="341"/>
      <c r="D3" s="341"/>
      <c r="E3" s="341"/>
      <c r="F3" s="341"/>
      <c r="G3" s="341"/>
      <c r="H3" s="341"/>
      <c r="I3" s="341"/>
      <c r="J3" s="341"/>
      <c r="K3" s="341"/>
      <c r="L3" s="341"/>
      <c r="M3" s="341"/>
      <c r="N3" s="14"/>
      <c r="O3" s="14"/>
      <c r="P3" s="14"/>
      <c r="Q3" s="14"/>
      <c r="R3" s="14"/>
      <c r="S3" s="14"/>
    </row>
    <row r="4" spans="1:19" ht="21" customHeight="1" x14ac:dyDescent="0.3">
      <c r="A4" s="19"/>
      <c r="B4" s="20"/>
      <c r="C4" s="20"/>
      <c r="D4" s="20"/>
      <c r="E4" s="20"/>
      <c r="F4" s="20"/>
      <c r="G4" s="2"/>
      <c r="H4" s="20"/>
      <c r="I4" s="20"/>
      <c r="J4" s="20"/>
      <c r="M4" s="21" t="s">
        <v>3</v>
      </c>
      <c r="N4" s="14"/>
      <c r="O4" s="14"/>
      <c r="P4" s="14"/>
      <c r="Q4" s="14"/>
      <c r="R4" s="14"/>
      <c r="S4" s="14"/>
    </row>
    <row r="5" spans="1:19" s="3" customFormat="1" ht="33.75" customHeight="1" x14ac:dyDescent="0.3">
      <c r="A5" s="22"/>
      <c r="B5" s="342" t="s">
        <v>4</v>
      </c>
      <c r="C5" s="342"/>
      <c r="D5" s="342"/>
      <c r="E5" s="342" t="s">
        <v>5</v>
      </c>
      <c r="F5" s="342"/>
      <c r="G5" s="342"/>
      <c r="H5" s="342" t="s">
        <v>6</v>
      </c>
      <c r="I5" s="342"/>
      <c r="J5" s="342"/>
      <c r="K5" s="342" t="s">
        <v>7</v>
      </c>
      <c r="L5" s="342"/>
      <c r="M5" s="342"/>
      <c r="N5" s="15"/>
      <c r="O5" s="15"/>
      <c r="P5" s="15"/>
      <c r="Q5" s="15"/>
      <c r="R5" s="15"/>
      <c r="S5" s="15"/>
    </row>
    <row r="6" spans="1:19" ht="16.2" x14ac:dyDescent="0.25">
      <c r="A6" s="23" t="s">
        <v>8</v>
      </c>
      <c r="B6" s="24" t="s">
        <v>9</v>
      </c>
      <c r="C6" s="24" t="s">
        <v>10</v>
      </c>
      <c r="D6" s="24" t="s">
        <v>11</v>
      </c>
      <c r="E6" s="24" t="s">
        <v>9</v>
      </c>
      <c r="F6" s="24" t="s">
        <v>10</v>
      </c>
      <c r="G6" s="24" t="s">
        <v>11</v>
      </c>
      <c r="H6" s="24" t="s">
        <v>9</v>
      </c>
      <c r="I6" s="24" t="s">
        <v>10</v>
      </c>
      <c r="J6" s="24" t="s">
        <v>11</v>
      </c>
      <c r="K6" s="24" t="s">
        <v>9</v>
      </c>
      <c r="L6" s="24" t="s">
        <v>10</v>
      </c>
      <c r="M6" s="24" t="s">
        <v>11</v>
      </c>
      <c r="N6" s="14"/>
      <c r="O6" s="14"/>
      <c r="P6" s="14"/>
      <c r="Q6" s="14"/>
      <c r="R6" s="14"/>
      <c r="S6" s="14"/>
    </row>
    <row r="7" spans="1:19" s="4" customFormat="1" ht="23.25" customHeight="1" x14ac:dyDescent="0.3">
      <c r="A7" s="25" t="s">
        <v>12</v>
      </c>
      <c r="B7" s="26"/>
      <c r="C7" s="26"/>
      <c r="D7" s="27"/>
      <c r="E7" s="46"/>
      <c r="F7" s="46"/>
      <c r="G7" s="28"/>
      <c r="H7" s="28"/>
      <c r="I7" s="28"/>
      <c r="J7" s="27"/>
      <c r="K7" s="29"/>
      <c r="L7" s="29"/>
      <c r="M7" s="29"/>
      <c r="N7" s="16"/>
      <c r="O7" s="16"/>
      <c r="P7" s="16"/>
      <c r="Q7" s="16"/>
      <c r="R7" s="16"/>
      <c r="S7" s="16"/>
    </row>
    <row r="8" spans="1:19" s="4" customFormat="1" ht="23.25" customHeight="1" x14ac:dyDescent="0.3">
      <c r="A8" s="25" t="s">
        <v>13</v>
      </c>
      <c r="B8" s="35">
        <v>150000</v>
      </c>
      <c r="C8" s="35">
        <v>300000</v>
      </c>
      <c r="D8" s="30">
        <f>B8+C8</f>
        <v>450000</v>
      </c>
      <c r="E8" s="36"/>
      <c r="F8" s="36"/>
      <c r="G8" s="30">
        <f>E8+F8</f>
        <v>0</v>
      </c>
      <c r="H8" s="30">
        <f>IF(J8+G8&gt;=D8,B8-E8,ROUND(J8/D8*B8,0))</f>
        <v>42945</v>
      </c>
      <c r="I8" s="30">
        <f>J8-H8</f>
        <v>85889</v>
      </c>
      <c r="J8" s="49">
        <f>ROUND(人事費!I13,0)</f>
        <v>128834</v>
      </c>
      <c r="K8" s="30">
        <f t="shared" ref="K8:L12" si="0">E8+H8</f>
        <v>42945</v>
      </c>
      <c r="L8" s="30">
        <f t="shared" si="0"/>
        <v>85889</v>
      </c>
      <c r="M8" s="30">
        <f>K8+L8</f>
        <v>128834</v>
      </c>
      <c r="N8" s="16"/>
      <c r="O8" s="44"/>
      <c r="P8" s="45"/>
      <c r="Q8" s="45"/>
      <c r="R8" s="16"/>
      <c r="S8" s="16"/>
    </row>
    <row r="9" spans="1:19" s="4" customFormat="1" ht="23.25" customHeight="1" x14ac:dyDescent="0.3">
      <c r="A9" s="25" t="s">
        <v>14</v>
      </c>
      <c r="B9" s="35">
        <v>50000</v>
      </c>
      <c r="C9" s="35">
        <v>100000</v>
      </c>
      <c r="D9" s="30">
        <f>B9+C9</f>
        <v>150000</v>
      </c>
      <c r="E9" s="36"/>
      <c r="F9" s="36"/>
      <c r="G9" s="30">
        <f>E9+F9</f>
        <v>0</v>
      </c>
      <c r="H9" s="30">
        <f>IF(J9+G9&gt;=D9,B9-E9,ROUND(J9/D9*B9,0))</f>
        <v>6667</v>
      </c>
      <c r="I9" s="30">
        <f>J9-H9</f>
        <v>13333</v>
      </c>
      <c r="J9" s="49">
        <f>ROUND(顧問!E15,0)</f>
        <v>20000</v>
      </c>
      <c r="K9" s="30">
        <f t="shared" si="0"/>
        <v>6667</v>
      </c>
      <c r="L9" s="30">
        <f t="shared" si="0"/>
        <v>13333</v>
      </c>
      <c r="M9" s="30">
        <f>K9+L9</f>
        <v>20000</v>
      </c>
      <c r="N9" s="16"/>
      <c r="O9" s="44"/>
      <c r="P9" s="45"/>
      <c r="Q9" s="45"/>
      <c r="R9" s="16"/>
      <c r="S9" s="16"/>
    </row>
    <row r="10" spans="1:19" s="4" customFormat="1" ht="23.25" customHeight="1" x14ac:dyDescent="0.3">
      <c r="A10" s="25" t="s">
        <v>15</v>
      </c>
      <c r="B10" s="35">
        <v>50000</v>
      </c>
      <c r="C10" s="35">
        <v>100000</v>
      </c>
      <c r="D10" s="30">
        <f>B10+C10</f>
        <v>150000</v>
      </c>
      <c r="E10" s="36"/>
      <c r="F10" s="36"/>
      <c r="G10" s="30">
        <f>E10+F10</f>
        <v>0</v>
      </c>
      <c r="H10" s="30">
        <f>IF(J10+G10&gt;=D10,B10-E10,ROUND(J10/D10*B10,0))</f>
        <v>2400</v>
      </c>
      <c r="I10" s="30">
        <f>J10-H10</f>
        <v>4800</v>
      </c>
      <c r="J10" s="49">
        <f>ROUND(材料費!J27,0)</f>
        <v>7200</v>
      </c>
      <c r="K10" s="30">
        <f t="shared" si="0"/>
        <v>2400</v>
      </c>
      <c r="L10" s="30">
        <f t="shared" si="0"/>
        <v>4800</v>
      </c>
      <c r="M10" s="30">
        <f>K10+L10</f>
        <v>7200</v>
      </c>
      <c r="N10" s="16"/>
      <c r="O10" s="44"/>
      <c r="P10" s="45"/>
      <c r="Q10" s="45"/>
      <c r="R10" s="16"/>
      <c r="S10" s="16"/>
    </row>
    <row r="11" spans="1:19" s="4" customFormat="1" ht="21.75" customHeight="1" x14ac:dyDescent="0.3">
      <c r="A11" s="25" t="s">
        <v>16</v>
      </c>
      <c r="B11" s="35">
        <v>50000</v>
      </c>
      <c r="C11" s="35">
        <v>100000</v>
      </c>
      <c r="D11" s="30">
        <f>B11+C11</f>
        <v>150000</v>
      </c>
      <c r="E11" s="36"/>
      <c r="F11" s="36"/>
      <c r="G11" s="30">
        <f>E11+F11</f>
        <v>0</v>
      </c>
      <c r="H11" s="30">
        <f>IF(J11+G11&gt;=D11,B11-E11,ROUND(J11/D11*B11,0))</f>
        <v>25778</v>
      </c>
      <c r="I11" s="30">
        <f>J11-H11</f>
        <v>51555</v>
      </c>
      <c r="J11" s="49">
        <f>ROUND(設備使用費!K26,0)</f>
        <v>77333</v>
      </c>
      <c r="K11" s="30">
        <f t="shared" si="0"/>
        <v>25778</v>
      </c>
      <c r="L11" s="30">
        <f t="shared" si="0"/>
        <v>51555</v>
      </c>
      <c r="M11" s="30">
        <f>K11+L11</f>
        <v>77333</v>
      </c>
      <c r="N11" s="16"/>
      <c r="O11" s="44"/>
      <c r="P11" s="45"/>
      <c r="Q11" s="45"/>
      <c r="R11" s="16"/>
      <c r="S11" s="16"/>
    </row>
    <row r="12" spans="1:19" s="4" customFormat="1" ht="23.25" customHeight="1" x14ac:dyDescent="0.3">
      <c r="A12" s="25" t="s">
        <v>17</v>
      </c>
      <c r="B12" s="35">
        <v>20000</v>
      </c>
      <c r="C12" s="35">
        <v>40000</v>
      </c>
      <c r="D12" s="30">
        <f>B12+C12</f>
        <v>60000</v>
      </c>
      <c r="E12" s="36"/>
      <c r="F12" s="36"/>
      <c r="G12" s="30">
        <f>E12+F12</f>
        <v>0</v>
      </c>
      <c r="H12" s="30">
        <f>IF(J12+G12&gt;=D12,B12-E12,ROUND(J12/D12*B12,0))</f>
        <v>1000</v>
      </c>
      <c r="I12" s="30">
        <f>J12-H12</f>
        <v>2000</v>
      </c>
      <c r="J12" s="49">
        <f>ROUND(設備維護費!M16,0)</f>
        <v>3000</v>
      </c>
      <c r="K12" s="30">
        <f t="shared" si="0"/>
        <v>1000</v>
      </c>
      <c r="L12" s="30">
        <f t="shared" si="0"/>
        <v>2000</v>
      </c>
      <c r="M12" s="30">
        <f>K12+L12</f>
        <v>3000</v>
      </c>
      <c r="N12" s="16"/>
      <c r="O12" s="44"/>
      <c r="P12" s="45"/>
      <c r="Q12" s="45"/>
      <c r="R12" s="16"/>
      <c r="S12" s="16"/>
    </row>
    <row r="13" spans="1:19" s="4" customFormat="1" ht="23.25" customHeight="1" x14ac:dyDescent="0.3">
      <c r="A13" s="25" t="s">
        <v>18</v>
      </c>
      <c r="B13" s="26"/>
      <c r="C13" s="26"/>
      <c r="D13" s="27"/>
      <c r="E13" s="46"/>
      <c r="F13" s="46"/>
      <c r="G13" s="30"/>
      <c r="H13" s="30"/>
      <c r="I13" s="30"/>
      <c r="J13" s="30"/>
      <c r="K13" s="30"/>
      <c r="L13" s="30"/>
      <c r="M13" s="30"/>
      <c r="N13" s="16"/>
      <c r="O13" s="44"/>
      <c r="P13" s="45"/>
      <c r="Q13" s="45"/>
      <c r="R13" s="16"/>
      <c r="S13" s="16"/>
    </row>
    <row r="14" spans="1:19" s="4" customFormat="1" ht="23.25" customHeight="1" x14ac:dyDescent="0.3">
      <c r="A14" s="25" t="s">
        <v>19</v>
      </c>
      <c r="B14" s="35">
        <v>100000</v>
      </c>
      <c r="C14" s="35">
        <v>200000</v>
      </c>
      <c r="D14" s="30">
        <f>B14+C14</f>
        <v>300000</v>
      </c>
      <c r="E14" s="36"/>
      <c r="F14" s="36"/>
      <c r="G14" s="30">
        <f>E14+F14</f>
        <v>0</v>
      </c>
      <c r="H14" s="30">
        <f>IF(J14+G14&gt;=D14,B14-E14,ROUND(J14/D14*B14,0))</f>
        <v>100000</v>
      </c>
      <c r="I14" s="30">
        <f>J14-H14</f>
        <v>200000</v>
      </c>
      <c r="J14" s="38">
        <f>ROUND(技術購買費!F15,0)</f>
        <v>300000</v>
      </c>
      <c r="K14" s="30">
        <f t="shared" ref="K14:L20" si="1">E14+H14</f>
        <v>100000</v>
      </c>
      <c r="L14" s="30">
        <f t="shared" si="1"/>
        <v>200000</v>
      </c>
      <c r="M14" s="30">
        <f>K14+L14</f>
        <v>300000</v>
      </c>
      <c r="N14" s="16"/>
      <c r="O14" s="44"/>
      <c r="P14" s="45"/>
      <c r="Q14" s="45"/>
      <c r="R14" s="16"/>
      <c r="S14" s="16"/>
    </row>
    <row r="15" spans="1:19" s="4" customFormat="1" ht="23.25" customHeight="1" x14ac:dyDescent="0.3">
      <c r="A15" s="25" t="s">
        <v>20</v>
      </c>
      <c r="B15" s="35">
        <v>100000</v>
      </c>
      <c r="C15" s="35">
        <v>200000</v>
      </c>
      <c r="D15" s="30">
        <f>B15+C15</f>
        <v>300000</v>
      </c>
      <c r="E15" s="36"/>
      <c r="F15" s="36"/>
      <c r="G15" s="30">
        <f>E15+F15</f>
        <v>0</v>
      </c>
      <c r="H15" s="30">
        <f>IF(J15+G15&gt;=D15,B15-E15,ROUND(J15/D15*B15,0))</f>
        <v>100000</v>
      </c>
      <c r="I15" s="30">
        <f>J15-H15</f>
        <v>250000</v>
      </c>
      <c r="J15" s="38">
        <f>ROUND(委託研究費!F15,0)</f>
        <v>350000</v>
      </c>
      <c r="K15" s="30">
        <f t="shared" si="1"/>
        <v>100000</v>
      </c>
      <c r="L15" s="30">
        <f t="shared" si="1"/>
        <v>250000</v>
      </c>
      <c r="M15" s="30">
        <f>K15+L15</f>
        <v>350000</v>
      </c>
      <c r="N15" s="16"/>
      <c r="O15" s="44"/>
      <c r="P15" s="45"/>
      <c r="Q15" s="45"/>
      <c r="R15" s="16"/>
      <c r="S15" s="16"/>
    </row>
    <row r="16" spans="1:19" s="4" customFormat="1" ht="23.25" customHeight="1" x14ac:dyDescent="0.3">
      <c r="A16" s="25" t="s">
        <v>21</v>
      </c>
      <c r="B16" s="35">
        <v>100000</v>
      </c>
      <c r="C16" s="35">
        <v>200000</v>
      </c>
      <c r="D16" s="30">
        <f>B16+C16</f>
        <v>300000</v>
      </c>
      <c r="E16" s="36"/>
      <c r="F16" s="36"/>
      <c r="G16" s="30">
        <f>E16+F16</f>
        <v>0</v>
      </c>
      <c r="H16" s="30">
        <f>IF(J16+G16&gt;=D16,B16-E16,ROUND(J16/D16*B16,0))</f>
        <v>100000</v>
      </c>
      <c r="I16" s="30">
        <f>J16-H16</f>
        <v>300000</v>
      </c>
      <c r="J16" s="38">
        <f>ROUND(委託勞務費!F15,0)</f>
        <v>400000</v>
      </c>
      <c r="K16" s="30">
        <f t="shared" si="1"/>
        <v>100000</v>
      </c>
      <c r="L16" s="30">
        <f t="shared" si="1"/>
        <v>300000</v>
      </c>
      <c r="M16" s="30">
        <f>K16+L16</f>
        <v>400000</v>
      </c>
      <c r="N16" s="16"/>
      <c r="O16" s="44"/>
      <c r="P16" s="45"/>
      <c r="Q16" s="45"/>
      <c r="R16" s="16"/>
      <c r="S16" s="16"/>
    </row>
    <row r="17" spans="1:19" s="4" customFormat="1" ht="23.25" customHeight="1" x14ac:dyDescent="0.3">
      <c r="A17" s="25" t="s">
        <v>22</v>
      </c>
      <c r="B17" s="32"/>
      <c r="C17" s="32"/>
      <c r="D17" s="30"/>
      <c r="E17" s="47"/>
      <c r="F17" s="47"/>
      <c r="G17" s="30"/>
      <c r="H17" s="30"/>
      <c r="I17" s="30"/>
      <c r="J17" s="30"/>
      <c r="K17" s="30"/>
      <c r="L17" s="30"/>
      <c r="M17" s="30"/>
      <c r="N17" s="16"/>
      <c r="O17" s="44"/>
      <c r="P17" s="45"/>
      <c r="Q17" s="45"/>
      <c r="R17" s="16"/>
      <c r="S17" s="16"/>
    </row>
    <row r="18" spans="1:19" s="4" customFormat="1" ht="22.5" customHeight="1" x14ac:dyDescent="0.3">
      <c r="A18" s="25" t="s">
        <v>23</v>
      </c>
      <c r="B18" s="35">
        <v>5000</v>
      </c>
      <c r="C18" s="35">
        <v>10000</v>
      </c>
      <c r="D18" s="30">
        <f t="shared" ref="D18:D19" si="2">B18+C18</f>
        <v>15000</v>
      </c>
      <c r="E18" s="36"/>
      <c r="F18" s="36"/>
      <c r="G18" s="30">
        <f t="shared" ref="G18:G19" si="3">E18+F18</f>
        <v>0</v>
      </c>
      <c r="H18" s="30">
        <f t="shared" ref="H18" si="4">IF(J18+G18&gt;=D18,B18-E18,ROUND(J18/D18*B18,0))</f>
        <v>617</v>
      </c>
      <c r="I18" s="30">
        <f t="shared" ref="I18:I19" si="5">J18-H18</f>
        <v>1233</v>
      </c>
      <c r="J18" s="49">
        <f>ROUND(國內差旅費!N14,0)</f>
        <v>1850</v>
      </c>
      <c r="K18" s="30">
        <f t="shared" ref="K18:K19" si="6">E18+H18</f>
        <v>617</v>
      </c>
      <c r="L18" s="30">
        <f t="shared" ref="L18:L19" si="7">F18+I18</f>
        <v>1233</v>
      </c>
      <c r="M18" s="30">
        <f t="shared" ref="M18:M19" si="8">K18+L18</f>
        <v>1850</v>
      </c>
      <c r="N18" s="16"/>
      <c r="O18" s="44"/>
      <c r="P18" s="45"/>
      <c r="Q18" s="45"/>
      <c r="R18" s="16"/>
      <c r="S18" s="16"/>
    </row>
    <row r="19" spans="1:19" s="4" customFormat="1" ht="22.5" customHeight="1" x14ac:dyDescent="0.3">
      <c r="A19" s="25" t="s">
        <v>24</v>
      </c>
      <c r="B19" s="35"/>
      <c r="C19" s="35">
        <v>15000</v>
      </c>
      <c r="D19" s="30">
        <f t="shared" si="2"/>
        <v>15000</v>
      </c>
      <c r="E19" s="36"/>
      <c r="F19" s="36"/>
      <c r="G19" s="30">
        <f t="shared" si="3"/>
        <v>0</v>
      </c>
      <c r="H19" s="30">
        <v>0</v>
      </c>
      <c r="I19" s="30">
        <f t="shared" si="5"/>
        <v>2000</v>
      </c>
      <c r="J19" s="49">
        <f>ROUND(國外差旅費!N14,0)</f>
        <v>2000</v>
      </c>
      <c r="K19" s="30">
        <f t="shared" si="6"/>
        <v>0</v>
      </c>
      <c r="L19" s="30">
        <f t="shared" si="7"/>
        <v>2000</v>
      </c>
      <c r="M19" s="30">
        <f t="shared" si="8"/>
        <v>2000</v>
      </c>
      <c r="N19" s="16"/>
      <c r="O19" s="44"/>
      <c r="P19" s="45"/>
      <c r="Q19" s="45"/>
      <c r="R19" s="16"/>
      <c r="S19" s="16"/>
    </row>
    <row r="20" spans="1:19" s="4" customFormat="1" ht="22.5" customHeight="1" x14ac:dyDescent="0.3">
      <c r="A20" s="31" t="s">
        <v>25</v>
      </c>
      <c r="B20" s="35">
        <v>70000</v>
      </c>
      <c r="C20" s="35">
        <v>140000</v>
      </c>
      <c r="D20" s="30">
        <f>B20+C20</f>
        <v>210000</v>
      </c>
      <c r="E20" s="36"/>
      <c r="F20" s="36"/>
      <c r="G20" s="30">
        <f>E20+F20</f>
        <v>0</v>
      </c>
      <c r="H20" s="30">
        <f>IF(J20+G20&gt;=D20,B20-E20,ROUND(J20/D20*B20,0))</f>
        <v>2400</v>
      </c>
      <c r="I20" s="30">
        <f>J20-H20</f>
        <v>4800</v>
      </c>
      <c r="J20" s="49">
        <f>ROUND(市場驗證費!J18,0)</f>
        <v>7200</v>
      </c>
      <c r="K20" s="30">
        <f t="shared" si="1"/>
        <v>2400</v>
      </c>
      <c r="L20" s="30">
        <f t="shared" si="1"/>
        <v>4800</v>
      </c>
      <c r="M20" s="30">
        <f>K20+L20</f>
        <v>7200</v>
      </c>
      <c r="N20" s="16"/>
      <c r="O20" s="44"/>
      <c r="P20" s="45"/>
      <c r="Q20" s="45"/>
      <c r="R20" s="16"/>
      <c r="S20" s="16"/>
    </row>
    <row r="21" spans="1:19" s="4" customFormat="1" ht="22.5" customHeight="1" x14ac:dyDescent="0.3">
      <c r="A21" s="22" t="s">
        <v>26</v>
      </c>
      <c r="B21" s="32">
        <f t="shared" ref="B21:M21" si="9">SUM(B8:B20)</f>
        <v>695000</v>
      </c>
      <c r="C21" s="32">
        <f t="shared" si="9"/>
        <v>1405000</v>
      </c>
      <c r="D21" s="32">
        <f t="shared" si="9"/>
        <v>2100000</v>
      </c>
      <c r="E21" s="32">
        <f t="shared" si="9"/>
        <v>0</v>
      </c>
      <c r="F21" s="32">
        <f t="shared" si="9"/>
        <v>0</v>
      </c>
      <c r="G21" s="30">
        <f t="shared" si="9"/>
        <v>0</v>
      </c>
      <c r="H21" s="30">
        <f t="shared" si="9"/>
        <v>381807</v>
      </c>
      <c r="I21" s="30">
        <f t="shared" si="9"/>
        <v>915610</v>
      </c>
      <c r="J21" s="30">
        <f t="shared" si="9"/>
        <v>1297417</v>
      </c>
      <c r="K21" s="30">
        <f t="shared" si="9"/>
        <v>381807</v>
      </c>
      <c r="L21" s="30">
        <f t="shared" si="9"/>
        <v>915610</v>
      </c>
      <c r="M21" s="30">
        <f t="shared" si="9"/>
        <v>1297417</v>
      </c>
      <c r="N21" s="16"/>
      <c r="O21" s="44"/>
      <c r="P21" s="45"/>
      <c r="Q21" s="45"/>
      <c r="R21" s="16"/>
      <c r="S21" s="16"/>
    </row>
    <row r="22" spans="1:19" s="4" customFormat="1" ht="16.2" x14ac:dyDescent="0.3">
      <c r="A22" s="48"/>
      <c r="B22" s="48"/>
      <c r="C22" s="48"/>
      <c r="D22" s="39"/>
      <c r="E22" s="39"/>
      <c r="F22" s="39"/>
      <c r="G22" s="39"/>
      <c r="H22" s="39"/>
      <c r="I22" s="39"/>
      <c r="J22" s="39"/>
      <c r="K22" s="39"/>
      <c r="L22" s="39"/>
      <c r="M22" s="39"/>
      <c r="N22" s="16"/>
      <c r="O22" s="16"/>
      <c r="P22" s="16"/>
      <c r="Q22" s="16"/>
      <c r="R22" s="16"/>
      <c r="S22" s="16"/>
    </row>
    <row r="23" spans="1:19" x14ac:dyDescent="0.25">
      <c r="A23" s="14" t="s">
        <v>27</v>
      </c>
      <c r="B23" s="37"/>
      <c r="C23" s="37"/>
      <c r="D23" s="37"/>
      <c r="E23" s="37"/>
      <c r="F23" s="37"/>
      <c r="G23" s="37"/>
      <c r="H23" s="37"/>
      <c r="I23" s="37"/>
      <c r="J23" s="37"/>
      <c r="K23" s="14"/>
      <c r="L23" s="14"/>
      <c r="M23" s="14"/>
      <c r="N23" s="14"/>
      <c r="O23" s="14"/>
      <c r="P23" s="14"/>
      <c r="Q23" s="14"/>
      <c r="R23" s="14"/>
      <c r="S23" s="14"/>
    </row>
    <row r="24" spans="1:19" ht="13.5" customHeight="1" x14ac:dyDescent="0.25">
      <c r="A24" s="14" t="s">
        <v>28</v>
      </c>
      <c r="B24" s="37"/>
      <c r="C24" s="37"/>
      <c r="D24" s="37"/>
      <c r="E24" s="37"/>
      <c r="F24" s="37"/>
      <c r="G24" s="37"/>
      <c r="H24" s="37"/>
      <c r="I24" s="37"/>
      <c r="J24" s="37"/>
      <c r="K24" s="14"/>
      <c r="L24" s="14"/>
      <c r="M24" s="14"/>
      <c r="N24" s="14"/>
      <c r="O24" s="14"/>
      <c r="P24" s="14"/>
      <c r="Q24" s="14"/>
      <c r="R24" s="14"/>
      <c r="S24" s="14"/>
    </row>
    <row r="25" spans="1:19" x14ac:dyDescent="0.25">
      <c r="A25" s="14" t="s">
        <v>29</v>
      </c>
      <c r="B25" s="37"/>
      <c r="C25" s="37"/>
      <c r="D25" s="37"/>
      <c r="E25" s="37"/>
      <c r="F25" s="37"/>
      <c r="G25" s="37"/>
      <c r="H25" s="37"/>
      <c r="I25" s="37"/>
      <c r="J25" s="37"/>
      <c r="K25" s="14"/>
      <c r="L25" s="14"/>
      <c r="M25" s="14"/>
      <c r="N25" s="14"/>
      <c r="O25" s="14"/>
      <c r="P25" s="14"/>
      <c r="Q25" s="14"/>
      <c r="R25" s="14"/>
      <c r="S25" s="14"/>
    </row>
    <row r="26" spans="1:19" x14ac:dyDescent="0.25">
      <c r="A26" s="14" t="s">
        <v>30</v>
      </c>
      <c r="B26" s="37"/>
      <c r="C26" s="37"/>
      <c r="D26" s="37"/>
      <c r="E26" s="37"/>
      <c r="F26" s="37"/>
      <c r="G26" s="37"/>
      <c r="H26" s="37"/>
      <c r="I26" s="37"/>
      <c r="J26" s="37"/>
      <c r="K26" s="14"/>
      <c r="L26" s="14"/>
      <c r="M26" s="14"/>
      <c r="N26" s="14"/>
      <c r="O26" s="14"/>
      <c r="P26" s="14"/>
      <c r="Q26" s="14"/>
      <c r="R26" s="14"/>
      <c r="S26" s="14"/>
    </row>
    <row r="27" spans="1:19" x14ac:dyDescent="0.25">
      <c r="A27" s="14"/>
      <c r="B27" s="37"/>
      <c r="C27" s="37"/>
      <c r="D27" s="37"/>
      <c r="E27" s="37"/>
      <c r="F27" s="37"/>
      <c r="G27" s="37"/>
      <c r="H27" s="37"/>
      <c r="I27" s="37"/>
      <c r="J27" s="37"/>
      <c r="K27" s="14"/>
      <c r="L27" s="14"/>
      <c r="M27" s="14"/>
      <c r="N27" s="14"/>
      <c r="O27" s="14"/>
      <c r="P27" s="14"/>
      <c r="Q27" s="14"/>
      <c r="R27" s="14"/>
      <c r="S27" s="14"/>
    </row>
    <row r="28" spans="1:19" s="33" customFormat="1" ht="17.399999999999999" x14ac:dyDescent="0.3">
      <c r="A28" s="40" t="s">
        <v>31</v>
      </c>
      <c r="B28" s="41"/>
      <c r="C28" s="42" t="s">
        <v>32</v>
      </c>
      <c r="D28" s="41"/>
      <c r="E28" s="41"/>
      <c r="F28" s="41"/>
      <c r="G28" s="41"/>
      <c r="H28" s="42" t="s">
        <v>33</v>
      </c>
      <c r="I28" s="40"/>
      <c r="J28" s="41"/>
      <c r="K28" s="43" t="s">
        <v>34</v>
      </c>
      <c r="L28" s="41"/>
      <c r="M28" s="41"/>
      <c r="N28" s="18"/>
      <c r="O28" s="18"/>
      <c r="P28" s="18"/>
      <c r="Q28" s="18"/>
      <c r="R28" s="18"/>
      <c r="S28" s="18"/>
    </row>
    <row r="29" spans="1:19" x14ac:dyDescent="0.25">
      <c r="A29" s="14"/>
      <c r="B29" s="37"/>
      <c r="C29" s="37"/>
      <c r="D29" s="37"/>
      <c r="E29" s="37"/>
      <c r="F29" s="37"/>
      <c r="G29" s="37"/>
      <c r="H29" s="37"/>
      <c r="I29" s="37"/>
      <c r="J29" s="37"/>
      <c r="K29" s="14"/>
      <c r="L29" s="14"/>
      <c r="M29" s="14"/>
      <c r="N29" s="14"/>
      <c r="O29" s="14"/>
      <c r="P29" s="14"/>
      <c r="Q29" s="14"/>
      <c r="R29" s="14"/>
      <c r="S29" s="14"/>
    </row>
    <row r="30" spans="1:19" x14ac:dyDescent="0.25">
      <c r="A30" s="14"/>
      <c r="B30" s="37"/>
      <c r="C30" s="37"/>
      <c r="D30" s="37"/>
      <c r="E30" s="37"/>
      <c r="F30" s="37"/>
      <c r="G30" s="37"/>
      <c r="H30" s="37"/>
      <c r="I30" s="37"/>
      <c r="J30" s="37"/>
      <c r="K30" s="14"/>
      <c r="L30" s="14"/>
      <c r="M30" s="14"/>
      <c r="N30" s="14"/>
      <c r="O30" s="14"/>
      <c r="P30" s="14"/>
      <c r="Q30" s="14"/>
      <c r="R30" s="14"/>
      <c r="S30" s="14"/>
    </row>
    <row r="31" spans="1:19" x14ac:dyDescent="0.25">
      <c r="A31" s="14"/>
      <c r="B31" s="37"/>
      <c r="C31" s="37"/>
      <c r="D31" s="37"/>
      <c r="E31" s="37"/>
      <c r="F31" s="37"/>
      <c r="G31" s="37"/>
      <c r="H31" s="37"/>
      <c r="I31" s="37"/>
      <c r="J31" s="37"/>
      <c r="K31" s="14"/>
      <c r="L31" s="14"/>
      <c r="M31" s="14"/>
      <c r="N31" s="14"/>
      <c r="O31" s="14"/>
      <c r="P31" s="14"/>
      <c r="Q31" s="14"/>
      <c r="R31" s="14"/>
      <c r="S31" s="14"/>
    </row>
    <row r="32" spans="1:19" x14ac:dyDescent="0.25">
      <c r="A32" s="14"/>
      <c r="B32" s="17"/>
      <c r="C32" s="17"/>
      <c r="D32" s="17"/>
      <c r="E32" s="17"/>
      <c r="F32" s="17"/>
      <c r="G32" s="17"/>
      <c r="H32" s="17"/>
      <c r="I32" s="17"/>
      <c r="J32" s="17"/>
      <c r="K32" s="14"/>
      <c r="L32" s="14"/>
      <c r="M32" s="14"/>
      <c r="N32" s="14"/>
      <c r="O32" s="14"/>
      <c r="P32" s="14"/>
      <c r="Q32" s="14"/>
      <c r="R32" s="14"/>
      <c r="S32" s="14"/>
    </row>
    <row r="33" spans="1:19" x14ac:dyDescent="0.25">
      <c r="A33" s="14"/>
      <c r="B33" s="17"/>
      <c r="C33" s="17"/>
      <c r="D33" s="17"/>
      <c r="E33" s="17"/>
      <c r="F33" s="17"/>
      <c r="G33" s="17"/>
      <c r="H33" s="17"/>
      <c r="I33" s="17"/>
      <c r="J33" s="17"/>
      <c r="K33" s="14"/>
      <c r="L33" s="14"/>
      <c r="M33" s="14"/>
      <c r="N33" s="14"/>
      <c r="O33" s="14"/>
      <c r="P33" s="14"/>
      <c r="Q33" s="14"/>
      <c r="R33" s="14"/>
      <c r="S33" s="14"/>
    </row>
    <row r="34" spans="1:19" x14ac:dyDescent="0.25">
      <c r="A34" s="14"/>
      <c r="B34" s="17"/>
      <c r="C34" s="17"/>
      <c r="D34" s="17"/>
      <c r="E34" s="17"/>
      <c r="F34" s="17"/>
      <c r="G34" s="17"/>
      <c r="H34" s="17"/>
      <c r="I34" s="17"/>
      <c r="J34" s="17"/>
      <c r="K34" s="14"/>
      <c r="L34" s="14"/>
      <c r="M34" s="14"/>
      <c r="N34" s="14"/>
      <c r="O34" s="14"/>
      <c r="P34" s="14"/>
      <c r="Q34" s="14"/>
      <c r="R34" s="14"/>
      <c r="S34" s="14"/>
    </row>
    <row r="35" spans="1:19" x14ac:dyDescent="0.25">
      <c r="A35" s="14"/>
      <c r="B35" s="17"/>
      <c r="C35" s="17"/>
      <c r="D35" s="17"/>
      <c r="E35" s="17"/>
      <c r="F35" s="17"/>
      <c r="G35" s="17"/>
      <c r="H35" s="17"/>
      <c r="I35" s="17"/>
      <c r="J35" s="17"/>
      <c r="K35" s="14"/>
      <c r="L35" s="14"/>
      <c r="M35" s="14"/>
      <c r="N35" s="14"/>
      <c r="O35" s="14"/>
      <c r="P35" s="14"/>
      <c r="Q35" s="14"/>
      <c r="R35" s="14"/>
      <c r="S35" s="14"/>
    </row>
    <row r="36" spans="1:19" x14ac:dyDescent="0.25">
      <c r="A36" s="14"/>
      <c r="B36" s="17"/>
      <c r="C36" s="17"/>
      <c r="D36" s="17"/>
      <c r="E36" s="17"/>
      <c r="F36" s="17"/>
      <c r="G36" s="17"/>
      <c r="H36" s="17"/>
      <c r="I36" s="17"/>
      <c r="J36" s="17"/>
      <c r="K36" s="14"/>
      <c r="L36" s="14"/>
      <c r="M36" s="14"/>
      <c r="N36" s="14"/>
      <c r="O36" s="14"/>
      <c r="P36" s="14"/>
      <c r="Q36" s="14"/>
      <c r="R36" s="14"/>
      <c r="S36" s="14"/>
    </row>
    <row r="37" spans="1:19" x14ac:dyDescent="0.25">
      <c r="A37" s="14"/>
      <c r="B37" s="17"/>
      <c r="C37" s="17"/>
      <c r="D37" s="17"/>
      <c r="E37" s="17"/>
      <c r="F37" s="17"/>
      <c r="G37" s="17"/>
      <c r="H37" s="17"/>
      <c r="I37" s="17"/>
      <c r="J37" s="17"/>
      <c r="K37" s="14"/>
      <c r="L37" s="14"/>
      <c r="M37" s="14"/>
      <c r="N37" s="14"/>
      <c r="O37" s="14"/>
      <c r="P37" s="14"/>
      <c r="Q37" s="14"/>
      <c r="R37" s="14"/>
      <c r="S37" s="14"/>
    </row>
    <row r="38" spans="1:19" x14ac:dyDescent="0.25">
      <c r="A38" s="14"/>
      <c r="B38" s="17"/>
      <c r="C38" s="17"/>
      <c r="D38" s="17"/>
      <c r="E38" s="17"/>
      <c r="F38" s="17"/>
      <c r="G38" s="17"/>
      <c r="H38" s="17"/>
      <c r="I38" s="17"/>
      <c r="J38" s="17"/>
      <c r="K38" s="14"/>
      <c r="L38" s="14"/>
      <c r="M38" s="14"/>
      <c r="N38" s="14"/>
      <c r="O38" s="14"/>
      <c r="P38" s="14"/>
      <c r="Q38" s="14"/>
      <c r="R38" s="14"/>
      <c r="S38" s="14"/>
    </row>
    <row r="39" spans="1:19" x14ac:dyDescent="0.25">
      <c r="A39" s="14"/>
      <c r="B39" s="17"/>
      <c r="C39" s="17"/>
      <c r="D39" s="17"/>
      <c r="E39" s="17"/>
      <c r="F39" s="17"/>
      <c r="G39" s="17"/>
      <c r="H39" s="17"/>
      <c r="I39" s="17"/>
      <c r="J39" s="17"/>
      <c r="K39" s="14"/>
      <c r="L39" s="14"/>
      <c r="M39" s="14"/>
      <c r="N39" s="14"/>
      <c r="O39" s="14"/>
      <c r="P39" s="14"/>
      <c r="Q39" s="14"/>
      <c r="R39" s="14"/>
      <c r="S39" s="14"/>
    </row>
    <row r="40" spans="1:19" x14ac:dyDescent="0.25">
      <c r="A40" s="14"/>
      <c r="B40" s="17"/>
      <c r="C40" s="17"/>
      <c r="D40" s="17"/>
      <c r="E40" s="17"/>
      <c r="F40" s="17"/>
      <c r="G40" s="17"/>
      <c r="H40" s="17"/>
      <c r="I40" s="17"/>
      <c r="J40" s="17"/>
      <c r="K40" s="14"/>
      <c r="L40" s="14"/>
      <c r="M40" s="14"/>
      <c r="N40" s="14"/>
      <c r="O40" s="14"/>
      <c r="P40" s="14"/>
      <c r="Q40" s="14"/>
      <c r="R40" s="14"/>
      <c r="S40" s="14"/>
    </row>
    <row r="41" spans="1:19" x14ac:dyDescent="0.25">
      <c r="A41" s="14"/>
      <c r="B41" s="17"/>
      <c r="C41" s="17"/>
      <c r="D41" s="17"/>
      <c r="E41" s="17"/>
      <c r="F41" s="17"/>
      <c r="G41" s="17"/>
      <c r="H41" s="17"/>
      <c r="I41" s="17"/>
      <c r="J41" s="17"/>
      <c r="K41" s="14"/>
      <c r="L41" s="14"/>
      <c r="M41" s="14"/>
      <c r="N41" s="14"/>
      <c r="O41" s="14"/>
      <c r="P41" s="14"/>
      <c r="Q41" s="14"/>
      <c r="R41" s="14"/>
      <c r="S41" s="14"/>
    </row>
    <row r="42" spans="1:19" x14ac:dyDescent="0.25">
      <c r="A42" s="14"/>
      <c r="B42" s="17"/>
      <c r="C42" s="17"/>
      <c r="D42" s="17"/>
      <c r="E42" s="17"/>
      <c r="F42" s="17"/>
      <c r="G42" s="17"/>
      <c r="H42" s="17"/>
      <c r="I42" s="17"/>
      <c r="J42" s="17"/>
      <c r="K42" s="14"/>
      <c r="L42" s="14"/>
      <c r="M42" s="14"/>
      <c r="N42" s="14"/>
      <c r="O42" s="14"/>
      <c r="P42" s="14"/>
      <c r="Q42" s="14"/>
      <c r="R42" s="14"/>
      <c r="S42" s="14"/>
    </row>
    <row r="43" spans="1:19" x14ac:dyDescent="0.25">
      <c r="A43" s="14"/>
      <c r="B43" s="17"/>
      <c r="C43" s="17"/>
      <c r="D43" s="17"/>
      <c r="E43" s="17"/>
      <c r="F43" s="17"/>
      <c r="G43" s="17"/>
      <c r="H43" s="17"/>
      <c r="I43" s="17"/>
      <c r="J43" s="17"/>
      <c r="K43" s="14"/>
      <c r="L43" s="14"/>
      <c r="M43" s="14"/>
      <c r="N43" s="14"/>
      <c r="O43" s="14"/>
      <c r="P43" s="14"/>
      <c r="Q43" s="14"/>
      <c r="R43" s="14"/>
      <c r="S43" s="14"/>
    </row>
    <row r="44" spans="1:19" x14ac:dyDescent="0.25">
      <c r="A44" s="14"/>
      <c r="B44" s="17"/>
      <c r="C44" s="17"/>
      <c r="D44" s="17"/>
      <c r="E44" s="17"/>
      <c r="F44" s="17"/>
      <c r="G44" s="17"/>
      <c r="H44" s="17"/>
      <c r="I44" s="17"/>
      <c r="J44" s="17"/>
      <c r="K44" s="14"/>
      <c r="L44" s="14"/>
      <c r="M44" s="14"/>
      <c r="N44" s="14"/>
      <c r="O44" s="14"/>
      <c r="P44" s="14"/>
      <c r="Q44" s="14"/>
      <c r="R44" s="14"/>
      <c r="S44" s="14"/>
    </row>
    <row r="45" spans="1:19" x14ac:dyDescent="0.25">
      <c r="A45" s="14"/>
      <c r="B45" s="17"/>
      <c r="C45" s="17"/>
      <c r="D45" s="17"/>
      <c r="E45" s="17"/>
      <c r="F45" s="17"/>
      <c r="G45" s="17"/>
      <c r="H45" s="17"/>
      <c r="I45" s="17"/>
      <c r="J45" s="17"/>
      <c r="K45" s="14"/>
      <c r="L45" s="14"/>
      <c r="M45" s="14"/>
      <c r="N45" s="14"/>
      <c r="O45" s="14"/>
      <c r="P45" s="14"/>
      <c r="Q45" s="14"/>
      <c r="R45" s="14"/>
      <c r="S45" s="14"/>
    </row>
    <row r="46" spans="1:19" x14ac:dyDescent="0.25">
      <c r="A46" s="14"/>
      <c r="B46" s="17"/>
      <c r="C46" s="17"/>
      <c r="D46" s="17"/>
      <c r="E46" s="17"/>
      <c r="F46" s="17"/>
      <c r="G46" s="17"/>
      <c r="H46" s="17"/>
      <c r="I46" s="17"/>
      <c r="J46" s="17"/>
      <c r="K46" s="14"/>
      <c r="L46" s="14"/>
      <c r="M46" s="14"/>
      <c r="N46" s="14"/>
      <c r="O46" s="14"/>
      <c r="P46" s="14"/>
      <c r="Q46" s="14"/>
      <c r="R46" s="14"/>
      <c r="S46" s="14"/>
    </row>
    <row r="47" spans="1:19" x14ac:dyDescent="0.25">
      <c r="A47" s="14"/>
      <c r="B47" s="17"/>
      <c r="C47" s="17"/>
      <c r="D47" s="17"/>
      <c r="E47" s="17"/>
      <c r="F47" s="17"/>
      <c r="G47" s="17"/>
      <c r="H47" s="17"/>
      <c r="I47" s="17"/>
      <c r="J47" s="17"/>
      <c r="K47" s="14"/>
      <c r="L47" s="14"/>
      <c r="M47" s="14"/>
      <c r="N47" s="14"/>
      <c r="O47" s="14"/>
      <c r="P47" s="14"/>
      <c r="Q47" s="14"/>
      <c r="R47" s="14"/>
      <c r="S47" s="14"/>
    </row>
    <row r="48" spans="1:19" x14ac:dyDescent="0.25">
      <c r="A48" s="14"/>
      <c r="B48" s="17"/>
      <c r="C48" s="17"/>
      <c r="D48" s="17"/>
      <c r="E48" s="17"/>
      <c r="F48" s="17"/>
      <c r="G48" s="17"/>
      <c r="H48" s="17"/>
      <c r="I48" s="17"/>
      <c r="J48" s="17"/>
      <c r="K48" s="14"/>
      <c r="L48" s="14"/>
      <c r="M48" s="14"/>
      <c r="N48" s="14"/>
      <c r="O48" s="14"/>
      <c r="P48" s="14"/>
      <c r="Q48" s="14"/>
      <c r="R48" s="14"/>
      <c r="S48" s="14"/>
    </row>
    <row r="49" spans="1:19" x14ac:dyDescent="0.25">
      <c r="A49" s="14"/>
      <c r="B49" s="17"/>
      <c r="C49" s="17"/>
      <c r="D49" s="17"/>
      <c r="E49" s="17"/>
      <c r="F49" s="17"/>
      <c r="G49" s="17"/>
      <c r="H49" s="17"/>
      <c r="I49" s="17"/>
      <c r="J49" s="17"/>
      <c r="K49" s="14"/>
      <c r="L49" s="14"/>
      <c r="M49" s="14"/>
      <c r="N49" s="14"/>
      <c r="O49" s="14"/>
      <c r="P49" s="14"/>
      <c r="Q49" s="14"/>
      <c r="R49" s="14"/>
      <c r="S49" s="14"/>
    </row>
    <row r="50" spans="1:19" x14ac:dyDescent="0.25">
      <c r="A50" s="14"/>
      <c r="B50" s="17"/>
      <c r="C50" s="17"/>
      <c r="D50" s="17"/>
      <c r="E50" s="17"/>
      <c r="F50" s="17"/>
      <c r="G50" s="17"/>
      <c r="H50" s="17"/>
      <c r="I50" s="17"/>
      <c r="J50" s="17"/>
      <c r="K50" s="14"/>
      <c r="L50" s="14"/>
      <c r="M50" s="14"/>
      <c r="N50" s="14"/>
      <c r="O50" s="14"/>
      <c r="P50" s="14"/>
      <c r="Q50" s="14"/>
      <c r="R50" s="14"/>
      <c r="S50" s="14"/>
    </row>
  </sheetData>
  <sheetProtection algorithmName="SHA-512" hashValue="qRJe3yFpTdOa0B7FMYXnIuRGkGvc6htuxOMgqTvJfSjF9v5MQ94QXpdGUhhbEFBMZiMG/gGs6i37iHRq1TrYiA==" saltValue="GqXLqhSa1h0NlmnzJagkjQ==" spinCount="100000" sheet="1" formatCells="0" formatColumns="0" formatRows="0"/>
  <mergeCells count="7">
    <mergeCell ref="A1:M1"/>
    <mergeCell ref="A2:M2"/>
    <mergeCell ref="A3:M3"/>
    <mergeCell ref="B5:D5"/>
    <mergeCell ref="E5:G5"/>
    <mergeCell ref="H5:J5"/>
    <mergeCell ref="K5:M5"/>
  </mergeCells>
  <phoneticPr fontId="9" type="noConversion"/>
  <printOptions horizontalCentered="1" verticalCentered="1"/>
  <pageMargins left="0.19685039370078741" right="0.15748031496062992" top="0.39370078740157483" bottom="0.39370078740157483" header="0.27559055118110237" footer="0.15748031496062992"/>
  <pageSetup paperSize="9" scale="58" fitToWidth="0" fitToHeight="0" orientation="landscape" blackAndWhite="1" r:id="rId1"/>
  <headerFooter alignWithMargins="0"/>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工作表2"/>
  <dimension ref="A1:I20"/>
  <sheetViews>
    <sheetView view="pageBreakPreview" zoomScale="60" zoomScaleNormal="80" workbookViewId="0">
      <selection activeCell="C10" sqref="C10"/>
    </sheetView>
  </sheetViews>
  <sheetFormatPr defaultColWidth="11.19921875" defaultRowHeight="22.8" x14ac:dyDescent="0.4"/>
  <cols>
    <col min="1" max="1" width="17.59765625" style="51" customWidth="1"/>
    <col min="2" max="3" width="23.69921875" style="51" bestFit="1" customWidth="1"/>
    <col min="4" max="4" width="19.5" style="51" bestFit="1" customWidth="1"/>
    <col min="5" max="5" width="23.69921875" style="51" bestFit="1" customWidth="1"/>
    <col min="6" max="6" width="17.5" style="51" customWidth="1"/>
    <col min="7" max="7" width="19.5" style="51" bestFit="1" customWidth="1"/>
    <col min="8" max="8" width="13.69921875" style="51" bestFit="1" customWidth="1"/>
    <col min="9" max="9" width="28.19921875" style="51" bestFit="1" customWidth="1"/>
    <col min="10" max="10" width="11.19921875" style="51" customWidth="1"/>
    <col min="11" max="16384" width="11.19921875" style="51"/>
  </cols>
  <sheetData>
    <row r="1" spans="1:9" ht="24.6" x14ac:dyDescent="0.45">
      <c r="A1" s="343" t="str">
        <f>計畫經費彙總表!A1</f>
        <v>××股份有限公司</v>
      </c>
      <c r="B1" s="343"/>
      <c r="C1" s="343"/>
      <c r="D1" s="343"/>
      <c r="E1" s="343"/>
      <c r="F1" s="343"/>
      <c r="G1" s="343"/>
      <c r="H1" s="343"/>
      <c r="I1" s="343"/>
    </row>
    <row r="2" spans="1:9" ht="24.6" x14ac:dyDescent="0.45">
      <c r="A2" s="343" t="s">
        <v>35</v>
      </c>
      <c r="B2" s="343"/>
      <c r="C2" s="343"/>
      <c r="D2" s="343"/>
      <c r="E2" s="343"/>
      <c r="F2" s="343"/>
      <c r="G2" s="343"/>
      <c r="H2" s="343"/>
      <c r="I2" s="343"/>
    </row>
    <row r="3" spans="1:9" ht="24.6" x14ac:dyDescent="0.45">
      <c r="A3" s="52"/>
      <c r="B3" s="52"/>
      <c r="C3" s="52"/>
      <c r="D3" s="52"/>
      <c r="E3" s="52"/>
      <c r="F3" s="52"/>
      <c r="G3" s="52"/>
      <c r="H3" s="52"/>
      <c r="I3" s="53" t="s">
        <v>36</v>
      </c>
    </row>
    <row r="4" spans="1:9" s="54" customFormat="1" ht="24.6" x14ac:dyDescent="0.45">
      <c r="A4" s="77" t="s">
        <v>37</v>
      </c>
      <c r="B4" s="332"/>
      <c r="C4" s="78" t="s">
        <v>38</v>
      </c>
      <c r="D4" s="333"/>
      <c r="E4" s="334"/>
      <c r="F4" s="334"/>
      <c r="G4" s="334"/>
      <c r="H4" s="334"/>
      <c r="I4" s="335"/>
    </row>
    <row r="5" spans="1:9" s="55" customFormat="1" ht="99.75" customHeight="1" thickBot="1" x14ac:dyDescent="0.35">
      <c r="A5" s="79" t="s">
        <v>39</v>
      </c>
      <c r="B5" s="80" t="s">
        <v>40</v>
      </c>
      <c r="C5" s="80" t="s">
        <v>41</v>
      </c>
      <c r="D5" s="80" t="s">
        <v>42</v>
      </c>
      <c r="E5" s="80" t="s">
        <v>43</v>
      </c>
      <c r="F5" s="80" t="s">
        <v>44</v>
      </c>
      <c r="G5" s="80" t="s">
        <v>45</v>
      </c>
      <c r="H5" s="80" t="s">
        <v>46</v>
      </c>
      <c r="I5" s="81" t="s">
        <v>47</v>
      </c>
    </row>
    <row r="6" spans="1:9" s="56" customFormat="1" x14ac:dyDescent="0.4">
      <c r="A6" s="82"/>
      <c r="B6" s="83"/>
      <c r="C6" s="84"/>
      <c r="D6" s="83"/>
      <c r="E6" s="83"/>
      <c r="F6" s="83"/>
      <c r="G6" s="84"/>
      <c r="H6" s="83"/>
      <c r="I6" s="85"/>
    </row>
    <row r="7" spans="1:9" ht="24.6" x14ac:dyDescent="0.45">
      <c r="A7" s="57" t="s">
        <v>48</v>
      </c>
      <c r="B7" s="58">
        <v>51800</v>
      </c>
      <c r="C7" s="58">
        <v>10000</v>
      </c>
      <c r="D7" s="58">
        <v>2000</v>
      </c>
      <c r="E7" s="59">
        <f>SUM(B7:D7)</f>
        <v>63800</v>
      </c>
      <c r="F7" s="60">
        <f>工時記錄表!AI5</f>
        <v>0.67999999999999994</v>
      </c>
      <c r="G7" s="59">
        <f t="shared" ref="G7:G12" si="0">ROUND(E7*F7,0)</f>
        <v>43384</v>
      </c>
      <c r="H7" s="58">
        <f>加班記錄!I5</f>
        <v>200</v>
      </c>
      <c r="I7" s="61">
        <f t="shared" ref="I7:I12" si="1">SUM(G7:H7)</f>
        <v>43584</v>
      </c>
    </row>
    <row r="8" spans="1:9" ht="24.6" x14ac:dyDescent="0.45">
      <c r="A8" s="57" t="s">
        <v>49</v>
      </c>
      <c r="B8" s="58">
        <v>41800</v>
      </c>
      <c r="C8" s="58">
        <v>0</v>
      </c>
      <c r="D8" s="58">
        <v>0</v>
      </c>
      <c r="E8" s="59">
        <f>SUM(B8:D8)</f>
        <v>41800</v>
      </c>
      <c r="F8" s="60">
        <f>工時記錄表!AI6</f>
        <v>1</v>
      </c>
      <c r="G8" s="59">
        <f t="shared" si="0"/>
        <v>41800</v>
      </c>
      <c r="H8" s="58">
        <f>加班記錄!I6</f>
        <v>300</v>
      </c>
      <c r="I8" s="61">
        <f t="shared" si="1"/>
        <v>42100</v>
      </c>
    </row>
    <row r="9" spans="1:9" ht="24.6" x14ac:dyDescent="0.45">
      <c r="A9" s="57" t="s">
        <v>50</v>
      </c>
      <c r="B9" s="58">
        <v>36800</v>
      </c>
      <c r="C9" s="58">
        <v>0</v>
      </c>
      <c r="D9" s="58">
        <v>0</v>
      </c>
      <c r="E9" s="59">
        <f>SUM(B9:D9)</f>
        <v>36800</v>
      </c>
      <c r="F9" s="60">
        <f>工時記錄表!AI7</f>
        <v>0.5</v>
      </c>
      <c r="G9" s="59">
        <f t="shared" si="0"/>
        <v>18400</v>
      </c>
      <c r="H9" s="58">
        <f>加班記錄!I7</f>
        <v>400</v>
      </c>
      <c r="I9" s="61">
        <f t="shared" si="1"/>
        <v>18800</v>
      </c>
    </row>
    <row r="10" spans="1:9" ht="24.6" x14ac:dyDescent="0.45">
      <c r="A10" s="57" t="s">
        <v>51</v>
      </c>
      <c r="B10" s="62">
        <v>31800</v>
      </c>
      <c r="C10" s="62"/>
      <c r="D10" s="62"/>
      <c r="E10" s="59">
        <f>SUM(B10:D10)</f>
        <v>31800</v>
      </c>
      <c r="F10" s="60">
        <f>工時記錄表!AI8</f>
        <v>0.75</v>
      </c>
      <c r="G10" s="59">
        <f t="shared" si="0"/>
        <v>23850</v>
      </c>
      <c r="H10" s="58">
        <f>加班記錄!I8</f>
        <v>500</v>
      </c>
      <c r="I10" s="61">
        <f t="shared" si="1"/>
        <v>24350</v>
      </c>
    </row>
    <row r="11" spans="1:9" x14ac:dyDescent="0.4">
      <c r="A11" s="57"/>
      <c r="B11" s="62"/>
      <c r="C11" s="62"/>
      <c r="D11" s="62"/>
      <c r="E11" s="63"/>
      <c r="F11" s="64"/>
      <c r="G11" s="59">
        <f t="shared" si="0"/>
        <v>0</v>
      </c>
      <c r="H11" s="58"/>
      <c r="I11" s="61">
        <f t="shared" si="1"/>
        <v>0</v>
      </c>
    </row>
    <row r="12" spans="1:9" x14ac:dyDescent="0.4">
      <c r="A12" s="65"/>
      <c r="B12" s="62"/>
      <c r="C12" s="62"/>
      <c r="D12" s="62"/>
      <c r="E12" s="63"/>
      <c r="F12" s="64"/>
      <c r="G12" s="59">
        <f t="shared" si="0"/>
        <v>0</v>
      </c>
      <c r="H12" s="58"/>
      <c r="I12" s="61">
        <f t="shared" si="1"/>
        <v>0</v>
      </c>
    </row>
    <row r="13" spans="1:9" ht="25.2" thickBot="1" x14ac:dyDescent="0.5">
      <c r="A13" s="318" t="s">
        <v>52</v>
      </c>
      <c r="B13" s="66">
        <f>SUM(B6:B12)</f>
        <v>162200</v>
      </c>
      <c r="C13" s="66">
        <f t="shared" ref="C13:H13" si="2">SUM(C7:C12)</f>
        <v>10000</v>
      </c>
      <c r="D13" s="66">
        <f t="shared" si="2"/>
        <v>2000</v>
      </c>
      <c r="E13" s="66">
        <f t="shared" si="2"/>
        <v>174200</v>
      </c>
      <c r="F13" s="66">
        <f t="shared" si="2"/>
        <v>2.9299999999999997</v>
      </c>
      <c r="G13" s="66">
        <f t="shared" si="2"/>
        <v>127434</v>
      </c>
      <c r="H13" s="66">
        <f t="shared" si="2"/>
        <v>1400</v>
      </c>
      <c r="I13" s="67">
        <f>ROUND(SUM(I6:I12),0)</f>
        <v>128834</v>
      </c>
    </row>
    <row r="14" spans="1:9" ht="24.6" x14ac:dyDescent="0.45">
      <c r="A14" s="50"/>
      <c r="B14" s="68"/>
      <c r="C14" s="68"/>
      <c r="D14" s="68"/>
      <c r="E14" s="68"/>
      <c r="F14" s="68"/>
      <c r="G14" s="68"/>
      <c r="H14" s="68"/>
      <c r="I14" s="68"/>
    </row>
    <row r="15" spans="1:9" x14ac:dyDescent="0.4">
      <c r="A15" s="69" t="s">
        <v>53</v>
      </c>
      <c r="B15" s="69"/>
      <c r="C15" s="69"/>
      <c r="D15" s="69"/>
      <c r="E15" s="69"/>
      <c r="F15" s="69"/>
      <c r="G15" s="70"/>
      <c r="H15" s="70"/>
      <c r="I15" s="70"/>
    </row>
    <row r="16" spans="1:9" x14ac:dyDescent="0.4">
      <c r="A16" s="344" t="s">
        <v>54</v>
      </c>
      <c r="B16" s="344"/>
      <c r="C16" s="344"/>
      <c r="D16" s="344"/>
      <c r="E16" s="344"/>
      <c r="F16" s="344"/>
      <c r="G16" s="344"/>
      <c r="H16" s="344"/>
      <c r="I16" s="344"/>
    </row>
    <row r="17" spans="1:9" x14ac:dyDescent="0.4">
      <c r="A17" s="344" t="s">
        <v>55</v>
      </c>
      <c r="B17" s="344"/>
      <c r="C17" s="344"/>
      <c r="D17" s="344"/>
      <c r="E17" s="344"/>
      <c r="F17" s="344"/>
      <c r="G17" s="344"/>
      <c r="H17" s="344"/>
      <c r="I17" s="344"/>
    </row>
    <row r="18" spans="1:9" ht="25.5" customHeight="1" x14ac:dyDescent="0.4">
      <c r="A18" s="71"/>
    </row>
    <row r="19" spans="1:9" s="72" customFormat="1" ht="19.8" x14ac:dyDescent="0.4">
      <c r="A19" s="248" t="s">
        <v>32</v>
      </c>
      <c r="E19" s="248" t="s">
        <v>33</v>
      </c>
      <c r="I19" s="249" t="s">
        <v>34</v>
      </c>
    </row>
    <row r="20" spans="1:9" x14ac:dyDescent="0.4">
      <c r="A20" s="73"/>
      <c r="D20" s="74"/>
      <c r="E20" s="74"/>
      <c r="F20" s="74"/>
      <c r="G20" s="75"/>
      <c r="H20" s="76"/>
      <c r="I20" s="76"/>
    </row>
  </sheetData>
  <sheetProtection algorithmName="SHA-512" hashValue="WsFkcT4sItm1pozFlEL7mQ75fk4/+VtOUF6SYPEXrFr6FleTwTeXDtn9YVAVSKpQuGDvpyimFm44klaxkAI/OA==" saltValue="KOOEq/lmAOILYSNpo7qRvw==" spinCount="100000" sheet="1" formatCells="0" formatColumns="0" formatRows="0" insertRows="0"/>
  <mergeCells count="4">
    <mergeCell ref="A1:I1"/>
    <mergeCell ref="A2:I2"/>
    <mergeCell ref="A16:I16"/>
    <mergeCell ref="A17:I17"/>
  </mergeCells>
  <phoneticPr fontId="9" type="noConversion"/>
  <printOptions horizontalCentered="1" verticalCentered="1"/>
  <pageMargins left="0.19685039370078741" right="0.15748031496062992" top="0.39370078740157483" bottom="0.39370078740157483" header="0.27559055118110237" footer="0.15748031496062992"/>
  <pageSetup paperSize="9" scale="72" fitToWidth="0" fitToHeight="0" orientation="landscape" blackAndWhite="1" r:id="rId1"/>
  <headerFooter alignWithMargins="0"/>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工作表3"/>
  <dimension ref="A1:V15"/>
  <sheetViews>
    <sheetView view="pageBreakPreview" zoomScale="60" zoomScaleNormal="80" workbookViewId="0">
      <selection activeCell="G4" sqref="G4:H4"/>
    </sheetView>
  </sheetViews>
  <sheetFormatPr defaultColWidth="11.19921875" defaultRowHeight="24.6" x14ac:dyDescent="0.45"/>
  <cols>
    <col min="1" max="1" width="17.59765625" style="86" customWidth="1"/>
    <col min="2" max="2" width="17" style="86" customWidth="1"/>
    <col min="3" max="3" width="23.69921875" style="86" bestFit="1" customWidth="1"/>
    <col min="4" max="4" width="19.5" style="86" bestFit="1" customWidth="1"/>
    <col min="5" max="5" width="20.59765625" style="86" bestFit="1" customWidth="1"/>
    <col min="6" max="6" width="13.09765625" style="86" customWidth="1"/>
    <col min="7" max="7" width="19.5" style="86" bestFit="1" customWidth="1"/>
    <col min="8" max="8" width="13.69921875" style="86" bestFit="1" customWidth="1"/>
    <col min="9" max="9" width="33.09765625" style="86" bestFit="1" customWidth="1"/>
    <col min="10" max="10" width="20" style="86" customWidth="1"/>
    <col min="11" max="11" width="11.19921875" style="86" customWidth="1"/>
    <col min="12" max="16384" width="11.19921875" style="86"/>
  </cols>
  <sheetData>
    <row r="1" spans="1:22" x14ac:dyDescent="0.45">
      <c r="A1" s="343" t="str">
        <f>計畫經費彙總表!A1</f>
        <v>××股份有限公司</v>
      </c>
      <c r="B1" s="343"/>
      <c r="C1" s="343"/>
      <c r="D1" s="343"/>
      <c r="E1" s="343"/>
      <c r="F1" s="343"/>
      <c r="G1" s="343"/>
      <c r="H1" s="343"/>
      <c r="I1" s="343"/>
      <c r="J1" s="343"/>
    </row>
    <row r="2" spans="1:22" x14ac:dyDescent="0.45">
      <c r="A2" s="343" t="s">
        <v>56</v>
      </c>
      <c r="B2" s="343"/>
      <c r="C2" s="343"/>
      <c r="D2" s="343"/>
      <c r="E2" s="343"/>
      <c r="F2" s="343"/>
      <c r="G2" s="343"/>
      <c r="H2" s="343"/>
      <c r="I2" s="343"/>
      <c r="J2" s="343"/>
    </row>
    <row r="3" spans="1:22" ht="25.2" thickBot="1" x14ac:dyDescent="0.5">
      <c r="A3" s="100"/>
      <c r="B3" s="100"/>
      <c r="C3" s="100"/>
      <c r="D3" s="100"/>
      <c r="E3" s="100"/>
      <c r="F3" s="100"/>
      <c r="G3" s="100"/>
      <c r="H3" s="100"/>
      <c r="I3" s="100" t="s">
        <v>36</v>
      </c>
      <c r="J3" s="100"/>
    </row>
    <row r="4" spans="1:22" s="87" customFormat="1" ht="49.2" x14ac:dyDescent="0.3">
      <c r="A4" s="101" t="s">
        <v>57</v>
      </c>
      <c r="B4" s="347" t="s">
        <v>58</v>
      </c>
      <c r="C4" s="347"/>
      <c r="D4" s="347"/>
      <c r="E4" s="347"/>
      <c r="F4" s="327" t="s">
        <v>59</v>
      </c>
      <c r="G4" s="347" t="s">
        <v>60</v>
      </c>
      <c r="H4" s="347"/>
      <c r="I4" s="102" t="s">
        <v>61</v>
      </c>
      <c r="J4" s="103" t="s">
        <v>62</v>
      </c>
    </row>
    <row r="5" spans="1:22" x14ac:dyDescent="0.45">
      <c r="A5" s="253" t="s">
        <v>48</v>
      </c>
      <c r="B5" s="345"/>
      <c r="C5" s="345"/>
      <c r="D5" s="345"/>
      <c r="E5" s="345"/>
      <c r="F5" s="254"/>
      <c r="G5" s="345"/>
      <c r="H5" s="345"/>
      <c r="I5" s="255">
        <v>200</v>
      </c>
      <c r="J5" s="88"/>
    </row>
    <row r="6" spans="1:22" x14ac:dyDescent="0.45">
      <c r="A6" s="253" t="s">
        <v>49</v>
      </c>
      <c r="B6" s="345"/>
      <c r="C6" s="345"/>
      <c r="D6" s="345"/>
      <c r="E6" s="345"/>
      <c r="F6" s="254"/>
      <c r="G6" s="345"/>
      <c r="H6" s="345"/>
      <c r="I6" s="255">
        <v>300</v>
      </c>
      <c r="J6" s="88"/>
    </row>
    <row r="7" spans="1:22" x14ac:dyDescent="0.45">
      <c r="A7" s="253" t="s">
        <v>50</v>
      </c>
      <c r="B7" s="345"/>
      <c r="C7" s="345"/>
      <c r="D7" s="345"/>
      <c r="E7" s="345"/>
      <c r="F7" s="254"/>
      <c r="G7" s="345"/>
      <c r="H7" s="345"/>
      <c r="I7" s="255">
        <v>400</v>
      </c>
      <c r="J7" s="88"/>
    </row>
    <row r="8" spans="1:22" x14ac:dyDescent="0.45">
      <c r="A8" s="253" t="s">
        <v>51</v>
      </c>
      <c r="B8" s="345"/>
      <c r="C8" s="345"/>
      <c r="D8" s="345"/>
      <c r="E8" s="345"/>
      <c r="F8" s="254"/>
      <c r="G8" s="345"/>
      <c r="H8" s="345"/>
      <c r="I8" s="255">
        <v>500</v>
      </c>
      <c r="J8" s="88"/>
    </row>
    <row r="9" spans="1:22" x14ac:dyDescent="0.45">
      <c r="A9" s="259"/>
      <c r="B9" s="345"/>
      <c r="C9" s="345"/>
      <c r="D9" s="345"/>
      <c r="E9" s="345"/>
      <c r="F9" s="254"/>
      <c r="G9" s="345"/>
      <c r="H9" s="345"/>
      <c r="I9" s="255"/>
      <c r="J9" s="88"/>
    </row>
    <row r="10" spans="1:22" x14ac:dyDescent="0.45">
      <c r="A10" s="260"/>
      <c r="B10" s="345"/>
      <c r="C10" s="345"/>
      <c r="D10" s="345"/>
      <c r="E10" s="345"/>
      <c r="F10" s="254"/>
      <c r="G10" s="345"/>
      <c r="H10" s="345"/>
      <c r="I10" s="255"/>
      <c r="J10" s="88"/>
    </row>
    <row r="11" spans="1:22" ht="25.2" thickBot="1" x14ac:dyDescent="0.5">
      <c r="A11" s="319" t="s">
        <v>63</v>
      </c>
      <c r="B11" s="346"/>
      <c r="C11" s="346"/>
      <c r="D11" s="346"/>
      <c r="E11" s="346"/>
      <c r="F11" s="89"/>
      <c r="G11" s="346"/>
      <c r="H11" s="346"/>
      <c r="I11" s="90">
        <f>ROUND(SUM(I5:I10),0)</f>
        <v>1400</v>
      </c>
      <c r="J11" s="91"/>
    </row>
    <row r="12" spans="1:22" x14ac:dyDescent="0.45">
      <c r="A12" s="50"/>
      <c r="B12" s="92"/>
      <c r="C12" s="92"/>
      <c r="D12" s="92"/>
      <c r="E12" s="92"/>
      <c r="F12" s="92"/>
      <c r="G12" s="92"/>
      <c r="H12" s="92"/>
      <c r="I12" s="92"/>
    </row>
    <row r="13" spans="1:22" s="18" customFormat="1" ht="17.399999999999999" x14ac:dyDescent="0.3">
      <c r="A13" s="93" t="s">
        <v>32</v>
      </c>
      <c r="D13" s="93" t="s">
        <v>33</v>
      </c>
      <c r="H13" s="94" t="s">
        <v>34</v>
      </c>
    </row>
    <row r="14" spans="1:22" x14ac:dyDescent="0.45">
      <c r="G14" s="95"/>
      <c r="H14" s="95"/>
      <c r="I14" s="95"/>
    </row>
    <row r="15" spans="1:22" x14ac:dyDescent="0.45">
      <c r="A15" s="96"/>
      <c r="D15" s="97"/>
      <c r="E15" s="97"/>
      <c r="F15" s="97"/>
      <c r="G15" s="95"/>
      <c r="H15" s="98"/>
      <c r="I15" s="98"/>
      <c r="K15" s="96"/>
      <c r="V15" s="99"/>
    </row>
  </sheetData>
  <sheetProtection formatCells="0" formatColumns="0" formatRows="0" insertRows="0"/>
  <mergeCells count="18">
    <mergeCell ref="A1:J1"/>
    <mergeCell ref="A2:J2"/>
    <mergeCell ref="B4:E4"/>
    <mergeCell ref="G4:H4"/>
    <mergeCell ref="B5:E5"/>
    <mergeCell ref="G5:H5"/>
    <mergeCell ref="B6:E6"/>
    <mergeCell ref="G6:H6"/>
    <mergeCell ref="B7:E7"/>
    <mergeCell ref="G7:H7"/>
    <mergeCell ref="B8:E8"/>
    <mergeCell ref="G8:H8"/>
    <mergeCell ref="B9:E9"/>
    <mergeCell ref="G9:H9"/>
    <mergeCell ref="B10:E10"/>
    <mergeCell ref="G10:H10"/>
    <mergeCell ref="B11:E11"/>
    <mergeCell ref="G11:H11"/>
  </mergeCells>
  <phoneticPr fontId="9" type="noConversion"/>
  <printOptions horizontalCentered="1" verticalCentered="1"/>
  <pageMargins left="0.19685039370078741" right="0.15748031496062992" top="0.39370078740157483" bottom="0.39370078740157483" header="0.27559055118110237" footer="0.15748031496062992"/>
  <pageSetup paperSize="9" scale="68" fitToWidth="0" fitToHeight="0" orientation="landscape" blackAndWhite="1" r:id="rId1"/>
  <headerFooter alignWithMargins="0"/>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工作表4"/>
  <dimension ref="A1:E23"/>
  <sheetViews>
    <sheetView view="pageBreakPreview" zoomScale="60" zoomScaleNormal="80" workbookViewId="0">
      <selection activeCell="A3" sqref="A3"/>
    </sheetView>
  </sheetViews>
  <sheetFormatPr defaultColWidth="11.19921875" defaultRowHeight="15.6" x14ac:dyDescent="0.3"/>
  <cols>
    <col min="1" max="1" width="25.69921875" style="104" customWidth="1"/>
    <col min="2" max="2" width="18.19921875" style="104" customWidth="1"/>
    <col min="3" max="3" width="23.19921875" style="104" customWidth="1"/>
    <col min="4" max="4" width="24.59765625" style="104" customWidth="1"/>
    <col min="5" max="5" width="31.19921875" style="104" customWidth="1"/>
    <col min="6" max="6" width="11.19921875" style="104" customWidth="1"/>
    <col min="7" max="16384" width="11.19921875" style="104"/>
  </cols>
  <sheetData>
    <row r="1" spans="1:5" ht="33" customHeight="1" x14ac:dyDescent="0.45">
      <c r="A1" s="343" t="str">
        <f>計畫經費彙總表!A1</f>
        <v>××股份有限公司</v>
      </c>
      <c r="B1" s="343"/>
      <c r="C1" s="343"/>
      <c r="D1" s="343"/>
      <c r="E1" s="343"/>
    </row>
    <row r="2" spans="1:5" ht="30" customHeight="1" x14ac:dyDescent="0.4">
      <c r="A2" s="339" t="s">
        <v>64</v>
      </c>
      <c r="B2" s="339"/>
      <c r="C2" s="339"/>
      <c r="D2" s="339"/>
      <c r="E2" s="339"/>
    </row>
    <row r="3" spans="1:5" ht="16.2" x14ac:dyDescent="0.3">
      <c r="A3" s="5"/>
      <c r="B3" s="5"/>
      <c r="C3" s="5"/>
      <c r="D3" s="5"/>
      <c r="E3" s="6" t="s">
        <v>36</v>
      </c>
    </row>
    <row r="4" spans="1:5" s="105" customFormat="1" ht="24.75" customHeight="1" thickBot="1" x14ac:dyDescent="0.35">
      <c r="A4" s="330" t="s">
        <v>65</v>
      </c>
      <c r="B4" s="112" t="s">
        <v>37</v>
      </c>
      <c r="C4" s="112" t="s">
        <v>38</v>
      </c>
      <c r="D4" s="112" t="s">
        <v>66</v>
      </c>
      <c r="E4" s="7" t="s">
        <v>67</v>
      </c>
    </row>
    <row r="5" spans="1:5" ht="24.75" customHeight="1" x14ac:dyDescent="0.3">
      <c r="A5" s="113"/>
      <c r="B5" s="114"/>
      <c r="C5" s="114"/>
      <c r="D5" s="114"/>
      <c r="E5" s="115"/>
    </row>
    <row r="6" spans="1:5" ht="24.75" customHeight="1" x14ac:dyDescent="0.3">
      <c r="A6" s="256" t="s">
        <v>68</v>
      </c>
      <c r="B6" s="257"/>
      <c r="C6" s="257"/>
      <c r="D6" s="257"/>
      <c r="E6" s="258">
        <v>10000</v>
      </c>
    </row>
    <row r="7" spans="1:5" ht="24.75" customHeight="1" x14ac:dyDescent="0.3">
      <c r="A7" s="256" t="s">
        <v>69</v>
      </c>
      <c r="B7" s="257"/>
      <c r="C7" s="257"/>
      <c r="D7" s="257"/>
      <c r="E7" s="258">
        <v>10000</v>
      </c>
    </row>
    <row r="8" spans="1:5" ht="24.75" customHeight="1" x14ac:dyDescent="0.3">
      <c r="A8" s="256">
        <v>3</v>
      </c>
      <c r="B8" s="257"/>
      <c r="C8" s="257"/>
      <c r="D8" s="257"/>
      <c r="E8" s="258"/>
    </row>
    <row r="9" spans="1:5" ht="24.75" customHeight="1" x14ac:dyDescent="0.3">
      <c r="A9" s="256">
        <v>4</v>
      </c>
      <c r="B9" s="257"/>
      <c r="C9" s="257"/>
      <c r="D9" s="257"/>
      <c r="E9" s="258"/>
    </row>
    <row r="10" spans="1:5" ht="24.75" customHeight="1" x14ac:dyDescent="0.3">
      <c r="A10" s="256">
        <v>5</v>
      </c>
      <c r="B10" s="257"/>
      <c r="C10" s="257"/>
      <c r="D10" s="257"/>
      <c r="E10" s="258"/>
    </row>
    <row r="11" spans="1:5" ht="24.75" customHeight="1" x14ac:dyDescent="0.3">
      <c r="A11" s="256"/>
      <c r="B11" s="257"/>
      <c r="C11" s="257"/>
      <c r="D11" s="257"/>
      <c r="E11" s="258"/>
    </row>
    <row r="12" spans="1:5" ht="24.75" customHeight="1" x14ac:dyDescent="0.3">
      <c r="A12" s="256"/>
      <c r="B12" s="257"/>
      <c r="C12" s="257"/>
      <c r="D12" s="257"/>
      <c r="E12" s="258"/>
    </row>
    <row r="13" spans="1:5" ht="24.75" customHeight="1" x14ac:dyDescent="0.3">
      <c r="A13" s="256"/>
      <c r="B13" s="257"/>
      <c r="C13" s="257"/>
      <c r="D13" s="257"/>
      <c r="E13" s="258"/>
    </row>
    <row r="14" spans="1:5" ht="24.75" customHeight="1" x14ac:dyDescent="0.3">
      <c r="A14" s="256"/>
      <c r="B14" s="257"/>
      <c r="C14" s="257"/>
      <c r="D14" s="257"/>
      <c r="E14" s="258"/>
    </row>
    <row r="15" spans="1:5" ht="24.75" customHeight="1" thickBot="1" x14ac:dyDescent="0.35">
      <c r="A15" s="320" t="s">
        <v>70</v>
      </c>
      <c r="B15" s="106"/>
      <c r="C15" s="106"/>
      <c r="D15" s="106"/>
      <c r="E15" s="107">
        <f>ROUND(SUM(E6:E14),0)</f>
        <v>20000</v>
      </c>
    </row>
    <row r="17" spans="1:5" s="108" customFormat="1" ht="16.2" x14ac:dyDescent="0.25">
      <c r="A17" s="348" t="s">
        <v>71</v>
      </c>
      <c r="B17" s="348"/>
      <c r="C17" s="348"/>
      <c r="D17" s="348"/>
      <c r="E17" s="348"/>
    </row>
    <row r="18" spans="1:5" s="108" customFormat="1" ht="16.2" x14ac:dyDescent="0.25">
      <c r="A18" s="348" t="s">
        <v>72</v>
      </c>
      <c r="B18" s="348"/>
      <c r="C18" s="348"/>
      <c r="D18" s="348"/>
      <c r="E18" s="348"/>
    </row>
    <row r="19" spans="1:5" s="108" customFormat="1" ht="16.2" x14ac:dyDescent="0.3">
      <c r="A19" s="15" t="s">
        <v>73</v>
      </c>
      <c r="B19" s="104"/>
      <c r="C19" s="104"/>
      <c r="D19" s="104"/>
      <c r="E19" s="104"/>
    </row>
    <row r="20" spans="1:5" s="108" customFormat="1" ht="19.8" x14ac:dyDescent="0.4">
      <c r="A20" s="109"/>
    </row>
    <row r="21" spans="1:5" s="18" customFormat="1" ht="17.399999999999999" x14ac:dyDescent="0.3">
      <c r="A21" s="93" t="s">
        <v>32</v>
      </c>
      <c r="C21" s="93" t="s">
        <v>33</v>
      </c>
      <c r="E21" s="94" t="s">
        <v>34</v>
      </c>
    </row>
    <row r="22" spans="1:5" s="108" customFormat="1" ht="16.8" x14ac:dyDescent="0.3">
      <c r="A22" s="110"/>
    </row>
    <row r="23" spans="1:5" ht="16.8" x14ac:dyDescent="0.3">
      <c r="C23" s="111"/>
    </row>
  </sheetData>
  <sheetProtection algorithmName="SHA-512" hashValue="3Zqi+Se2c8Rjn7oY/oQ5pluZjASUKerZe62WY5r0b6QG6ttaj7MKFHEa52ZpOYzyzmhQWsyXzsI5Ng5mHYkpBQ==" saltValue="qC7d1f2b7yZoO2y5vxtt6g==" spinCount="100000" sheet="1" formatCells="0" formatColumns="0" formatRows="0" insertRows="0"/>
  <mergeCells count="4">
    <mergeCell ref="A1:E1"/>
    <mergeCell ref="A2:E2"/>
    <mergeCell ref="A17:E17"/>
    <mergeCell ref="A18:E18"/>
  </mergeCells>
  <phoneticPr fontId="9" type="noConversion"/>
  <printOptions horizontalCentered="1" verticalCentered="1"/>
  <pageMargins left="0.19685039370078741" right="0.15748031496062992" top="0.39370078740157483" bottom="0.39370078740157483" header="0.27559055118110237" footer="0.15748031496062992"/>
  <pageSetup paperSize="9" fitToWidth="0" fitToHeight="0" orientation="landscape" blackAndWhite="1" r:id="rId1"/>
  <headerFooter alignWithMargins="0"/>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工作表5"/>
  <dimension ref="A1:AJ24"/>
  <sheetViews>
    <sheetView view="pageBreakPreview" zoomScale="60" zoomScaleNormal="80" workbookViewId="0">
      <selection activeCell="A2" sqref="A2:AI2"/>
    </sheetView>
  </sheetViews>
  <sheetFormatPr defaultColWidth="11.19921875" defaultRowHeight="15.6" x14ac:dyDescent="0.3"/>
  <cols>
    <col min="1" max="1" width="10.09765625" style="129" customWidth="1"/>
    <col min="2" max="2" width="3.69921875" style="104" customWidth="1"/>
    <col min="3" max="3" width="3.59765625" style="104" customWidth="1"/>
    <col min="4" max="4" width="4.59765625" style="104" customWidth="1"/>
    <col min="5" max="7" width="3.69921875" style="104" customWidth="1"/>
    <col min="8" max="8" width="4.5" style="104" customWidth="1"/>
    <col min="9" max="9" width="4.69921875" style="104" customWidth="1"/>
    <col min="10" max="10" width="3.69921875" style="104" customWidth="1"/>
    <col min="11" max="12" width="3.59765625" style="104" customWidth="1"/>
    <col min="13" max="18" width="4.19921875" style="104" customWidth="1"/>
    <col min="19" max="19" width="5" style="104" customWidth="1"/>
    <col min="20" max="32" width="4.19921875" style="104" customWidth="1"/>
    <col min="33" max="33" width="5.09765625" style="104" customWidth="1"/>
    <col min="34" max="34" width="6.5" style="104" customWidth="1"/>
    <col min="35" max="35" width="8.19921875" style="104" bestFit="1" customWidth="1"/>
    <col min="36" max="36" width="11.19921875" style="104" customWidth="1"/>
    <col min="37" max="16384" width="11.19921875" style="104"/>
  </cols>
  <sheetData>
    <row r="1" spans="1:36" ht="22.5" customHeight="1" x14ac:dyDescent="0.4">
      <c r="A1" s="349" t="str">
        <f>計畫經費彙總表!A1</f>
        <v>××股份有限公司</v>
      </c>
      <c r="B1" s="349"/>
      <c r="C1" s="349"/>
      <c r="D1" s="349"/>
      <c r="E1" s="349"/>
      <c r="F1" s="349"/>
      <c r="G1" s="349"/>
      <c r="H1" s="349"/>
      <c r="I1" s="349"/>
      <c r="J1" s="349"/>
      <c r="K1" s="349"/>
      <c r="L1" s="349"/>
      <c r="M1" s="349"/>
      <c r="N1" s="349"/>
      <c r="O1" s="349"/>
      <c r="P1" s="349"/>
      <c r="Q1" s="349"/>
      <c r="R1" s="349"/>
      <c r="S1" s="349"/>
      <c r="T1" s="349"/>
      <c r="U1" s="349"/>
      <c r="V1" s="349"/>
      <c r="W1" s="349"/>
      <c r="X1" s="349"/>
      <c r="Y1" s="349"/>
      <c r="Z1" s="349"/>
      <c r="AA1" s="349"/>
      <c r="AB1" s="349"/>
      <c r="AC1" s="349"/>
      <c r="AD1" s="349"/>
      <c r="AE1" s="349"/>
      <c r="AF1" s="349"/>
      <c r="AG1" s="349"/>
      <c r="AH1" s="349"/>
      <c r="AI1" s="349"/>
      <c r="AJ1" s="349"/>
    </row>
    <row r="2" spans="1:36" ht="30" customHeight="1" x14ac:dyDescent="0.3">
      <c r="A2" s="350" t="s">
        <v>74</v>
      </c>
      <c r="B2" s="350"/>
      <c r="C2" s="350"/>
      <c r="D2" s="350"/>
      <c r="E2" s="350"/>
      <c r="F2" s="350"/>
      <c r="G2" s="350"/>
      <c r="H2" s="350"/>
      <c r="I2" s="350"/>
      <c r="J2" s="350"/>
      <c r="K2" s="350"/>
      <c r="L2" s="350"/>
      <c r="M2" s="350"/>
      <c r="N2" s="350"/>
      <c r="O2" s="350"/>
      <c r="P2" s="350"/>
      <c r="Q2" s="350"/>
      <c r="R2" s="350"/>
      <c r="S2" s="350"/>
      <c r="T2" s="350"/>
      <c r="U2" s="350"/>
      <c r="V2" s="350"/>
      <c r="W2" s="350"/>
      <c r="X2" s="350"/>
      <c r="Y2" s="350"/>
      <c r="Z2" s="350"/>
      <c r="AA2" s="350"/>
      <c r="AB2" s="350"/>
      <c r="AC2" s="350"/>
      <c r="AD2" s="350"/>
      <c r="AE2" s="350"/>
      <c r="AF2" s="350"/>
      <c r="AG2" s="350"/>
      <c r="AH2" s="350"/>
      <c r="AI2" s="350"/>
      <c r="AJ2" s="250"/>
    </row>
    <row r="3" spans="1:36" s="117" customFormat="1" ht="45" customHeight="1" x14ac:dyDescent="0.25">
      <c r="A3" s="8" t="s">
        <v>65</v>
      </c>
      <c r="B3" s="130">
        <v>1</v>
      </c>
      <c r="C3" s="130">
        <v>2</v>
      </c>
      <c r="D3" s="130">
        <v>3</v>
      </c>
      <c r="E3" s="130">
        <v>4</v>
      </c>
      <c r="F3" s="130">
        <v>5</v>
      </c>
      <c r="G3" s="130">
        <v>6</v>
      </c>
      <c r="H3" s="130">
        <v>7</v>
      </c>
      <c r="I3" s="130">
        <v>8</v>
      </c>
      <c r="J3" s="130">
        <v>9</v>
      </c>
      <c r="K3" s="130">
        <v>10</v>
      </c>
      <c r="L3" s="130">
        <v>11</v>
      </c>
      <c r="M3" s="130">
        <v>12</v>
      </c>
      <c r="N3" s="130">
        <v>13</v>
      </c>
      <c r="O3" s="130">
        <v>14</v>
      </c>
      <c r="P3" s="130">
        <v>15</v>
      </c>
      <c r="Q3" s="130">
        <v>16</v>
      </c>
      <c r="R3" s="130">
        <v>17</v>
      </c>
      <c r="S3" s="130">
        <v>18</v>
      </c>
      <c r="T3" s="130">
        <v>19</v>
      </c>
      <c r="U3" s="130">
        <v>20</v>
      </c>
      <c r="V3" s="130">
        <v>21</v>
      </c>
      <c r="W3" s="130">
        <v>22</v>
      </c>
      <c r="X3" s="130">
        <v>23</v>
      </c>
      <c r="Y3" s="130">
        <v>24</v>
      </c>
      <c r="Z3" s="130">
        <v>25</v>
      </c>
      <c r="AA3" s="130">
        <v>26</v>
      </c>
      <c r="AB3" s="130">
        <v>27</v>
      </c>
      <c r="AC3" s="116">
        <v>28</v>
      </c>
      <c r="AD3" s="116">
        <v>29</v>
      </c>
      <c r="AE3" s="116">
        <v>30</v>
      </c>
      <c r="AF3" s="116">
        <v>31</v>
      </c>
      <c r="AG3" s="8" t="s">
        <v>75</v>
      </c>
      <c r="AH3" s="9" t="s">
        <v>76</v>
      </c>
      <c r="AI3" s="133" t="s">
        <v>77</v>
      </c>
      <c r="AJ3" s="134" t="s">
        <v>78</v>
      </c>
    </row>
    <row r="4" spans="1:36" s="119" customFormat="1" ht="15" customHeight="1" x14ac:dyDescent="0.3">
      <c r="A4" s="131"/>
      <c r="B4" s="132"/>
      <c r="C4" s="132"/>
      <c r="D4" s="132"/>
      <c r="E4" s="132"/>
      <c r="F4" s="132"/>
      <c r="G4" s="132"/>
      <c r="H4" s="132"/>
      <c r="I4" s="132"/>
      <c r="J4" s="132"/>
      <c r="K4" s="132"/>
      <c r="L4" s="132"/>
      <c r="M4" s="132"/>
      <c r="N4" s="132"/>
      <c r="O4" s="132"/>
      <c r="P4" s="132"/>
      <c r="Q4" s="132"/>
      <c r="R4" s="132"/>
      <c r="S4" s="132"/>
      <c r="T4" s="132"/>
      <c r="U4" s="132"/>
      <c r="V4" s="132"/>
      <c r="W4" s="132"/>
      <c r="X4" s="132"/>
      <c r="Y4" s="132"/>
      <c r="Z4" s="132"/>
      <c r="AA4" s="132"/>
      <c r="AB4" s="132"/>
      <c r="AC4" s="118"/>
      <c r="AD4" s="118"/>
      <c r="AE4" s="118"/>
      <c r="AF4" s="118"/>
      <c r="AG4" s="135"/>
      <c r="AH4" s="135"/>
      <c r="AI4" s="136"/>
      <c r="AJ4" s="137"/>
    </row>
    <row r="5" spans="1:36" x14ac:dyDescent="0.3">
      <c r="A5" s="251" t="s">
        <v>79</v>
      </c>
      <c r="B5" s="120"/>
      <c r="C5" s="120"/>
      <c r="D5" s="120">
        <v>8</v>
      </c>
      <c r="E5" s="120">
        <v>8</v>
      </c>
      <c r="F5" s="120">
        <v>8</v>
      </c>
      <c r="G5" s="120">
        <v>8</v>
      </c>
      <c r="H5" s="120">
        <v>8</v>
      </c>
      <c r="I5" s="120"/>
      <c r="J5" s="120"/>
      <c r="K5" s="120">
        <v>8</v>
      </c>
      <c r="L5" s="120">
        <v>8</v>
      </c>
      <c r="M5" s="120">
        <v>8</v>
      </c>
      <c r="N5" s="120">
        <v>8</v>
      </c>
      <c r="O5" s="120">
        <v>4</v>
      </c>
      <c r="P5" s="120"/>
      <c r="Q5" s="120"/>
      <c r="R5" s="120">
        <v>8</v>
      </c>
      <c r="S5" s="120">
        <v>8</v>
      </c>
      <c r="T5" s="120">
        <v>8</v>
      </c>
      <c r="U5" s="120">
        <v>4</v>
      </c>
      <c r="V5" s="120">
        <v>4.8</v>
      </c>
      <c r="W5" s="120"/>
      <c r="X5" s="120"/>
      <c r="Y5" s="120"/>
      <c r="Z5" s="120"/>
      <c r="AA5" s="120"/>
      <c r="AB5" s="120"/>
      <c r="AC5" s="120"/>
      <c r="AD5" s="120"/>
      <c r="AE5" s="120"/>
      <c r="AF5" s="120"/>
      <c r="AG5" s="121">
        <f>SUM(B5:AF5)</f>
        <v>108.8</v>
      </c>
      <c r="AH5" s="120">
        <v>160</v>
      </c>
      <c r="AI5" s="122">
        <f>AG5/AH5</f>
        <v>0.67999999999999994</v>
      </c>
      <c r="AJ5" s="123"/>
    </row>
    <row r="6" spans="1:36" x14ac:dyDescent="0.3">
      <c r="A6" s="251" t="s">
        <v>80</v>
      </c>
      <c r="B6" s="120"/>
      <c r="C6" s="120"/>
      <c r="D6" s="120">
        <v>8</v>
      </c>
      <c r="E6" s="120">
        <v>8</v>
      </c>
      <c r="F6" s="120">
        <v>8</v>
      </c>
      <c r="G6" s="120">
        <v>8</v>
      </c>
      <c r="H6" s="120">
        <v>8</v>
      </c>
      <c r="I6" s="120"/>
      <c r="J6" s="120"/>
      <c r="K6" s="120">
        <v>8</v>
      </c>
      <c r="L6" s="120">
        <v>8</v>
      </c>
      <c r="M6" s="120">
        <v>8</v>
      </c>
      <c r="N6" s="120">
        <v>8</v>
      </c>
      <c r="O6" s="120">
        <v>8</v>
      </c>
      <c r="P6" s="120"/>
      <c r="Q6" s="120"/>
      <c r="R6" s="120">
        <v>8</v>
      </c>
      <c r="S6" s="120">
        <v>8</v>
      </c>
      <c r="T6" s="120">
        <v>8</v>
      </c>
      <c r="U6" s="120">
        <v>8</v>
      </c>
      <c r="V6" s="120">
        <v>8</v>
      </c>
      <c r="W6" s="120"/>
      <c r="X6" s="120"/>
      <c r="Y6" s="120">
        <v>8</v>
      </c>
      <c r="Z6" s="120">
        <v>8</v>
      </c>
      <c r="AA6" s="120">
        <v>8</v>
      </c>
      <c r="AB6" s="120">
        <v>8</v>
      </c>
      <c r="AC6" s="120">
        <v>8</v>
      </c>
      <c r="AD6" s="120"/>
      <c r="AE6" s="120"/>
      <c r="AF6" s="120"/>
      <c r="AG6" s="121">
        <f>SUM(B6:AF6)</f>
        <v>160</v>
      </c>
      <c r="AH6" s="120">
        <v>160</v>
      </c>
      <c r="AI6" s="122">
        <f>AG6/AH6</f>
        <v>1</v>
      </c>
      <c r="AJ6" s="123"/>
    </row>
    <row r="7" spans="1:36" x14ac:dyDescent="0.3">
      <c r="A7" s="251" t="s">
        <v>81</v>
      </c>
      <c r="B7" s="120"/>
      <c r="C7" s="120"/>
      <c r="D7" s="120">
        <v>4</v>
      </c>
      <c r="E7" s="120">
        <v>4</v>
      </c>
      <c r="F7" s="120">
        <v>4</v>
      </c>
      <c r="G7" s="120">
        <v>4</v>
      </c>
      <c r="H7" s="120">
        <v>4</v>
      </c>
      <c r="I7" s="120"/>
      <c r="J7" s="120"/>
      <c r="K7" s="120">
        <v>4</v>
      </c>
      <c r="L7" s="120">
        <v>4</v>
      </c>
      <c r="M7" s="120">
        <v>4</v>
      </c>
      <c r="N7" s="120">
        <v>4</v>
      </c>
      <c r="O7" s="120">
        <v>4</v>
      </c>
      <c r="P7" s="120"/>
      <c r="Q7" s="120"/>
      <c r="R7" s="120">
        <v>4</v>
      </c>
      <c r="S7" s="120">
        <v>4</v>
      </c>
      <c r="T7" s="120">
        <v>4</v>
      </c>
      <c r="U7" s="120">
        <v>4</v>
      </c>
      <c r="V7" s="120">
        <v>4</v>
      </c>
      <c r="W7" s="120"/>
      <c r="X7" s="120"/>
      <c r="Y7" s="120">
        <v>4</v>
      </c>
      <c r="Z7" s="120">
        <v>4</v>
      </c>
      <c r="AA7" s="120">
        <v>4</v>
      </c>
      <c r="AB7" s="120">
        <v>4</v>
      </c>
      <c r="AC7" s="120">
        <v>4</v>
      </c>
      <c r="AD7" s="120"/>
      <c r="AE7" s="120"/>
      <c r="AF7" s="120"/>
      <c r="AG7" s="121">
        <f>SUM(B7:AF7)</f>
        <v>80</v>
      </c>
      <c r="AH7" s="120">
        <v>160</v>
      </c>
      <c r="AI7" s="122">
        <f>AG7/AH7</f>
        <v>0.5</v>
      </c>
      <c r="AJ7" s="123"/>
    </row>
    <row r="8" spans="1:36" x14ac:dyDescent="0.3">
      <c r="A8" s="251" t="s">
        <v>82</v>
      </c>
      <c r="B8" s="120"/>
      <c r="C8" s="120"/>
      <c r="D8" s="120">
        <v>8</v>
      </c>
      <c r="E8" s="120">
        <v>8</v>
      </c>
      <c r="F8" s="120">
        <v>8</v>
      </c>
      <c r="G8" s="120">
        <v>8</v>
      </c>
      <c r="H8" s="120">
        <v>8</v>
      </c>
      <c r="I8" s="120"/>
      <c r="J8" s="120"/>
      <c r="K8" s="120">
        <v>8</v>
      </c>
      <c r="L8" s="120">
        <v>8</v>
      </c>
      <c r="M8" s="120">
        <v>8</v>
      </c>
      <c r="N8" s="120">
        <v>8</v>
      </c>
      <c r="O8" s="120">
        <v>8</v>
      </c>
      <c r="P8" s="120"/>
      <c r="Q8" s="120"/>
      <c r="R8" s="120">
        <v>4</v>
      </c>
      <c r="S8" s="120">
        <v>4</v>
      </c>
      <c r="T8" s="120">
        <v>4</v>
      </c>
      <c r="U8" s="120">
        <v>4</v>
      </c>
      <c r="V8" s="120">
        <v>4</v>
      </c>
      <c r="W8" s="120"/>
      <c r="X8" s="120"/>
      <c r="Y8" s="120">
        <v>4</v>
      </c>
      <c r="Z8" s="120">
        <v>4</v>
      </c>
      <c r="AA8" s="120">
        <v>4</v>
      </c>
      <c r="AB8" s="120">
        <v>4</v>
      </c>
      <c r="AC8" s="120">
        <v>4</v>
      </c>
      <c r="AD8" s="120"/>
      <c r="AE8" s="120"/>
      <c r="AF8" s="120"/>
      <c r="AG8" s="121">
        <f>SUM(B8:AF8)</f>
        <v>120</v>
      </c>
      <c r="AH8" s="120">
        <v>160</v>
      </c>
      <c r="AI8" s="122">
        <f>AG8/AH8</f>
        <v>0.75</v>
      </c>
      <c r="AJ8" s="123"/>
    </row>
    <row r="9" spans="1:36" ht="17.25" customHeight="1" x14ac:dyDescent="0.3">
      <c r="A9" s="252"/>
      <c r="B9" s="120"/>
      <c r="C9" s="120"/>
      <c r="D9" s="120"/>
      <c r="E9" s="120"/>
      <c r="F9" s="120"/>
      <c r="G9" s="120"/>
      <c r="H9" s="120"/>
      <c r="I9" s="120"/>
      <c r="J9" s="120"/>
      <c r="K9" s="120"/>
      <c r="L9" s="120"/>
      <c r="M9" s="120"/>
      <c r="N9" s="120"/>
      <c r="O9" s="120"/>
      <c r="P9" s="120"/>
      <c r="Q9" s="120"/>
      <c r="R9" s="120"/>
      <c r="S9" s="120"/>
      <c r="T9" s="120"/>
      <c r="U9" s="120"/>
      <c r="V9" s="120"/>
      <c r="W9" s="120"/>
      <c r="X9" s="120"/>
      <c r="Y9" s="120"/>
      <c r="Z9" s="120"/>
      <c r="AA9" s="120"/>
      <c r="AB9" s="120"/>
      <c r="AC9" s="120"/>
      <c r="AD9" s="120"/>
      <c r="AE9" s="120"/>
      <c r="AF9" s="120"/>
      <c r="AG9" s="121"/>
      <c r="AH9" s="120"/>
      <c r="AI9" s="122"/>
      <c r="AJ9" s="123"/>
    </row>
    <row r="10" spans="1:36" ht="15.75" customHeight="1" x14ac:dyDescent="0.3">
      <c r="A10" s="251"/>
      <c r="B10" s="120"/>
      <c r="C10" s="120"/>
      <c r="D10" s="120"/>
      <c r="E10" s="120"/>
      <c r="F10" s="120"/>
      <c r="G10" s="120"/>
      <c r="H10" s="120"/>
      <c r="I10" s="120"/>
      <c r="J10" s="120"/>
      <c r="K10" s="120"/>
      <c r="L10" s="120"/>
      <c r="M10" s="120"/>
      <c r="N10" s="120"/>
      <c r="O10" s="120"/>
      <c r="P10" s="120"/>
      <c r="Q10" s="120"/>
      <c r="R10" s="120"/>
      <c r="S10" s="120"/>
      <c r="T10" s="120"/>
      <c r="U10" s="120"/>
      <c r="V10" s="120"/>
      <c r="W10" s="120"/>
      <c r="X10" s="120"/>
      <c r="Y10" s="120"/>
      <c r="Z10" s="120"/>
      <c r="AA10" s="120"/>
      <c r="AB10" s="120"/>
      <c r="AC10" s="120"/>
      <c r="AD10" s="120"/>
      <c r="AE10" s="120"/>
      <c r="AF10" s="120"/>
      <c r="AG10" s="121"/>
      <c r="AH10" s="120"/>
      <c r="AI10" s="122"/>
      <c r="AJ10" s="123"/>
    </row>
    <row r="11" spans="1:36" x14ac:dyDescent="0.3">
      <c r="A11" s="251"/>
      <c r="B11" s="120"/>
      <c r="C11" s="120"/>
      <c r="D11" s="120"/>
      <c r="E11" s="120"/>
      <c r="F11" s="120"/>
      <c r="G11" s="120"/>
      <c r="H11" s="120"/>
      <c r="I11" s="120"/>
      <c r="J11" s="120"/>
      <c r="K11" s="120"/>
      <c r="L11" s="120"/>
      <c r="M11" s="120"/>
      <c r="N11" s="120"/>
      <c r="O11" s="120"/>
      <c r="P11" s="120"/>
      <c r="Q11" s="120"/>
      <c r="R11" s="120"/>
      <c r="S11" s="120"/>
      <c r="T11" s="120"/>
      <c r="U11" s="120"/>
      <c r="V11" s="120"/>
      <c r="W11" s="120"/>
      <c r="X11" s="120"/>
      <c r="Y11" s="120"/>
      <c r="Z11" s="120"/>
      <c r="AA11" s="120"/>
      <c r="AB11" s="120"/>
      <c r="AC11" s="120"/>
      <c r="AD11" s="120"/>
      <c r="AE11" s="120"/>
      <c r="AF11" s="120"/>
      <c r="AG11" s="121"/>
      <c r="AH11" s="120"/>
      <c r="AI11" s="122"/>
      <c r="AJ11" s="123"/>
    </row>
    <row r="12" spans="1:36" x14ac:dyDescent="0.3">
      <c r="A12" s="251"/>
      <c r="B12" s="120"/>
      <c r="C12" s="120"/>
      <c r="D12" s="120"/>
      <c r="E12" s="120"/>
      <c r="F12" s="120"/>
      <c r="G12" s="120"/>
      <c r="H12" s="120"/>
      <c r="I12" s="120"/>
      <c r="J12" s="120"/>
      <c r="K12" s="120"/>
      <c r="L12" s="120"/>
      <c r="M12" s="120"/>
      <c r="N12" s="120"/>
      <c r="O12" s="120"/>
      <c r="P12" s="120"/>
      <c r="Q12" s="120"/>
      <c r="R12" s="120"/>
      <c r="S12" s="120"/>
      <c r="T12" s="120"/>
      <c r="U12" s="120"/>
      <c r="V12" s="120"/>
      <c r="W12" s="120"/>
      <c r="X12" s="120"/>
      <c r="Y12" s="120"/>
      <c r="Z12" s="120"/>
      <c r="AA12" s="120"/>
      <c r="AB12" s="120"/>
      <c r="AC12" s="120"/>
      <c r="AD12" s="120"/>
      <c r="AE12" s="120"/>
      <c r="AF12" s="120"/>
      <c r="AG12" s="121"/>
      <c r="AH12" s="120"/>
      <c r="AI12" s="122"/>
      <c r="AJ12" s="123"/>
    </row>
    <row r="13" spans="1:36" x14ac:dyDescent="0.3">
      <c r="A13" s="251"/>
      <c r="B13" s="120"/>
      <c r="C13" s="120"/>
      <c r="D13" s="120"/>
      <c r="E13" s="120"/>
      <c r="F13" s="120"/>
      <c r="G13" s="120"/>
      <c r="H13" s="120"/>
      <c r="I13" s="120"/>
      <c r="J13" s="120"/>
      <c r="K13" s="120"/>
      <c r="L13" s="120"/>
      <c r="M13" s="120"/>
      <c r="N13" s="120"/>
      <c r="O13" s="120"/>
      <c r="P13" s="120"/>
      <c r="Q13" s="120"/>
      <c r="R13" s="120"/>
      <c r="S13" s="120"/>
      <c r="T13" s="120"/>
      <c r="U13" s="120"/>
      <c r="V13" s="120"/>
      <c r="W13" s="120"/>
      <c r="X13" s="120"/>
      <c r="Y13" s="120"/>
      <c r="Z13" s="120"/>
      <c r="AA13" s="120"/>
      <c r="AB13" s="120"/>
      <c r="AC13" s="120"/>
      <c r="AD13" s="120"/>
      <c r="AE13" s="120"/>
      <c r="AF13" s="120"/>
      <c r="AG13" s="121"/>
      <c r="AH13" s="120"/>
      <c r="AI13" s="122"/>
      <c r="AJ13" s="123"/>
    </row>
    <row r="14" spans="1:36" ht="20.25" customHeight="1" x14ac:dyDescent="0.3">
      <c r="A14" s="251"/>
      <c r="B14" s="120"/>
      <c r="C14" s="120"/>
      <c r="D14" s="120"/>
      <c r="E14" s="120"/>
      <c r="F14" s="120"/>
      <c r="G14" s="120"/>
      <c r="H14" s="120"/>
      <c r="I14" s="120"/>
      <c r="J14" s="120"/>
      <c r="K14" s="120"/>
      <c r="L14" s="120"/>
      <c r="M14" s="120"/>
      <c r="N14" s="120"/>
      <c r="O14" s="120"/>
      <c r="P14" s="120"/>
      <c r="Q14" s="120"/>
      <c r="R14" s="120"/>
      <c r="S14" s="120"/>
      <c r="T14" s="120"/>
      <c r="U14" s="120"/>
      <c r="V14" s="120"/>
      <c r="W14" s="120"/>
      <c r="X14" s="120"/>
      <c r="Y14" s="120"/>
      <c r="Z14" s="120"/>
      <c r="AA14" s="120"/>
      <c r="AB14" s="120"/>
      <c r="AC14" s="120"/>
      <c r="AD14" s="120"/>
      <c r="AE14" s="120"/>
      <c r="AF14" s="120"/>
      <c r="AG14" s="121"/>
      <c r="AH14" s="120"/>
      <c r="AI14" s="122"/>
      <c r="AJ14" s="123"/>
    </row>
    <row r="15" spans="1:36" ht="15.75" customHeight="1" x14ac:dyDescent="0.3">
      <c r="A15" s="251"/>
      <c r="B15" s="120"/>
      <c r="C15" s="120"/>
      <c r="D15" s="120"/>
      <c r="E15" s="120"/>
      <c r="F15" s="120"/>
      <c r="G15" s="120"/>
      <c r="H15" s="120"/>
      <c r="I15" s="120"/>
      <c r="J15" s="120"/>
      <c r="K15" s="120"/>
      <c r="L15" s="120"/>
      <c r="M15" s="120"/>
      <c r="N15" s="120"/>
      <c r="O15" s="120"/>
      <c r="P15" s="120"/>
      <c r="Q15" s="120"/>
      <c r="R15" s="120"/>
      <c r="S15" s="120"/>
      <c r="T15" s="120"/>
      <c r="U15" s="120"/>
      <c r="V15" s="120"/>
      <c r="W15" s="120"/>
      <c r="X15" s="120"/>
      <c r="Y15" s="120"/>
      <c r="Z15" s="120"/>
      <c r="AA15" s="120"/>
      <c r="AB15" s="120"/>
      <c r="AC15" s="120"/>
      <c r="AD15" s="120"/>
      <c r="AE15" s="120"/>
      <c r="AF15" s="120"/>
      <c r="AG15" s="121"/>
      <c r="AH15" s="120"/>
      <c r="AI15" s="122"/>
      <c r="AJ15" s="123"/>
    </row>
    <row r="16" spans="1:36" ht="15.75" customHeight="1" x14ac:dyDescent="0.3">
      <c r="A16" s="251"/>
      <c r="B16" s="120"/>
      <c r="C16" s="120"/>
      <c r="D16" s="120"/>
      <c r="E16" s="120"/>
      <c r="F16" s="120"/>
      <c r="G16" s="120"/>
      <c r="H16" s="120"/>
      <c r="I16" s="120"/>
      <c r="J16" s="120"/>
      <c r="K16" s="120"/>
      <c r="L16" s="120"/>
      <c r="M16" s="120"/>
      <c r="N16" s="120"/>
      <c r="O16" s="120"/>
      <c r="P16" s="120"/>
      <c r="Q16" s="120"/>
      <c r="R16" s="120"/>
      <c r="S16" s="120"/>
      <c r="T16" s="120"/>
      <c r="U16" s="120"/>
      <c r="V16" s="120"/>
      <c r="W16" s="120"/>
      <c r="X16" s="120"/>
      <c r="Y16" s="120"/>
      <c r="Z16" s="120"/>
      <c r="AA16" s="120"/>
      <c r="AB16" s="120"/>
      <c r="AC16" s="120"/>
      <c r="AD16" s="120"/>
      <c r="AE16" s="120"/>
      <c r="AF16" s="120"/>
      <c r="AG16" s="121"/>
      <c r="AH16" s="120"/>
      <c r="AI16" s="122"/>
      <c r="AJ16" s="123"/>
    </row>
    <row r="17" spans="1:36" ht="18.75" customHeight="1" x14ac:dyDescent="0.3">
      <c r="A17" s="321" t="s">
        <v>75</v>
      </c>
      <c r="B17" s="121">
        <f t="shared" ref="B17:AG17" si="0">SUM(B5:B16)</f>
        <v>0</v>
      </c>
      <c r="C17" s="121">
        <f t="shared" si="0"/>
        <v>0</v>
      </c>
      <c r="D17" s="121">
        <f t="shared" si="0"/>
        <v>28</v>
      </c>
      <c r="E17" s="121">
        <f t="shared" si="0"/>
        <v>28</v>
      </c>
      <c r="F17" s="121">
        <f t="shared" si="0"/>
        <v>28</v>
      </c>
      <c r="G17" s="121">
        <f t="shared" si="0"/>
        <v>28</v>
      </c>
      <c r="H17" s="121">
        <f t="shared" si="0"/>
        <v>28</v>
      </c>
      <c r="I17" s="121">
        <f t="shared" si="0"/>
        <v>0</v>
      </c>
      <c r="J17" s="121">
        <f t="shared" si="0"/>
        <v>0</v>
      </c>
      <c r="K17" s="121">
        <f t="shared" si="0"/>
        <v>28</v>
      </c>
      <c r="L17" s="121">
        <f t="shared" si="0"/>
        <v>28</v>
      </c>
      <c r="M17" s="121">
        <f t="shared" si="0"/>
        <v>28</v>
      </c>
      <c r="N17" s="121">
        <f t="shared" si="0"/>
        <v>28</v>
      </c>
      <c r="O17" s="121">
        <f t="shared" si="0"/>
        <v>24</v>
      </c>
      <c r="P17" s="121">
        <f t="shared" si="0"/>
        <v>0</v>
      </c>
      <c r="Q17" s="121">
        <f t="shared" si="0"/>
        <v>0</v>
      </c>
      <c r="R17" s="121">
        <f t="shared" si="0"/>
        <v>24</v>
      </c>
      <c r="S17" s="121">
        <f t="shared" si="0"/>
        <v>24</v>
      </c>
      <c r="T17" s="121">
        <f t="shared" si="0"/>
        <v>24</v>
      </c>
      <c r="U17" s="121">
        <f t="shared" si="0"/>
        <v>20</v>
      </c>
      <c r="V17" s="121">
        <f t="shared" si="0"/>
        <v>20.8</v>
      </c>
      <c r="W17" s="121">
        <f t="shared" si="0"/>
        <v>0</v>
      </c>
      <c r="X17" s="121">
        <f t="shared" si="0"/>
        <v>0</v>
      </c>
      <c r="Y17" s="121">
        <f t="shared" si="0"/>
        <v>16</v>
      </c>
      <c r="Z17" s="121">
        <f t="shared" si="0"/>
        <v>16</v>
      </c>
      <c r="AA17" s="121">
        <f t="shared" si="0"/>
        <v>16</v>
      </c>
      <c r="AB17" s="121">
        <f t="shared" si="0"/>
        <v>16</v>
      </c>
      <c r="AC17" s="121">
        <f t="shared" si="0"/>
        <v>16</v>
      </c>
      <c r="AD17" s="121">
        <f t="shared" si="0"/>
        <v>0</v>
      </c>
      <c r="AE17" s="121">
        <f t="shared" si="0"/>
        <v>0</v>
      </c>
      <c r="AF17" s="121">
        <f t="shared" si="0"/>
        <v>0</v>
      </c>
      <c r="AG17" s="121">
        <f t="shared" si="0"/>
        <v>468.8</v>
      </c>
      <c r="AH17" s="121"/>
      <c r="AI17" s="122">
        <f>SUM(AI5:AI16)</f>
        <v>2.9299999999999997</v>
      </c>
      <c r="AJ17" s="123"/>
    </row>
    <row r="18" spans="1:36" s="108" customFormat="1" ht="13.8" x14ac:dyDescent="0.25">
      <c r="A18" s="14"/>
    </row>
    <row r="19" spans="1:36" s="108" customFormat="1" ht="13.8" x14ac:dyDescent="0.25">
      <c r="A19" s="14" t="s">
        <v>83</v>
      </c>
    </row>
    <row r="20" spans="1:36" s="108" customFormat="1" ht="13.8" x14ac:dyDescent="0.25">
      <c r="A20" s="14" t="s">
        <v>84</v>
      </c>
    </row>
    <row r="21" spans="1:36" s="108" customFormat="1" ht="13.8" x14ac:dyDescent="0.25">
      <c r="A21" s="14" t="s">
        <v>85</v>
      </c>
    </row>
    <row r="22" spans="1:36" x14ac:dyDescent="0.3">
      <c r="A22" s="124" t="s">
        <v>86</v>
      </c>
    </row>
    <row r="23" spans="1:36" ht="16.8" x14ac:dyDescent="0.3">
      <c r="A23" s="124"/>
      <c r="B23" s="111"/>
      <c r="C23" s="110"/>
      <c r="D23" s="111"/>
      <c r="E23" s="111"/>
      <c r="G23" s="125"/>
      <c r="H23" s="111"/>
      <c r="J23" s="111"/>
      <c r="K23" s="111"/>
      <c r="M23" s="110"/>
      <c r="X23" s="126"/>
    </row>
    <row r="24" spans="1:36" s="128" customFormat="1" ht="17.399999999999999" x14ac:dyDescent="0.3">
      <c r="A24" s="127"/>
      <c r="B24" s="18"/>
      <c r="C24" s="18"/>
      <c r="D24" s="18"/>
      <c r="E24" s="93" t="s">
        <v>32</v>
      </c>
      <c r="F24" s="18"/>
      <c r="G24" s="18"/>
      <c r="H24" s="18"/>
      <c r="I24" s="127"/>
      <c r="J24" s="18"/>
      <c r="K24" s="18"/>
      <c r="L24" s="18"/>
      <c r="M24" s="18"/>
      <c r="N24" s="18"/>
      <c r="O24" s="18"/>
      <c r="P24" s="18"/>
      <c r="Q24" s="18"/>
      <c r="R24" s="18"/>
      <c r="S24" s="93" t="s">
        <v>33</v>
      </c>
      <c r="T24" s="18"/>
      <c r="U24" s="18"/>
      <c r="V24" s="18"/>
      <c r="W24" s="18"/>
      <c r="X24" s="18"/>
      <c r="Y24" s="18"/>
      <c r="Z24" s="18"/>
      <c r="AA24" s="18"/>
      <c r="AB24" s="18"/>
      <c r="AC24" s="18"/>
      <c r="AD24" s="94" t="s">
        <v>34</v>
      </c>
      <c r="AE24" s="18"/>
      <c r="AF24" s="18"/>
      <c r="AG24" s="18"/>
      <c r="AH24" s="18"/>
      <c r="AI24" s="18"/>
      <c r="AJ24" s="18"/>
    </row>
  </sheetData>
  <sheetProtection algorithmName="SHA-512" hashValue="MFpuE0DVHvno3uRNfienAHzyYCbhoYpX2lI/6KqwIkdOngVhXa+NzhQFlFCXFebjtgXi9Zm4nUDOs6ILrv7DEg==" saltValue="OrO6c/MRG4PDNgndvxsO+w==" spinCount="100000" sheet="1" formatCells="0" formatColumns="0" formatRows="0" insertRows="0"/>
  <mergeCells count="2">
    <mergeCell ref="A1:AJ1"/>
    <mergeCell ref="A2:AI2"/>
  </mergeCells>
  <phoneticPr fontId="9" type="noConversion"/>
  <printOptions horizontalCentered="1" verticalCentered="1"/>
  <pageMargins left="0.19685039370078741" right="0.15748031496062992" top="0.39370078740157483" bottom="0.39370078740157483" header="0.27559055118110237" footer="0.15748031496062992"/>
  <pageSetup paperSize="9" scale="79" fitToWidth="0" fitToHeight="0" orientation="landscape" blackAndWhite="1" r:id="rId1"/>
  <headerFooter alignWithMargins="0"/>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工作表6"/>
  <dimension ref="A1:J38"/>
  <sheetViews>
    <sheetView view="pageBreakPreview" zoomScale="60" zoomScaleNormal="80" workbookViewId="0">
      <selection activeCell="D10" sqref="D10"/>
    </sheetView>
  </sheetViews>
  <sheetFormatPr defaultColWidth="11.19921875" defaultRowHeight="16.2" x14ac:dyDescent="0.3"/>
  <cols>
    <col min="1" max="1" width="13.19921875" style="104" customWidth="1"/>
    <col min="2" max="2" width="13.69921875" style="104" customWidth="1"/>
    <col min="3" max="3" width="15" style="104" customWidth="1"/>
    <col min="4" max="4" width="15.09765625" style="104" customWidth="1"/>
    <col min="5" max="5" width="10.09765625" style="104" bestFit="1" customWidth="1"/>
    <col min="6" max="6" width="16.19921875" style="15" customWidth="1"/>
    <col min="7" max="7" width="27.09765625" style="104" customWidth="1"/>
    <col min="8" max="8" width="7.59765625" style="129" customWidth="1"/>
    <col min="9" max="9" width="30.59765625" style="104" customWidth="1"/>
    <col min="10" max="10" width="27.5" style="104" customWidth="1"/>
    <col min="11" max="11" width="11.19921875" style="104" customWidth="1"/>
    <col min="12" max="12" width="11.09765625" style="104" customWidth="1"/>
    <col min="13" max="13" width="11.19921875" style="104" customWidth="1"/>
    <col min="14" max="16384" width="11.19921875" style="104"/>
  </cols>
  <sheetData>
    <row r="1" spans="1:10" ht="21.75" customHeight="1" x14ac:dyDescent="0.4">
      <c r="A1" s="351" t="str">
        <f>計畫經費彙總表!A1</f>
        <v>××股份有限公司</v>
      </c>
      <c r="B1" s="351"/>
      <c r="C1" s="351"/>
      <c r="D1" s="351"/>
      <c r="E1" s="351"/>
      <c r="F1" s="351"/>
      <c r="G1" s="351"/>
      <c r="H1" s="351"/>
      <c r="I1" s="351"/>
      <c r="J1" s="351"/>
    </row>
    <row r="2" spans="1:10" ht="22.2" x14ac:dyDescent="0.4">
      <c r="A2" s="339" t="s">
        <v>87</v>
      </c>
      <c r="B2" s="339"/>
      <c r="C2" s="339"/>
      <c r="D2" s="339"/>
      <c r="E2" s="339"/>
      <c r="F2" s="339"/>
      <c r="G2" s="339"/>
      <c r="H2" s="339"/>
      <c r="I2" s="339"/>
      <c r="J2" s="339"/>
    </row>
    <row r="3" spans="1:10" x14ac:dyDescent="0.3">
      <c r="A3" s="5"/>
      <c r="B3" s="5"/>
      <c r="C3" s="5"/>
      <c r="D3" s="5"/>
      <c r="E3" s="5"/>
      <c r="F3" s="5"/>
      <c r="G3" s="5"/>
      <c r="H3" s="5"/>
      <c r="I3" s="5"/>
      <c r="J3" s="6" t="s">
        <v>36</v>
      </c>
    </row>
    <row r="4" spans="1:10" s="138" customFormat="1" ht="45.75" customHeight="1" thickBot="1" x14ac:dyDescent="0.35">
      <c r="A4" s="10" t="s">
        <v>37</v>
      </c>
      <c r="B4" s="11" t="s">
        <v>88</v>
      </c>
      <c r="C4" s="12" t="s">
        <v>89</v>
      </c>
      <c r="D4" s="12" t="s">
        <v>90</v>
      </c>
      <c r="E4" s="11" t="s">
        <v>91</v>
      </c>
      <c r="F4" s="12" t="s">
        <v>92</v>
      </c>
      <c r="G4" s="12" t="s">
        <v>93</v>
      </c>
      <c r="H4" s="11" t="s">
        <v>94</v>
      </c>
      <c r="I4" s="11" t="s">
        <v>95</v>
      </c>
      <c r="J4" s="13" t="s">
        <v>96</v>
      </c>
    </row>
    <row r="5" spans="1:10" ht="18" customHeight="1" x14ac:dyDescent="0.3">
      <c r="A5" s="139"/>
      <c r="B5" s="140"/>
      <c r="C5" s="140"/>
      <c r="D5" s="140"/>
      <c r="E5" s="140"/>
      <c r="F5" s="141"/>
      <c r="G5" s="140"/>
      <c r="H5" s="142"/>
      <c r="I5" s="140"/>
      <c r="J5" s="143"/>
    </row>
    <row r="6" spans="1:10" x14ac:dyDescent="0.3">
      <c r="A6" s="261" t="s">
        <v>97</v>
      </c>
      <c r="B6" s="262">
        <v>1120424002</v>
      </c>
      <c r="C6" s="262" t="s">
        <v>98</v>
      </c>
      <c r="D6" s="262" t="s">
        <v>99</v>
      </c>
      <c r="E6" s="263" t="s">
        <v>100</v>
      </c>
      <c r="F6" s="264" t="s">
        <v>101</v>
      </c>
      <c r="G6" s="264" t="s">
        <v>101</v>
      </c>
      <c r="H6" s="265">
        <v>1</v>
      </c>
      <c r="I6" s="263"/>
      <c r="J6" s="266">
        <v>1200</v>
      </c>
    </row>
    <row r="7" spans="1:10" x14ac:dyDescent="0.3">
      <c r="A7" s="261" t="s">
        <v>102</v>
      </c>
      <c r="B7" s="262">
        <v>1120424002</v>
      </c>
      <c r="C7" s="262" t="s">
        <v>103</v>
      </c>
      <c r="D7" s="262" t="s">
        <v>104</v>
      </c>
      <c r="E7" s="263" t="s">
        <v>100</v>
      </c>
      <c r="F7" s="264" t="s">
        <v>105</v>
      </c>
      <c r="G7" s="264" t="s">
        <v>105</v>
      </c>
      <c r="H7" s="265">
        <v>3</v>
      </c>
      <c r="I7" s="263"/>
      <c r="J7" s="266">
        <v>6000</v>
      </c>
    </row>
    <row r="8" spans="1:10" ht="15" customHeight="1" x14ac:dyDescent="0.3">
      <c r="A8" s="261"/>
      <c r="B8" s="262"/>
      <c r="C8" s="262"/>
      <c r="D8" s="262"/>
      <c r="E8" s="263"/>
      <c r="F8" s="267"/>
      <c r="G8" s="268"/>
      <c r="H8" s="265"/>
      <c r="I8" s="263"/>
      <c r="J8" s="266"/>
    </row>
    <row r="9" spans="1:10" ht="14.25" customHeight="1" x14ac:dyDescent="0.3">
      <c r="A9" s="261"/>
      <c r="B9" s="262"/>
      <c r="C9" s="262"/>
      <c r="D9" s="262"/>
      <c r="E9" s="263"/>
      <c r="F9" s="267"/>
      <c r="G9" s="268"/>
      <c r="H9" s="265"/>
      <c r="I9" s="263"/>
      <c r="J9" s="266"/>
    </row>
    <row r="10" spans="1:10" ht="15" customHeight="1" x14ac:dyDescent="0.3">
      <c r="A10" s="269"/>
      <c r="B10" s="262"/>
      <c r="C10" s="262"/>
      <c r="D10" s="262"/>
      <c r="E10" s="262"/>
      <c r="F10" s="268"/>
      <c r="G10" s="262"/>
      <c r="H10" s="265"/>
      <c r="I10" s="262"/>
      <c r="J10" s="266"/>
    </row>
    <row r="11" spans="1:10" ht="14.25" customHeight="1" x14ac:dyDescent="0.3">
      <c r="A11" s="270"/>
      <c r="B11" s="262"/>
      <c r="C11" s="262"/>
      <c r="D11" s="262"/>
      <c r="E11" s="262"/>
      <c r="F11" s="268"/>
      <c r="G11" s="262"/>
      <c r="H11" s="265"/>
      <c r="I11" s="262"/>
      <c r="J11" s="266"/>
    </row>
    <row r="12" spans="1:10" s="15" customFormat="1" ht="12.75" customHeight="1" x14ac:dyDescent="0.3">
      <c r="A12" s="271"/>
      <c r="B12" s="268"/>
      <c r="C12" s="268"/>
      <c r="D12" s="268"/>
      <c r="E12" s="268"/>
      <c r="F12" s="268"/>
      <c r="G12" s="268"/>
      <c r="H12" s="263"/>
      <c r="I12" s="268"/>
      <c r="J12" s="266"/>
    </row>
    <row r="13" spans="1:10" ht="15" customHeight="1" x14ac:dyDescent="0.3">
      <c r="A13" s="261"/>
      <c r="B13" s="262"/>
      <c r="C13" s="262"/>
      <c r="D13" s="262"/>
      <c r="E13" s="262"/>
      <c r="F13" s="268"/>
      <c r="G13" s="262"/>
      <c r="H13" s="265"/>
      <c r="I13" s="262"/>
      <c r="J13" s="266"/>
    </row>
    <row r="14" spans="1:10" ht="12.75" customHeight="1" x14ac:dyDescent="0.3">
      <c r="A14" s="269"/>
      <c r="B14" s="262"/>
      <c r="C14" s="262"/>
      <c r="D14" s="262"/>
      <c r="E14" s="262"/>
      <c r="F14" s="268"/>
      <c r="G14" s="262"/>
      <c r="H14" s="265"/>
      <c r="I14" s="262"/>
      <c r="J14" s="266"/>
    </row>
    <row r="15" spans="1:10" ht="15" customHeight="1" x14ac:dyDescent="0.3">
      <c r="A15" s="270"/>
      <c r="B15" s="262"/>
      <c r="C15" s="262"/>
      <c r="D15" s="262"/>
      <c r="E15" s="262"/>
      <c r="F15" s="268"/>
      <c r="G15" s="262"/>
      <c r="H15" s="265"/>
      <c r="I15" s="262"/>
      <c r="J15" s="266"/>
    </row>
    <row r="16" spans="1:10" ht="15" customHeight="1" x14ac:dyDescent="0.3">
      <c r="A16" s="261"/>
      <c r="B16" s="262"/>
      <c r="C16" s="262"/>
      <c r="D16" s="262"/>
      <c r="E16" s="262"/>
      <c r="F16" s="268"/>
      <c r="G16" s="262"/>
      <c r="H16" s="265"/>
      <c r="I16" s="262"/>
      <c r="J16" s="266"/>
    </row>
    <row r="17" spans="1:10" ht="13.5" customHeight="1" x14ac:dyDescent="0.3">
      <c r="A17" s="261"/>
      <c r="B17" s="262"/>
      <c r="C17" s="262"/>
      <c r="D17" s="262"/>
      <c r="E17" s="262"/>
      <c r="F17" s="268"/>
      <c r="G17" s="262"/>
      <c r="H17" s="265"/>
      <c r="I17" s="262"/>
      <c r="J17" s="266"/>
    </row>
    <row r="18" spans="1:10" ht="15.75" customHeight="1" x14ac:dyDescent="0.3">
      <c r="A18" s="269"/>
      <c r="B18" s="262"/>
      <c r="C18" s="262"/>
      <c r="D18" s="262"/>
      <c r="E18" s="262"/>
      <c r="F18" s="268"/>
      <c r="G18" s="262"/>
      <c r="H18" s="265"/>
      <c r="I18" s="262"/>
      <c r="J18" s="266"/>
    </row>
    <row r="19" spans="1:10" ht="17.25" customHeight="1" x14ac:dyDescent="0.3">
      <c r="A19" s="270"/>
      <c r="B19" s="262"/>
      <c r="C19" s="262"/>
      <c r="D19" s="262"/>
      <c r="E19" s="262"/>
      <c r="F19" s="268"/>
      <c r="G19" s="262"/>
      <c r="H19" s="265"/>
      <c r="I19" s="262"/>
      <c r="J19" s="266"/>
    </row>
    <row r="20" spans="1:10" ht="15" customHeight="1" x14ac:dyDescent="0.3">
      <c r="A20" s="261"/>
      <c r="B20" s="262"/>
      <c r="C20" s="262"/>
      <c r="D20" s="262"/>
      <c r="E20" s="262"/>
      <c r="F20" s="268"/>
      <c r="G20" s="262"/>
      <c r="H20" s="265"/>
      <c r="I20" s="262"/>
      <c r="J20" s="266"/>
    </row>
    <row r="21" spans="1:10" ht="14.25" customHeight="1" x14ac:dyDescent="0.3">
      <c r="A21" s="261"/>
      <c r="B21" s="262"/>
      <c r="C21" s="262"/>
      <c r="D21" s="262"/>
      <c r="E21" s="262"/>
      <c r="F21" s="268"/>
      <c r="G21" s="262"/>
      <c r="H21" s="265"/>
      <c r="I21" s="262"/>
      <c r="J21" s="266"/>
    </row>
    <row r="22" spans="1:10" ht="18" customHeight="1" x14ac:dyDescent="0.3">
      <c r="A22" s="272"/>
      <c r="B22" s="262"/>
      <c r="C22" s="262"/>
      <c r="D22" s="262"/>
      <c r="E22" s="262"/>
      <c r="F22" s="268"/>
      <c r="G22" s="262"/>
      <c r="H22" s="265"/>
      <c r="I22" s="262"/>
      <c r="J22" s="266"/>
    </row>
    <row r="23" spans="1:10" ht="15.75" customHeight="1" x14ac:dyDescent="0.3">
      <c r="A23" s="270"/>
      <c r="B23" s="262"/>
      <c r="C23" s="262"/>
      <c r="D23" s="262"/>
      <c r="E23" s="262"/>
      <c r="F23" s="268"/>
      <c r="G23" s="262"/>
      <c r="H23" s="265"/>
      <c r="I23" s="262"/>
      <c r="J23" s="266"/>
    </row>
    <row r="24" spans="1:10" ht="15.75" customHeight="1" x14ac:dyDescent="0.3">
      <c r="A24" s="261"/>
      <c r="B24" s="262"/>
      <c r="C24" s="262"/>
      <c r="D24" s="262"/>
      <c r="E24" s="262"/>
      <c r="F24" s="268"/>
      <c r="G24" s="262"/>
      <c r="H24" s="265"/>
      <c r="I24" s="262"/>
      <c r="J24" s="266"/>
    </row>
    <row r="25" spans="1:10" ht="16.5" customHeight="1" x14ac:dyDescent="0.3">
      <c r="A25" s="261"/>
      <c r="B25" s="262"/>
      <c r="C25" s="262"/>
      <c r="D25" s="262"/>
      <c r="E25" s="262"/>
      <c r="F25" s="268"/>
      <c r="G25" s="262"/>
      <c r="H25" s="265"/>
      <c r="I25" s="262"/>
      <c r="J25" s="266"/>
    </row>
    <row r="26" spans="1:10" ht="16.5" customHeight="1" thickBot="1" x14ac:dyDescent="0.35">
      <c r="A26" s="273"/>
      <c r="B26" s="274"/>
      <c r="C26" s="274"/>
      <c r="D26" s="274"/>
      <c r="E26" s="274"/>
      <c r="F26" s="275"/>
      <c r="G26" s="274"/>
      <c r="H26" s="276"/>
      <c r="I26" s="274"/>
      <c r="J26" s="277"/>
    </row>
    <row r="27" spans="1:10" ht="17.25" customHeight="1" thickBot="1" x14ac:dyDescent="0.35">
      <c r="A27" s="322" t="s">
        <v>106</v>
      </c>
      <c r="B27" s="147"/>
      <c r="C27" s="147"/>
      <c r="D27" s="147"/>
      <c r="E27" s="147"/>
      <c r="F27" s="148"/>
      <c r="G27" s="147"/>
      <c r="H27" s="146"/>
      <c r="I27" s="147"/>
      <c r="J27" s="149">
        <f>ROUND(SUM(J5:J26),0)</f>
        <v>7200</v>
      </c>
    </row>
    <row r="28" spans="1:10" ht="17.25" customHeight="1" x14ac:dyDescent="0.3">
      <c r="A28" s="150"/>
      <c r="B28" s="119"/>
      <c r="C28" s="119"/>
      <c r="D28" s="119"/>
      <c r="E28" s="119"/>
      <c r="F28" s="151"/>
      <c r="G28" s="119"/>
      <c r="I28" s="119"/>
      <c r="J28" s="152"/>
    </row>
    <row r="29" spans="1:10" ht="14.25" customHeight="1" x14ac:dyDescent="0.3">
      <c r="A29" s="153" t="s">
        <v>107</v>
      </c>
    </row>
    <row r="30" spans="1:10" ht="14.25" customHeight="1" x14ac:dyDescent="0.3">
      <c r="A30" s="153" t="s">
        <v>108</v>
      </c>
    </row>
    <row r="31" spans="1:10" ht="14.25" customHeight="1" x14ac:dyDescent="0.3">
      <c r="A31" s="153" t="s">
        <v>109</v>
      </c>
    </row>
    <row r="32" spans="1:10" x14ac:dyDescent="0.3">
      <c r="A32" s="14" t="s">
        <v>110</v>
      </c>
    </row>
    <row r="33" spans="1:10" x14ac:dyDescent="0.3">
      <c r="A33" s="14" t="s">
        <v>111</v>
      </c>
    </row>
    <row r="34" spans="1:10" s="108" customFormat="1" ht="13.8" x14ac:dyDescent="0.25">
      <c r="A34" s="352" t="s">
        <v>112</v>
      </c>
      <c r="B34" s="352"/>
      <c r="C34" s="352"/>
      <c r="D34" s="352"/>
      <c r="E34" s="352"/>
      <c r="F34" s="352"/>
      <c r="G34" s="352"/>
      <c r="H34" s="352"/>
      <c r="I34" s="352"/>
      <c r="J34" s="352"/>
    </row>
    <row r="35" spans="1:10" ht="15.6" x14ac:dyDescent="0.3">
      <c r="A35" s="14" t="s">
        <v>113</v>
      </c>
      <c r="B35" s="108"/>
      <c r="C35" s="108"/>
      <c r="D35" s="108"/>
      <c r="E35" s="108"/>
      <c r="F35" s="14"/>
      <c r="G35" s="108"/>
      <c r="H35" s="154"/>
      <c r="I35" s="108"/>
      <c r="J35" s="108"/>
    </row>
    <row r="37" spans="1:10" s="18" customFormat="1" ht="17.399999999999999" x14ac:dyDescent="0.3">
      <c r="B37" s="155" t="s">
        <v>32</v>
      </c>
      <c r="F37" s="93" t="s">
        <v>33</v>
      </c>
      <c r="I37" s="156" t="s">
        <v>34</v>
      </c>
    </row>
    <row r="38" spans="1:10" ht="14.25" customHeight="1" x14ac:dyDescent="0.3">
      <c r="A38" s="14"/>
    </row>
  </sheetData>
  <sheetProtection algorithmName="SHA-512" hashValue="Q2fG9PfDGd2/0oVqs7vT8z54rUMK8J89OMqf3WItO6Q/iBlHoQRbYzbbAI8ZDnCI6WnoF9GEbpN7M93k6+gABg==" saltValue="yT6e4SqQ5W7jCdBdqw70HA==" spinCount="100000" sheet="1" formatCells="0" formatColumns="0" formatRows="0" insertRows="0"/>
  <mergeCells count="3">
    <mergeCell ref="A1:J1"/>
    <mergeCell ref="A2:J2"/>
    <mergeCell ref="A34:J34"/>
  </mergeCells>
  <phoneticPr fontId="9" type="noConversion"/>
  <printOptions horizontalCentered="1" verticalCentered="1"/>
  <pageMargins left="0.19685039370078741" right="0.15748031496062992" top="0.39370078740157483" bottom="0.39370078740157483" header="0.27559055118110237" footer="0.15748031496062992"/>
  <pageSetup paperSize="9" scale="77" fitToWidth="0" fitToHeight="0" orientation="landscape" blackAndWhite="1" r:id="rId1"/>
  <headerFooter alignWithMargins="0"/>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工作表7"/>
  <dimension ref="A1:L33"/>
  <sheetViews>
    <sheetView view="pageBreakPreview" zoomScale="60" zoomScaleNormal="80" workbookViewId="0">
      <selection activeCell="E18" sqref="E18"/>
    </sheetView>
  </sheetViews>
  <sheetFormatPr defaultColWidth="11.19921875" defaultRowHeight="15.6" x14ac:dyDescent="0.3"/>
  <cols>
    <col min="1" max="1" width="14.19921875" style="104" customWidth="1"/>
    <col min="2" max="2" width="18" style="104" customWidth="1"/>
    <col min="3" max="3" width="24.69921875" style="104" customWidth="1"/>
    <col min="4" max="4" width="11.69921875" style="104" customWidth="1"/>
    <col min="5" max="5" width="14.59765625" style="104" customWidth="1"/>
    <col min="6" max="6" width="6.69921875" style="104" customWidth="1"/>
    <col min="7" max="7" width="18.19921875" style="104" customWidth="1"/>
    <col min="8" max="8" width="7.69921875" style="104" customWidth="1"/>
    <col min="9" max="9" width="19.5" style="104" customWidth="1"/>
    <col min="10" max="10" width="15.09765625" style="104" customWidth="1"/>
    <col min="11" max="11" width="13.69921875" style="104" customWidth="1"/>
    <col min="12" max="12" width="11.19921875" style="104" customWidth="1"/>
    <col min="13" max="16384" width="11.19921875" style="104"/>
  </cols>
  <sheetData>
    <row r="1" spans="1:11" ht="30" customHeight="1" x14ac:dyDescent="0.4">
      <c r="A1" s="349" t="str">
        <f>計畫經費彙總表!A1</f>
        <v>××股份有限公司</v>
      </c>
      <c r="B1" s="349"/>
      <c r="C1" s="349"/>
      <c r="D1" s="349"/>
      <c r="E1" s="349"/>
      <c r="F1" s="349"/>
      <c r="G1" s="349"/>
      <c r="H1" s="349"/>
      <c r="I1" s="349"/>
      <c r="J1" s="349"/>
      <c r="K1" s="349"/>
    </row>
    <row r="2" spans="1:11" ht="22.2" x14ac:dyDescent="0.4">
      <c r="A2" s="339" t="s">
        <v>114</v>
      </c>
      <c r="B2" s="339"/>
      <c r="C2" s="339"/>
      <c r="D2" s="339"/>
      <c r="E2" s="339"/>
      <c r="F2" s="339"/>
      <c r="G2" s="339"/>
      <c r="H2" s="339"/>
      <c r="I2" s="339"/>
      <c r="J2" s="339"/>
      <c r="K2" s="339"/>
    </row>
    <row r="3" spans="1:11" ht="16.8" thickBot="1" x14ac:dyDescent="0.35">
      <c r="A3" s="5"/>
      <c r="B3" s="5"/>
      <c r="C3" s="5"/>
      <c r="D3" s="5"/>
      <c r="E3" s="5"/>
      <c r="F3" s="5"/>
      <c r="G3" s="5"/>
      <c r="H3" s="5"/>
      <c r="I3" s="5"/>
      <c r="J3" s="5"/>
      <c r="K3" s="6" t="s">
        <v>36</v>
      </c>
    </row>
    <row r="4" spans="1:11" s="157" customFormat="1" ht="24" customHeight="1" thickBot="1" x14ac:dyDescent="0.35">
      <c r="A4" s="176" t="s">
        <v>37</v>
      </c>
      <c r="B4" s="336"/>
      <c r="C4" s="177" t="s">
        <v>38</v>
      </c>
      <c r="D4" s="337"/>
      <c r="E4" s="337"/>
      <c r="F4" s="337"/>
      <c r="G4" s="337"/>
      <c r="H4" s="337"/>
      <c r="I4" s="337"/>
      <c r="J4" s="337"/>
      <c r="K4" s="338"/>
    </row>
    <row r="5" spans="1:11" s="158" customFormat="1" ht="59.25" customHeight="1" thickBot="1" x14ac:dyDescent="0.35">
      <c r="A5" s="176" t="s">
        <v>115</v>
      </c>
      <c r="B5" s="178" t="s">
        <v>116</v>
      </c>
      <c r="C5" s="179" t="s">
        <v>117</v>
      </c>
      <c r="D5" s="178" t="s">
        <v>118</v>
      </c>
      <c r="E5" s="179" t="s">
        <v>119</v>
      </c>
      <c r="F5" s="179" t="s">
        <v>120</v>
      </c>
      <c r="G5" s="179" t="s">
        <v>121</v>
      </c>
      <c r="H5" s="179" t="s">
        <v>122</v>
      </c>
      <c r="I5" s="180" t="s">
        <v>123</v>
      </c>
      <c r="J5" s="179" t="s">
        <v>124</v>
      </c>
      <c r="K5" s="181" t="s">
        <v>125</v>
      </c>
    </row>
    <row r="6" spans="1:11" ht="14.25" customHeight="1" x14ac:dyDescent="0.3">
      <c r="A6" s="182"/>
      <c r="B6" s="183"/>
      <c r="C6" s="183"/>
      <c r="D6" s="183"/>
      <c r="E6" s="183"/>
      <c r="F6" s="183"/>
      <c r="G6" s="183"/>
      <c r="H6" s="183"/>
      <c r="I6" s="183"/>
      <c r="J6" s="183"/>
      <c r="K6" s="184"/>
    </row>
    <row r="7" spans="1:11" ht="16.2" x14ac:dyDescent="0.3">
      <c r="A7" s="159" t="s">
        <v>126</v>
      </c>
      <c r="B7" s="160" t="s">
        <v>127</v>
      </c>
      <c r="C7" s="160" t="s">
        <v>127</v>
      </c>
      <c r="D7" s="329" t="s">
        <v>128</v>
      </c>
      <c r="E7" s="161">
        <v>800000</v>
      </c>
      <c r="F7" s="162">
        <v>1</v>
      </c>
      <c r="G7" s="161">
        <v>600000</v>
      </c>
      <c r="H7" s="161">
        <v>10</v>
      </c>
      <c r="I7" s="171">
        <f>IF(H7,G7/H7,0)</f>
        <v>60000</v>
      </c>
      <c r="J7" s="163">
        <f>設備使用記錄表!AJ6</f>
        <v>0.67500000000000004</v>
      </c>
      <c r="K7" s="164">
        <f t="shared" ref="K7:K12" si="0">ROUND(I7*J7,0)</f>
        <v>40500</v>
      </c>
    </row>
    <row r="8" spans="1:11" ht="16.2" x14ac:dyDescent="0.3">
      <c r="A8" s="159" t="s">
        <v>129</v>
      </c>
      <c r="B8" s="160" t="s">
        <v>130</v>
      </c>
      <c r="C8" s="160" t="s">
        <v>130</v>
      </c>
      <c r="D8" s="329" t="s">
        <v>131</v>
      </c>
      <c r="E8" s="161">
        <v>500000</v>
      </c>
      <c r="F8" s="162">
        <v>1</v>
      </c>
      <c r="G8" s="161">
        <v>420000</v>
      </c>
      <c r="H8" s="161">
        <v>20</v>
      </c>
      <c r="I8" s="171">
        <f t="shared" ref="I8:I12" si="1">IF(H8,G8/H8,0)</f>
        <v>21000</v>
      </c>
      <c r="J8" s="163">
        <f>設備使用記錄表!AJ7</f>
        <v>1</v>
      </c>
      <c r="K8" s="164">
        <f t="shared" si="0"/>
        <v>21000</v>
      </c>
    </row>
    <row r="9" spans="1:11" ht="16.2" x14ac:dyDescent="0.3">
      <c r="A9" s="159" t="s">
        <v>132</v>
      </c>
      <c r="B9" s="160" t="s">
        <v>133</v>
      </c>
      <c r="C9" s="160" t="s">
        <v>133</v>
      </c>
      <c r="D9" s="329" t="s">
        <v>134</v>
      </c>
      <c r="E9" s="161">
        <v>400000</v>
      </c>
      <c r="F9" s="162">
        <v>1</v>
      </c>
      <c r="G9" s="161">
        <v>200000</v>
      </c>
      <c r="H9" s="161">
        <v>30</v>
      </c>
      <c r="I9" s="171">
        <f t="shared" si="1"/>
        <v>6666.666666666667</v>
      </c>
      <c r="J9" s="163">
        <f>設備使用記錄表!AJ8</f>
        <v>0.5</v>
      </c>
      <c r="K9" s="164">
        <f t="shared" si="0"/>
        <v>3333</v>
      </c>
    </row>
    <row r="10" spans="1:11" ht="16.2" x14ac:dyDescent="0.3">
      <c r="A10" s="159"/>
      <c r="B10" s="165"/>
      <c r="C10" s="165"/>
      <c r="D10" s="166"/>
      <c r="E10" s="167"/>
      <c r="F10" s="328"/>
      <c r="G10" s="167"/>
      <c r="H10" s="167"/>
      <c r="I10" s="171">
        <f t="shared" si="1"/>
        <v>0</v>
      </c>
      <c r="J10" s="163">
        <f>設備使用記錄表!AJ9</f>
        <v>0</v>
      </c>
      <c r="K10" s="164">
        <f t="shared" si="0"/>
        <v>0</v>
      </c>
    </row>
    <row r="11" spans="1:11" ht="16.2" x14ac:dyDescent="0.3">
      <c r="A11" s="159"/>
      <c r="B11" s="165"/>
      <c r="C11" s="165"/>
      <c r="D11" s="166"/>
      <c r="E11" s="167"/>
      <c r="F11" s="328"/>
      <c r="G11" s="167"/>
      <c r="H11" s="167"/>
      <c r="I11" s="171">
        <f t="shared" si="1"/>
        <v>0</v>
      </c>
      <c r="J11" s="163">
        <f>設備使用記錄表!AJ10</f>
        <v>0</v>
      </c>
      <c r="K11" s="164">
        <f t="shared" si="0"/>
        <v>0</v>
      </c>
    </row>
    <row r="12" spans="1:11" ht="16.2" x14ac:dyDescent="0.3">
      <c r="A12" s="159"/>
      <c r="B12" s="165"/>
      <c r="C12" s="165"/>
      <c r="D12" s="166"/>
      <c r="E12" s="167"/>
      <c r="F12" s="328"/>
      <c r="G12" s="167"/>
      <c r="H12" s="167"/>
      <c r="I12" s="171">
        <f t="shared" si="1"/>
        <v>0</v>
      </c>
      <c r="J12" s="163">
        <f>設備使用記錄表!AJ11</f>
        <v>0</v>
      </c>
      <c r="K12" s="164">
        <f t="shared" si="0"/>
        <v>0</v>
      </c>
    </row>
    <row r="13" spans="1:11" ht="18.75" customHeight="1" thickBot="1" x14ac:dyDescent="0.35">
      <c r="A13" s="323" t="s">
        <v>135</v>
      </c>
      <c r="B13" s="147"/>
      <c r="C13" s="147"/>
      <c r="D13" s="147"/>
      <c r="E13" s="168"/>
      <c r="F13" s="168"/>
      <c r="G13" s="168"/>
      <c r="H13" s="168"/>
      <c r="I13" s="168"/>
      <c r="J13" s="169"/>
      <c r="K13" s="149">
        <f>ROUND(SUM(K6:K12),0)</f>
        <v>64833</v>
      </c>
    </row>
    <row r="14" spans="1:11" ht="18.75" customHeight="1" x14ac:dyDescent="0.3">
      <c r="A14" s="119"/>
      <c r="B14" s="119"/>
      <c r="C14" s="119"/>
      <c r="D14" s="119"/>
      <c r="E14" s="152"/>
      <c r="F14" s="152"/>
      <c r="G14" s="152"/>
      <c r="H14" s="152"/>
      <c r="I14" s="152"/>
      <c r="J14" s="170"/>
      <c r="K14" s="152"/>
    </row>
    <row r="15" spans="1:11" ht="22.2" x14ac:dyDescent="0.4">
      <c r="A15" s="339" t="s">
        <v>136</v>
      </c>
      <c r="B15" s="339"/>
      <c r="C15" s="339"/>
      <c r="D15" s="339"/>
      <c r="E15" s="339"/>
      <c r="F15" s="339"/>
      <c r="G15" s="339"/>
      <c r="H15" s="339"/>
      <c r="I15" s="339"/>
      <c r="J15" s="339"/>
      <c r="K15" s="339"/>
    </row>
    <row r="16" spans="1:11" ht="18.75" customHeight="1" thickBot="1" x14ac:dyDescent="0.35">
      <c r="A16" s="5"/>
      <c r="B16" s="5"/>
      <c r="C16" s="5"/>
      <c r="D16" s="5"/>
      <c r="E16" s="5"/>
      <c r="F16" s="5"/>
      <c r="G16" s="5"/>
      <c r="H16" s="5"/>
      <c r="I16" s="5"/>
      <c r="J16" s="5"/>
      <c r="K16" s="6" t="s">
        <v>36</v>
      </c>
    </row>
    <row r="17" spans="1:12" s="158" customFormat="1" ht="56.25" customHeight="1" thickBot="1" x14ac:dyDescent="0.35">
      <c r="A17" s="176" t="s">
        <v>115</v>
      </c>
      <c r="B17" s="178" t="s">
        <v>116</v>
      </c>
      <c r="C17" s="179" t="s">
        <v>117</v>
      </c>
      <c r="D17" s="178" t="s">
        <v>118</v>
      </c>
      <c r="E17" s="179" t="s">
        <v>119</v>
      </c>
      <c r="F17" s="179" t="s">
        <v>137</v>
      </c>
      <c r="G17" s="359" t="s">
        <v>138</v>
      </c>
      <c r="H17" s="359"/>
      <c r="I17" s="180" t="s">
        <v>139</v>
      </c>
      <c r="J17" s="179" t="s">
        <v>140</v>
      </c>
      <c r="K17" s="181" t="s">
        <v>141</v>
      </c>
    </row>
    <row r="18" spans="1:12" ht="18.75" customHeight="1" x14ac:dyDescent="0.3">
      <c r="A18" s="182"/>
      <c r="B18" s="183"/>
      <c r="C18" s="183"/>
      <c r="D18" s="183"/>
      <c r="E18" s="183"/>
      <c r="F18" s="183"/>
      <c r="G18" s="360"/>
      <c r="H18" s="360"/>
      <c r="I18" s="183"/>
      <c r="J18" s="185"/>
      <c r="K18" s="184"/>
    </row>
    <row r="19" spans="1:12" ht="18.75" customHeight="1" x14ac:dyDescent="0.3">
      <c r="A19" s="159" t="s">
        <v>142</v>
      </c>
      <c r="B19" s="160" t="s">
        <v>143</v>
      </c>
      <c r="C19" s="160" t="s">
        <v>143</v>
      </c>
      <c r="D19" s="162" t="s">
        <v>144</v>
      </c>
      <c r="E19" s="161">
        <v>150000</v>
      </c>
      <c r="F19" s="162">
        <v>1</v>
      </c>
      <c r="G19" s="354">
        <v>150000</v>
      </c>
      <c r="H19" s="354"/>
      <c r="I19" s="171">
        <f>F19*G19/60</f>
        <v>2500</v>
      </c>
      <c r="J19" s="172">
        <f>設備使用記錄表!AJ13</f>
        <v>1</v>
      </c>
      <c r="K19" s="164">
        <f>ROUND(I19*J19,0)</f>
        <v>2500</v>
      </c>
    </row>
    <row r="20" spans="1:12" ht="18.75" customHeight="1" x14ac:dyDescent="0.3">
      <c r="A20" s="159" t="s">
        <v>145</v>
      </c>
      <c r="B20" s="160" t="s">
        <v>146</v>
      </c>
      <c r="C20" s="160" t="s">
        <v>146</v>
      </c>
      <c r="D20" s="162" t="s">
        <v>147</v>
      </c>
      <c r="E20" s="161">
        <v>600000</v>
      </c>
      <c r="F20" s="162">
        <v>1</v>
      </c>
      <c r="G20" s="354">
        <v>600000</v>
      </c>
      <c r="H20" s="354"/>
      <c r="I20" s="171">
        <f t="shared" ref="I20:I24" si="2">F20*G20/60</f>
        <v>10000</v>
      </c>
      <c r="J20" s="172">
        <f>設備使用記錄表!AJ14</f>
        <v>1</v>
      </c>
      <c r="K20" s="164">
        <f>ROUND(I20*J20,0)</f>
        <v>10000</v>
      </c>
    </row>
    <row r="21" spans="1:12" ht="18.75" customHeight="1" x14ac:dyDescent="0.3">
      <c r="A21" s="159"/>
      <c r="B21" s="160"/>
      <c r="C21" s="160"/>
      <c r="D21" s="162"/>
      <c r="E21" s="161"/>
      <c r="F21" s="162"/>
      <c r="G21" s="355"/>
      <c r="H21" s="355"/>
      <c r="I21" s="171">
        <f t="shared" si="2"/>
        <v>0</v>
      </c>
      <c r="J21" s="172">
        <f>設備使用記錄表!AJ15</f>
        <v>0</v>
      </c>
      <c r="K21" s="164">
        <f>ROUND(I21*J21,0)</f>
        <v>0</v>
      </c>
    </row>
    <row r="22" spans="1:12" ht="18.75" customHeight="1" x14ac:dyDescent="0.3">
      <c r="A22" s="159"/>
      <c r="B22" s="160"/>
      <c r="C22" s="160"/>
      <c r="D22" s="162"/>
      <c r="E22" s="161"/>
      <c r="F22" s="162"/>
      <c r="G22" s="355"/>
      <c r="H22" s="355"/>
      <c r="I22" s="171">
        <f t="shared" si="2"/>
        <v>0</v>
      </c>
      <c r="J22" s="172">
        <f>設備使用記錄表!AJ16</f>
        <v>0</v>
      </c>
      <c r="K22" s="164">
        <f t="shared" ref="K22:K24" si="3">ROUND(I22*J22,0)</f>
        <v>0</v>
      </c>
    </row>
    <row r="23" spans="1:12" ht="18.75" customHeight="1" x14ac:dyDescent="0.3">
      <c r="A23" s="159"/>
      <c r="B23" s="160"/>
      <c r="C23" s="160"/>
      <c r="D23" s="162"/>
      <c r="E23" s="161"/>
      <c r="F23" s="162"/>
      <c r="G23" s="355"/>
      <c r="H23" s="355"/>
      <c r="I23" s="171">
        <f t="shared" si="2"/>
        <v>0</v>
      </c>
      <c r="J23" s="172">
        <f>設備使用記錄表!AJ17</f>
        <v>0</v>
      </c>
      <c r="K23" s="164">
        <f t="shared" si="3"/>
        <v>0</v>
      </c>
    </row>
    <row r="24" spans="1:12" ht="18.75" customHeight="1" x14ac:dyDescent="0.3">
      <c r="A24" s="159"/>
      <c r="B24" s="160"/>
      <c r="C24" s="160"/>
      <c r="D24" s="162"/>
      <c r="E24" s="161"/>
      <c r="F24" s="162"/>
      <c r="G24" s="357"/>
      <c r="H24" s="358"/>
      <c r="I24" s="171">
        <f t="shared" si="2"/>
        <v>0</v>
      </c>
      <c r="J24" s="172">
        <f>設備使用記錄表!AJ18</f>
        <v>0</v>
      </c>
      <c r="K24" s="164">
        <f t="shared" si="3"/>
        <v>0</v>
      </c>
    </row>
    <row r="25" spans="1:12" ht="18.75" customHeight="1" thickBot="1" x14ac:dyDescent="0.35">
      <c r="A25" s="323" t="s">
        <v>135</v>
      </c>
      <c r="B25" s="147"/>
      <c r="C25" s="147"/>
      <c r="D25" s="147"/>
      <c r="E25" s="168"/>
      <c r="F25" s="168"/>
      <c r="G25" s="346"/>
      <c r="H25" s="346"/>
      <c r="I25" s="168"/>
      <c r="J25" s="173"/>
      <c r="K25" s="149">
        <f>ROUND(SUM(K18:K24),0)</f>
        <v>12500</v>
      </c>
    </row>
    <row r="26" spans="1:12" ht="21" customHeight="1" thickBot="1" x14ac:dyDescent="0.35">
      <c r="A26" s="323" t="s">
        <v>148</v>
      </c>
      <c r="B26" s="147"/>
      <c r="C26" s="147"/>
      <c r="D26" s="147"/>
      <c r="E26" s="168"/>
      <c r="F26" s="168"/>
      <c r="G26" s="356"/>
      <c r="H26" s="356"/>
      <c r="I26" s="168"/>
      <c r="J26" s="173"/>
      <c r="K26" s="149">
        <f>K25+K13</f>
        <v>77333</v>
      </c>
    </row>
    <row r="27" spans="1:12" ht="21" customHeight="1" x14ac:dyDescent="0.3">
      <c r="A27" s="119"/>
      <c r="B27" s="119"/>
      <c r="C27" s="119"/>
      <c r="D27" s="119"/>
      <c r="E27" s="152"/>
      <c r="F27" s="152"/>
      <c r="G27" s="174"/>
      <c r="H27" s="174"/>
      <c r="I27" s="152"/>
      <c r="J27" s="175"/>
      <c r="K27" s="152"/>
    </row>
    <row r="28" spans="1:12" s="14" customFormat="1" ht="13.5" customHeight="1" x14ac:dyDescent="0.25">
      <c r="A28" s="14" t="s">
        <v>149</v>
      </c>
    </row>
    <row r="29" spans="1:12" ht="13.5" customHeight="1" x14ac:dyDescent="0.3">
      <c r="A29" s="153" t="s">
        <v>150</v>
      </c>
      <c r="B29" s="108"/>
      <c r="C29" s="108"/>
      <c r="D29" s="108"/>
      <c r="E29" s="108"/>
      <c r="F29" s="108"/>
      <c r="G29" s="108"/>
      <c r="H29" s="108"/>
      <c r="I29" s="108"/>
      <c r="J29" s="108"/>
      <c r="K29" s="108"/>
      <c r="L29" s="108"/>
    </row>
    <row r="30" spans="1:12" s="108" customFormat="1" ht="13.8" x14ac:dyDescent="0.25">
      <c r="A30" s="353" t="s">
        <v>151</v>
      </c>
      <c r="B30" s="353"/>
      <c r="C30" s="353"/>
      <c r="D30" s="353"/>
      <c r="E30" s="353"/>
      <c r="F30" s="353"/>
      <c r="G30" s="353"/>
      <c r="H30" s="353"/>
      <c r="I30" s="353"/>
      <c r="J30" s="353"/>
      <c r="K30" s="353"/>
      <c r="L30" s="353"/>
    </row>
    <row r="31" spans="1:12" s="108" customFormat="1" ht="13.8" x14ac:dyDescent="0.25">
      <c r="A31" s="353" t="s">
        <v>152</v>
      </c>
      <c r="B31" s="353"/>
      <c r="C31" s="353"/>
      <c r="D31" s="353"/>
      <c r="E31" s="353"/>
      <c r="F31" s="353"/>
      <c r="G31" s="353"/>
      <c r="H31" s="353"/>
      <c r="I31" s="353"/>
      <c r="J31" s="353"/>
      <c r="K31" s="353"/>
      <c r="L31" s="353"/>
    </row>
    <row r="33" spans="2:10" s="18" customFormat="1" ht="17.399999999999999" x14ac:dyDescent="0.3">
      <c r="B33" s="93" t="s">
        <v>32</v>
      </c>
      <c r="E33" s="93" t="s">
        <v>33</v>
      </c>
      <c r="H33" s="127"/>
      <c r="J33" s="94" t="s">
        <v>34</v>
      </c>
    </row>
  </sheetData>
  <sheetProtection formatCells="0" formatColumns="0" formatRows="0" insertRows="0"/>
  <mergeCells count="15">
    <mergeCell ref="G19:H19"/>
    <mergeCell ref="A1:K1"/>
    <mergeCell ref="A2:K2"/>
    <mergeCell ref="A15:K15"/>
    <mergeCell ref="G17:H17"/>
    <mergeCell ref="G18:H18"/>
    <mergeCell ref="A30:L30"/>
    <mergeCell ref="A31:L31"/>
    <mergeCell ref="G20:H20"/>
    <mergeCell ref="G21:H21"/>
    <mergeCell ref="G22:H22"/>
    <mergeCell ref="G23:H23"/>
    <mergeCell ref="G25:H25"/>
    <mergeCell ref="G26:H26"/>
    <mergeCell ref="G24:H24"/>
  </mergeCells>
  <phoneticPr fontId="9" type="noConversion"/>
  <printOptions horizontalCentered="1" verticalCentered="1"/>
  <pageMargins left="0.19685039370078741" right="0.15748031496062992" top="0.39370078740157483" bottom="0.39370078740157483" header="0.27559055118110237" footer="0.15748031496062992"/>
  <pageSetup paperSize="9" scale="78" fitToWidth="0" fitToHeight="0" orientation="landscape" blackAndWhite="1" r:id="rId1"/>
  <headerFooter alignWithMargins="0"/>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工作表8"/>
  <dimension ref="A1:AJ25"/>
  <sheetViews>
    <sheetView view="pageBreakPreview" zoomScale="60" zoomScaleNormal="80" workbookViewId="0">
      <selection activeCell="AC17" sqref="AC17"/>
    </sheetView>
  </sheetViews>
  <sheetFormatPr defaultColWidth="11.19921875" defaultRowHeight="16.2" x14ac:dyDescent="0.3"/>
  <cols>
    <col min="1" max="1" width="2" style="15" customWidth="1"/>
    <col min="2" max="2" width="11.5" style="15" customWidth="1"/>
    <col min="3" max="33" width="4.19921875" style="15" customWidth="1"/>
    <col min="34" max="34" width="6.5" style="15" bestFit="1" customWidth="1"/>
    <col min="35" max="35" width="7.5" style="15" customWidth="1"/>
    <col min="36" max="36" width="8.09765625" style="15" bestFit="1" customWidth="1"/>
    <col min="37" max="37" width="11.19921875" style="15" customWidth="1"/>
    <col min="38" max="16384" width="11.19921875" style="15"/>
  </cols>
  <sheetData>
    <row r="1" spans="1:36" ht="19.8" x14ac:dyDescent="0.4">
      <c r="A1" s="349" t="str">
        <f>計畫經費彙總表!A1</f>
        <v>××股份有限公司</v>
      </c>
      <c r="B1" s="349"/>
      <c r="C1" s="349"/>
      <c r="D1" s="349"/>
      <c r="E1" s="349"/>
      <c r="F1" s="349"/>
      <c r="G1" s="349"/>
      <c r="H1" s="349"/>
      <c r="I1" s="349"/>
      <c r="J1" s="349"/>
      <c r="K1" s="349"/>
      <c r="L1" s="349"/>
      <c r="M1" s="349"/>
      <c r="N1" s="349"/>
      <c r="O1" s="349"/>
      <c r="P1" s="349"/>
      <c r="Q1" s="349"/>
      <c r="R1" s="349"/>
      <c r="S1" s="349"/>
      <c r="T1" s="349"/>
      <c r="U1" s="349"/>
      <c r="V1" s="349"/>
      <c r="W1" s="349"/>
      <c r="X1" s="349"/>
      <c r="Y1" s="349"/>
      <c r="Z1" s="349"/>
      <c r="AA1" s="349"/>
      <c r="AB1" s="349"/>
      <c r="AC1" s="349"/>
      <c r="AD1" s="349"/>
      <c r="AE1" s="349"/>
      <c r="AF1" s="349"/>
      <c r="AG1" s="349"/>
      <c r="AH1" s="349"/>
      <c r="AI1" s="349"/>
      <c r="AJ1" s="349"/>
    </row>
    <row r="2" spans="1:36" ht="30" customHeight="1" x14ac:dyDescent="0.3">
      <c r="A2" s="350" t="s">
        <v>153</v>
      </c>
      <c r="B2" s="350"/>
      <c r="C2" s="350"/>
      <c r="D2" s="350"/>
      <c r="E2" s="350"/>
      <c r="F2" s="350"/>
      <c r="G2" s="350"/>
      <c r="H2" s="350"/>
      <c r="I2" s="350"/>
      <c r="J2" s="350"/>
      <c r="K2" s="350"/>
      <c r="L2" s="350"/>
      <c r="M2" s="350"/>
      <c r="N2" s="350"/>
      <c r="O2" s="350"/>
      <c r="P2" s="350"/>
      <c r="Q2" s="350"/>
      <c r="R2" s="350"/>
      <c r="S2" s="350"/>
      <c r="T2" s="350"/>
      <c r="U2" s="350"/>
      <c r="V2" s="350"/>
      <c r="W2" s="350"/>
      <c r="X2" s="350"/>
      <c r="Y2" s="350"/>
      <c r="Z2" s="350"/>
      <c r="AA2" s="350"/>
      <c r="AB2" s="350"/>
      <c r="AC2" s="350"/>
      <c r="AD2" s="350"/>
      <c r="AE2" s="350"/>
      <c r="AF2" s="350"/>
      <c r="AG2" s="350"/>
      <c r="AH2" s="350"/>
      <c r="AI2" s="350"/>
      <c r="AJ2" s="350"/>
    </row>
    <row r="3" spans="1:36" s="187" customFormat="1" ht="37.5" customHeight="1" x14ac:dyDescent="0.25">
      <c r="A3" s="206"/>
      <c r="B3" s="207" t="s">
        <v>116</v>
      </c>
      <c r="C3" s="8">
        <v>1</v>
      </c>
      <c r="D3" s="8">
        <v>2</v>
      </c>
      <c r="E3" s="8">
        <v>3</v>
      </c>
      <c r="F3" s="8">
        <v>4</v>
      </c>
      <c r="G3" s="8">
        <v>5</v>
      </c>
      <c r="H3" s="8">
        <v>6</v>
      </c>
      <c r="I3" s="8">
        <v>7</v>
      </c>
      <c r="J3" s="8">
        <v>8</v>
      </c>
      <c r="K3" s="8">
        <v>9</v>
      </c>
      <c r="L3" s="8">
        <v>10</v>
      </c>
      <c r="M3" s="8">
        <v>11</v>
      </c>
      <c r="N3" s="8">
        <v>12</v>
      </c>
      <c r="O3" s="8">
        <v>13</v>
      </c>
      <c r="P3" s="8">
        <v>14</v>
      </c>
      <c r="Q3" s="8">
        <v>15</v>
      </c>
      <c r="R3" s="8">
        <v>16</v>
      </c>
      <c r="S3" s="8">
        <v>17</v>
      </c>
      <c r="T3" s="8">
        <v>18</v>
      </c>
      <c r="U3" s="8">
        <v>19</v>
      </c>
      <c r="V3" s="8">
        <v>20</v>
      </c>
      <c r="W3" s="8">
        <v>21</v>
      </c>
      <c r="X3" s="8">
        <v>22</v>
      </c>
      <c r="Y3" s="8">
        <v>23</v>
      </c>
      <c r="Z3" s="8">
        <v>24</v>
      </c>
      <c r="AA3" s="8">
        <v>25</v>
      </c>
      <c r="AB3" s="8">
        <v>26</v>
      </c>
      <c r="AC3" s="8">
        <v>27</v>
      </c>
      <c r="AD3" s="8">
        <v>28</v>
      </c>
      <c r="AE3" s="186">
        <v>29</v>
      </c>
      <c r="AF3" s="186">
        <v>30</v>
      </c>
      <c r="AG3" s="186">
        <v>31</v>
      </c>
      <c r="AH3" s="8" t="s">
        <v>75</v>
      </c>
      <c r="AI3" s="9" t="s">
        <v>154</v>
      </c>
      <c r="AJ3" s="205" t="s">
        <v>77</v>
      </c>
    </row>
    <row r="4" spans="1:36" s="153" customFormat="1" ht="15" customHeight="1" x14ac:dyDescent="0.25">
      <c r="A4" s="202"/>
      <c r="B4" s="203"/>
      <c r="C4" s="204"/>
      <c r="D4" s="204"/>
      <c r="E4" s="204"/>
      <c r="F4" s="204"/>
      <c r="G4" s="204"/>
      <c r="H4" s="204"/>
      <c r="I4" s="204"/>
      <c r="J4" s="204"/>
      <c r="K4" s="204"/>
      <c r="L4" s="204"/>
      <c r="M4" s="204"/>
      <c r="N4" s="204"/>
      <c r="O4" s="204"/>
      <c r="P4" s="204"/>
      <c r="Q4" s="204"/>
      <c r="R4" s="204"/>
      <c r="S4" s="204"/>
      <c r="T4" s="204"/>
      <c r="U4" s="204"/>
      <c r="V4" s="204"/>
      <c r="W4" s="204"/>
      <c r="X4" s="204"/>
      <c r="Y4" s="204"/>
      <c r="Z4" s="204"/>
      <c r="AA4" s="204"/>
      <c r="AB4" s="204"/>
      <c r="AC4" s="204"/>
      <c r="AD4" s="204"/>
      <c r="AE4" s="189"/>
      <c r="AF4" s="189"/>
      <c r="AG4" s="189"/>
      <c r="AH4" s="200"/>
      <c r="AI4" s="200"/>
      <c r="AJ4" s="201"/>
    </row>
    <row r="5" spans="1:36" s="153" customFormat="1" ht="13.8" x14ac:dyDescent="0.25">
      <c r="A5" s="192" t="s">
        <v>155</v>
      </c>
      <c r="B5" s="188"/>
      <c r="C5" s="189"/>
      <c r="D5" s="189"/>
      <c r="E5" s="189"/>
      <c r="F5" s="189"/>
      <c r="G5" s="189"/>
      <c r="H5" s="189"/>
      <c r="I5" s="189"/>
      <c r="J5" s="189"/>
      <c r="K5" s="189"/>
      <c r="L5" s="189"/>
      <c r="M5" s="189"/>
      <c r="N5" s="189"/>
      <c r="O5" s="189"/>
      <c r="P5" s="189"/>
      <c r="Q5" s="189"/>
      <c r="R5" s="189"/>
      <c r="S5" s="189"/>
      <c r="T5" s="189"/>
      <c r="U5" s="189"/>
      <c r="V5" s="189"/>
      <c r="W5" s="189"/>
      <c r="X5" s="189"/>
      <c r="Y5" s="189"/>
      <c r="Z5" s="189"/>
      <c r="AA5" s="189"/>
      <c r="AB5" s="189"/>
      <c r="AC5" s="189"/>
      <c r="AD5" s="189"/>
      <c r="AE5" s="189"/>
      <c r="AF5" s="189"/>
      <c r="AG5" s="189"/>
      <c r="AH5" s="190"/>
      <c r="AI5" s="190"/>
      <c r="AJ5" s="191"/>
    </row>
    <row r="6" spans="1:36" s="14" customFormat="1" ht="21" customHeight="1" x14ac:dyDescent="0.25">
      <c r="A6" s="193"/>
      <c r="B6" s="194" t="str">
        <f>IF(設備使用費!C7&lt;&gt;"",設備使用費!C7,"")</f>
        <v>成型機</v>
      </c>
      <c r="C6" s="195"/>
      <c r="D6" s="195"/>
      <c r="E6" s="195">
        <v>8</v>
      </c>
      <c r="F6" s="195">
        <v>8</v>
      </c>
      <c r="G6" s="195">
        <v>8</v>
      </c>
      <c r="H6" s="195">
        <v>8</v>
      </c>
      <c r="I6" s="195">
        <v>8</v>
      </c>
      <c r="J6" s="195"/>
      <c r="K6" s="195"/>
      <c r="L6" s="195">
        <v>8</v>
      </c>
      <c r="M6" s="195">
        <v>8</v>
      </c>
      <c r="N6" s="195">
        <v>8</v>
      </c>
      <c r="O6" s="195">
        <v>8</v>
      </c>
      <c r="P6" s="195">
        <v>4</v>
      </c>
      <c r="Q6" s="195"/>
      <c r="R6" s="195"/>
      <c r="S6" s="195">
        <v>8</v>
      </c>
      <c r="T6" s="195">
        <v>8</v>
      </c>
      <c r="U6" s="195">
        <v>8</v>
      </c>
      <c r="V6" s="195">
        <v>4</v>
      </c>
      <c r="W6" s="195">
        <v>4</v>
      </c>
      <c r="X6" s="195"/>
      <c r="Y6" s="195"/>
      <c r="Z6" s="195"/>
      <c r="AA6" s="195"/>
      <c r="AB6" s="195"/>
      <c r="AC6" s="195"/>
      <c r="AD6" s="195"/>
      <c r="AE6" s="195"/>
      <c r="AF6" s="195"/>
      <c r="AG6" s="195"/>
      <c r="AH6" s="196">
        <f>SUM(C6:AG6)</f>
        <v>108</v>
      </c>
      <c r="AI6" s="195">
        <v>160</v>
      </c>
      <c r="AJ6" s="197">
        <f>AH6/AI6</f>
        <v>0.67500000000000004</v>
      </c>
    </row>
    <row r="7" spans="1:36" s="14" customFormat="1" ht="18.75" customHeight="1" x14ac:dyDescent="0.25">
      <c r="A7" s="193"/>
      <c r="B7" s="194" t="str">
        <f>IF(設備使用費!C8&lt;&gt;"",設備使用費!C8,"")</f>
        <v>磨石機</v>
      </c>
      <c r="C7" s="195"/>
      <c r="D7" s="195"/>
      <c r="E7" s="195">
        <v>8</v>
      </c>
      <c r="F7" s="195">
        <v>8</v>
      </c>
      <c r="G7" s="195">
        <v>8</v>
      </c>
      <c r="H7" s="195">
        <v>8</v>
      </c>
      <c r="I7" s="195">
        <v>8</v>
      </c>
      <c r="J7" s="195"/>
      <c r="K7" s="195"/>
      <c r="L7" s="195">
        <v>8</v>
      </c>
      <c r="M7" s="195">
        <v>8</v>
      </c>
      <c r="N7" s="195">
        <v>8</v>
      </c>
      <c r="O7" s="195">
        <v>8</v>
      </c>
      <c r="P7" s="195">
        <v>8</v>
      </c>
      <c r="Q7" s="195"/>
      <c r="R7" s="195"/>
      <c r="S7" s="195">
        <v>8</v>
      </c>
      <c r="T7" s="195">
        <v>8</v>
      </c>
      <c r="U7" s="195">
        <v>8</v>
      </c>
      <c r="V7" s="195">
        <v>8</v>
      </c>
      <c r="W7" s="195">
        <v>8</v>
      </c>
      <c r="X7" s="195"/>
      <c r="Y7" s="195"/>
      <c r="Z7" s="195">
        <v>8</v>
      </c>
      <c r="AA7" s="195">
        <v>8</v>
      </c>
      <c r="AB7" s="195">
        <v>8</v>
      </c>
      <c r="AC7" s="195">
        <v>8</v>
      </c>
      <c r="AD7" s="195">
        <v>8</v>
      </c>
      <c r="AE7" s="195"/>
      <c r="AF7" s="195"/>
      <c r="AG7" s="195"/>
      <c r="AH7" s="196">
        <f>SUM(C7:AG7)</f>
        <v>160</v>
      </c>
      <c r="AI7" s="195">
        <v>160</v>
      </c>
      <c r="AJ7" s="197">
        <f>AH7/AI7</f>
        <v>1</v>
      </c>
    </row>
    <row r="8" spans="1:36" s="14" customFormat="1" ht="18.75" customHeight="1" x14ac:dyDescent="0.25">
      <c r="A8" s="193"/>
      <c r="B8" s="194" t="str">
        <f>IF(設備使用費!C9&lt;&gt;"",設備使用費!C9,"")</f>
        <v>加工機</v>
      </c>
      <c r="C8" s="195"/>
      <c r="D8" s="195"/>
      <c r="E8" s="195">
        <v>4</v>
      </c>
      <c r="F8" s="195">
        <v>4</v>
      </c>
      <c r="G8" s="195">
        <v>4</v>
      </c>
      <c r="H8" s="195">
        <v>4</v>
      </c>
      <c r="I8" s="195">
        <v>4</v>
      </c>
      <c r="J8" s="195"/>
      <c r="K8" s="195"/>
      <c r="L8" s="195">
        <v>4</v>
      </c>
      <c r="M8" s="195">
        <v>4</v>
      </c>
      <c r="N8" s="195">
        <v>4</v>
      </c>
      <c r="O8" s="195">
        <v>4</v>
      </c>
      <c r="P8" s="195">
        <v>4</v>
      </c>
      <c r="Q8" s="195"/>
      <c r="R8" s="195"/>
      <c r="S8" s="195">
        <v>4</v>
      </c>
      <c r="T8" s="195">
        <v>4</v>
      </c>
      <c r="U8" s="195">
        <v>4</v>
      </c>
      <c r="V8" s="195">
        <v>4</v>
      </c>
      <c r="W8" s="195">
        <v>4</v>
      </c>
      <c r="X8" s="195"/>
      <c r="Y8" s="195"/>
      <c r="Z8" s="195">
        <v>4</v>
      </c>
      <c r="AA8" s="195">
        <v>4</v>
      </c>
      <c r="AB8" s="195">
        <v>4</v>
      </c>
      <c r="AC8" s="195">
        <v>4</v>
      </c>
      <c r="AD8" s="195">
        <v>4</v>
      </c>
      <c r="AE8" s="195"/>
      <c r="AF8" s="195"/>
      <c r="AG8" s="195"/>
      <c r="AH8" s="196">
        <f>SUM(C8:AG8)</f>
        <v>80</v>
      </c>
      <c r="AI8" s="195">
        <v>160</v>
      </c>
      <c r="AJ8" s="197">
        <f>AH8/AI8</f>
        <v>0.5</v>
      </c>
    </row>
    <row r="9" spans="1:36" s="14" customFormat="1" ht="18.75" customHeight="1" x14ac:dyDescent="0.25">
      <c r="A9" s="193"/>
      <c r="B9" s="194" t="str">
        <f>IF(設備使用費!C10&lt;&gt;"",設備使用費!C10,"")</f>
        <v/>
      </c>
      <c r="C9" s="195"/>
      <c r="D9" s="195"/>
      <c r="E9" s="195"/>
      <c r="F9" s="195"/>
      <c r="G9" s="195"/>
      <c r="H9" s="195"/>
      <c r="I9" s="195"/>
      <c r="J9" s="195"/>
      <c r="K9" s="195"/>
      <c r="L9" s="195"/>
      <c r="M9" s="195"/>
      <c r="N9" s="195"/>
      <c r="O9" s="195"/>
      <c r="P9" s="195"/>
      <c r="Q9" s="195"/>
      <c r="R9" s="195"/>
      <c r="S9" s="195"/>
      <c r="T9" s="195"/>
      <c r="U9" s="195"/>
      <c r="V9" s="195"/>
      <c r="W9" s="195"/>
      <c r="X9" s="195"/>
      <c r="Y9" s="195"/>
      <c r="Z9" s="195"/>
      <c r="AA9" s="195"/>
      <c r="AB9" s="195"/>
      <c r="AC9" s="195"/>
      <c r="AD9" s="195"/>
      <c r="AE9" s="195"/>
      <c r="AF9" s="195"/>
      <c r="AG9" s="195"/>
      <c r="AH9" s="196">
        <f t="shared" ref="AH9:AH11" si="0">SUM(C9:AG9)</f>
        <v>0</v>
      </c>
      <c r="AI9" s="195">
        <v>160</v>
      </c>
      <c r="AJ9" s="197">
        <f t="shared" ref="AJ9:AJ11" si="1">AH9/AI9</f>
        <v>0</v>
      </c>
    </row>
    <row r="10" spans="1:36" s="14" customFormat="1" ht="18.75" customHeight="1" x14ac:dyDescent="0.25">
      <c r="A10" s="193"/>
      <c r="B10" s="194" t="str">
        <f>IF(設備使用費!C11&lt;&gt;"",設備使用費!C11,"")</f>
        <v/>
      </c>
      <c r="C10" s="195"/>
      <c r="D10" s="195"/>
      <c r="E10" s="195"/>
      <c r="F10" s="195"/>
      <c r="G10" s="195"/>
      <c r="H10" s="195"/>
      <c r="I10" s="195"/>
      <c r="J10" s="195"/>
      <c r="K10" s="195"/>
      <c r="L10" s="195"/>
      <c r="M10" s="195"/>
      <c r="N10" s="195"/>
      <c r="O10" s="195"/>
      <c r="P10" s="195"/>
      <c r="Q10" s="195"/>
      <c r="R10" s="195"/>
      <c r="S10" s="195"/>
      <c r="T10" s="195"/>
      <c r="U10" s="195"/>
      <c r="V10" s="195"/>
      <c r="W10" s="195"/>
      <c r="X10" s="195"/>
      <c r="Y10" s="195"/>
      <c r="Z10" s="195"/>
      <c r="AA10" s="195"/>
      <c r="AB10" s="195"/>
      <c r="AC10" s="195"/>
      <c r="AD10" s="195"/>
      <c r="AE10" s="195"/>
      <c r="AF10" s="195"/>
      <c r="AG10" s="195"/>
      <c r="AH10" s="196">
        <f t="shared" si="0"/>
        <v>0</v>
      </c>
      <c r="AI10" s="195">
        <v>160</v>
      </c>
      <c r="AJ10" s="197">
        <f t="shared" si="1"/>
        <v>0</v>
      </c>
    </row>
    <row r="11" spans="1:36" s="14" customFormat="1" ht="18.75" customHeight="1" x14ac:dyDescent="0.25">
      <c r="A11" s="193"/>
      <c r="B11" s="194" t="str">
        <f>IF(設備使用費!C12&lt;&gt;"",設備使用費!C12,"")</f>
        <v/>
      </c>
      <c r="C11" s="195"/>
      <c r="D11" s="195"/>
      <c r="E11" s="195"/>
      <c r="F11" s="195"/>
      <c r="G11" s="195"/>
      <c r="H11" s="195"/>
      <c r="I11" s="195"/>
      <c r="J11" s="195"/>
      <c r="K11" s="195"/>
      <c r="L11" s="195"/>
      <c r="M11" s="195"/>
      <c r="N11" s="195"/>
      <c r="O11" s="195"/>
      <c r="P11" s="195"/>
      <c r="Q11" s="195"/>
      <c r="R11" s="195"/>
      <c r="S11" s="195"/>
      <c r="T11" s="195"/>
      <c r="U11" s="195"/>
      <c r="V11" s="195"/>
      <c r="W11" s="195"/>
      <c r="X11" s="195"/>
      <c r="Y11" s="195"/>
      <c r="Z11" s="195"/>
      <c r="AA11" s="195"/>
      <c r="AB11" s="195"/>
      <c r="AC11" s="195"/>
      <c r="AD11" s="195"/>
      <c r="AE11" s="195"/>
      <c r="AF11" s="195"/>
      <c r="AG11" s="195"/>
      <c r="AH11" s="196">
        <f t="shared" si="0"/>
        <v>0</v>
      </c>
      <c r="AI11" s="195">
        <v>160</v>
      </c>
      <c r="AJ11" s="197">
        <f t="shared" si="1"/>
        <v>0</v>
      </c>
    </row>
    <row r="12" spans="1:36" s="14" customFormat="1" ht="13.8" x14ac:dyDescent="0.25">
      <c r="A12" s="198" t="s">
        <v>156</v>
      </c>
      <c r="B12" s="194"/>
      <c r="C12" s="195"/>
      <c r="D12" s="195"/>
      <c r="E12" s="195"/>
      <c r="F12" s="195"/>
      <c r="G12" s="195"/>
      <c r="H12" s="195"/>
      <c r="I12" s="195"/>
      <c r="J12" s="195"/>
      <c r="K12" s="195"/>
      <c r="L12" s="195"/>
      <c r="M12" s="195"/>
      <c r="N12" s="195"/>
      <c r="O12" s="195"/>
      <c r="P12" s="195"/>
      <c r="Q12" s="195"/>
      <c r="R12" s="195"/>
      <c r="S12" s="195"/>
      <c r="T12" s="195"/>
      <c r="U12" s="195"/>
      <c r="V12" s="195"/>
      <c r="W12" s="195"/>
      <c r="X12" s="195"/>
      <c r="Y12" s="195"/>
      <c r="Z12" s="195"/>
      <c r="AA12" s="195"/>
      <c r="AB12" s="195"/>
      <c r="AC12" s="195"/>
      <c r="AD12" s="195"/>
      <c r="AE12" s="195"/>
      <c r="AF12" s="195"/>
      <c r="AG12" s="195"/>
      <c r="AH12" s="196"/>
      <c r="AI12" s="195"/>
      <c r="AJ12" s="197"/>
    </row>
    <row r="13" spans="1:36" s="14" customFormat="1" ht="18.75" customHeight="1" x14ac:dyDescent="0.25">
      <c r="A13" s="193"/>
      <c r="B13" s="194" t="str">
        <f>IF(設備使用費!C19&lt;&gt;"",設備使用費!C19,"")</f>
        <v>電腦</v>
      </c>
      <c r="C13" s="195"/>
      <c r="D13" s="195"/>
      <c r="E13" s="195">
        <v>8</v>
      </c>
      <c r="F13" s="195">
        <v>8</v>
      </c>
      <c r="G13" s="195">
        <v>8</v>
      </c>
      <c r="H13" s="195">
        <v>8</v>
      </c>
      <c r="I13" s="195">
        <v>8</v>
      </c>
      <c r="J13" s="195"/>
      <c r="K13" s="195"/>
      <c r="L13" s="195">
        <v>8</v>
      </c>
      <c r="M13" s="195">
        <v>8</v>
      </c>
      <c r="N13" s="195">
        <v>8</v>
      </c>
      <c r="O13" s="195">
        <v>8</v>
      </c>
      <c r="P13" s="195">
        <v>8</v>
      </c>
      <c r="Q13" s="195"/>
      <c r="R13" s="195"/>
      <c r="S13" s="195">
        <v>8</v>
      </c>
      <c r="T13" s="195">
        <v>8</v>
      </c>
      <c r="U13" s="195">
        <v>8</v>
      </c>
      <c r="V13" s="195">
        <v>8</v>
      </c>
      <c r="W13" s="195">
        <v>8</v>
      </c>
      <c r="X13" s="195"/>
      <c r="Y13" s="195"/>
      <c r="Z13" s="195">
        <v>8</v>
      </c>
      <c r="AA13" s="195">
        <v>8</v>
      </c>
      <c r="AB13" s="195">
        <v>8</v>
      </c>
      <c r="AC13" s="195">
        <v>8</v>
      </c>
      <c r="AD13" s="195">
        <v>8</v>
      </c>
      <c r="AE13" s="195"/>
      <c r="AF13" s="195"/>
      <c r="AG13" s="195"/>
      <c r="AH13" s="196">
        <f>SUM(C13:AG13)</f>
        <v>160</v>
      </c>
      <c r="AI13" s="195">
        <v>160</v>
      </c>
      <c r="AJ13" s="197">
        <f>AH13/AI13</f>
        <v>1</v>
      </c>
    </row>
    <row r="14" spans="1:36" s="14" customFormat="1" ht="18.75" customHeight="1" x14ac:dyDescent="0.25">
      <c r="A14" s="193"/>
      <c r="B14" s="194" t="str">
        <f>IF(設備使用費!C20&lt;&gt;"",設備使用費!C20,"")</f>
        <v>射出機</v>
      </c>
      <c r="C14" s="195"/>
      <c r="D14" s="195"/>
      <c r="E14" s="195">
        <v>8</v>
      </c>
      <c r="F14" s="195">
        <v>8</v>
      </c>
      <c r="G14" s="195">
        <v>8</v>
      </c>
      <c r="H14" s="195">
        <v>8</v>
      </c>
      <c r="I14" s="195">
        <v>8</v>
      </c>
      <c r="J14" s="195"/>
      <c r="K14" s="195"/>
      <c r="L14" s="195">
        <v>8</v>
      </c>
      <c r="M14" s="195">
        <v>8</v>
      </c>
      <c r="N14" s="195">
        <v>8</v>
      </c>
      <c r="O14" s="195">
        <v>8</v>
      </c>
      <c r="P14" s="195">
        <v>8</v>
      </c>
      <c r="Q14" s="195"/>
      <c r="R14" s="195"/>
      <c r="S14" s="195">
        <v>8</v>
      </c>
      <c r="T14" s="195">
        <v>8</v>
      </c>
      <c r="U14" s="195">
        <v>8</v>
      </c>
      <c r="V14" s="195">
        <v>8</v>
      </c>
      <c r="W14" s="195">
        <v>8</v>
      </c>
      <c r="X14" s="195"/>
      <c r="Y14" s="195"/>
      <c r="Z14" s="195">
        <v>8</v>
      </c>
      <c r="AA14" s="195">
        <v>8</v>
      </c>
      <c r="AB14" s="195">
        <v>8</v>
      </c>
      <c r="AC14" s="195">
        <v>8</v>
      </c>
      <c r="AD14" s="195">
        <v>8</v>
      </c>
      <c r="AE14" s="195"/>
      <c r="AF14" s="195"/>
      <c r="AG14" s="195"/>
      <c r="AH14" s="196">
        <f>SUM(C14:AG14)</f>
        <v>160</v>
      </c>
      <c r="AI14" s="195">
        <v>160</v>
      </c>
      <c r="AJ14" s="197">
        <f>AH14/AI14</f>
        <v>1</v>
      </c>
    </row>
    <row r="15" spans="1:36" s="14" customFormat="1" ht="18.75" customHeight="1" x14ac:dyDescent="0.25">
      <c r="A15" s="193"/>
      <c r="B15" s="194" t="str">
        <f>IF(設備使用費!C21&lt;&gt;"",設備使用費!C21,"")</f>
        <v/>
      </c>
      <c r="C15" s="195"/>
      <c r="D15" s="195"/>
      <c r="E15" s="195"/>
      <c r="F15" s="195"/>
      <c r="G15" s="195"/>
      <c r="H15" s="195"/>
      <c r="I15" s="195"/>
      <c r="J15" s="195"/>
      <c r="K15" s="195"/>
      <c r="L15" s="195"/>
      <c r="M15" s="195"/>
      <c r="N15" s="195"/>
      <c r="O15" s="195"/>
      <c r="P15" s="195"/>
      <c r="Q15" s="195"/>
      <c r="R15" s="195"/>
      <c r="S15" s="195"/>
      <c r="T15" s="195"/>
      <c r="U15" s="195"/>
      <c r="V15" s="195"/>
      <c r="W15" s="195"/>
      <c r="X15" s="195"/>
      <c r="Y15" s="195"/>
      <c r="Z15" s="195"/>
      <c r="AA15" s="195"/>
      <c r="AB15" s="195"/>
      <c r="AC15" s="195"/>
      <c r="AD15" s="195"/>
      <c r="AE15" s="195"/>
      <c r="AF15" s="195"/>
      <c r="AG15" s="195"/>
      <c r="AH15" s="196">
        <f t="shared" ref="AH15:AH17" si="2">SUM(C15:AG15)</f>
        <v>0</v>
      </c>
      <c r="AI15" s="195">
        <v>160</v>
      </c>
      <c r="AJ15" s="197">
        <f t="shared" ref="AJ15:AJ18" si="3">AH15/AI15</f>
        <v>0</v>
      </c>
    </row>
    <row r="16" spans="1:36" s="14" customFormat="1" ht="22.5" customHeight="1" x14ac:dyDescent="0.25">
      <c r="A16" s="193"/>
      <c r="B16" s="194" t="str">
        <f>IF(設備使用費!C22&lt;&gt;"",設備使用費!C22,"")</f>
        <v/>
      </c>
      <c r="C16" s="195"/>
      <c r="D16" s="195"/>
      <c r="E16" s="195"/>
      <c r="F16" s="195"/>
      <c r="G16" s="195"/>
      <c r="H16" s="195"/>
      <c r="I16" s="195"/>
      <c r="J16" s="195"/>
      <c r="K16" s="195"/>
      <c r="L16" s="195"/>
      <c r="M16" s="195"/>
      <c r="N16" s="195"/>
      <c r="O16" s="195"/>
      <c r="P16" s="195"/>
      <c r="Q16" s="195"/>
      <c r="R16" s="195"/>
      <c r="S16" s="195"/>
      <c r="T16" s="195"/>
      <c r="U16" s="195"/>
      <c r="V16" s="195"/>
      <c r="W16" s="195"/>
      <c r="X16" s="195"/>
      <c r="Y16" s="195"/>
      <c r="Z16" s="195"/>
      <c r="AA16" s="195"/>
      <c r="AB16" s="195"/>
      <c r="AC16" s="195"/>
      <c r="AD16" s="195"/>
      <c r="AE16" s="195"/>
      <c r="AF16" s="195"/>
      <c r="AG16" s="195"/>
      <c r="AH16" s="196">
        <f t="shared" si="2"/>
        <v>0</v>
      </c>
      <c r="AI16" s="195">
        <v>160</v>
      </c>
      <c r="AJ16" s="197">
        <f t="shared" si="3"/>
        <v>0</v>
      </c>
    </row>
    <row r="17" spans="1:36" s="14" customFormat="1" ht="22.5" customHeight="1" x14ac:dyDescent="0.25">
      <c r="A17" s="193"/>
      <c r="B17" s="194" t="str">
        <f>IF(設備使用費!C23&lt;&gt;"",設備使用費!C23,"")</f>
        <v/>
      </c>
      <c r="C17" s="195"/>
      <c r="D17" s="195"/>
      <c r="E17" s="195"/>
      <c r="F17" s="195"/>
      <c r="G17" s="195"/>
      <c r="H17" s="195"/>
      <c r="I17" s="195"/>
      <c r="J17" s="195"/>
      <c r="K17" s="195"/>
      <c r="L17" s="195"/>
      <c r="M17" s="195"/>
      <c r="N17" s="195"/>
      <c r="O17" s="195"/>
      <c r="P17" s="195"/>
      <c r="Q17" s="195"/>
      <c r="R17" s="195"/>
      <c r="S17" s="195"/>
      <c r="T17" s="195"/>
      <c r="U17" s="195"/>
      <c r="V17" s="195"/>
      <c r="W17" s="195"/>
      <c r="X17" s="195"/>
      <c r="Y17" s="195"/>
      <c r="Z17" s="195"/>
      <c r="AA17" s="195"/>
      <c r="AB17" s="195"/>
      <c r="AC17" s="195"/>
      <c r="AD17" s="195"/>
      <c r="AE17" s="195"/>
      <c r="AF17" s="195"/>
      <c r="AG17" s="195"/>
      <c r="AH17" s="196">
        <f t="shared" si="2"/>
        <v>0</v>
      </c>
      <c r="AI17" s="195">
        <v>160</v>
      </c>
      <c r="AJ17" s="197">
        <f t="shared" si="3"/>
        <v>0</v>
      </c>
    </row>
    <row r="18" spans="1:36" s="14" customFormat="1" ht="20.25" customHeight="1" x14ac:dyDescent="0.25">
      <c r="A18" s="193"/>
      <c r="B18" s="194" t="str">
        <f>IF(設備使用費!C24&lt;&gt;"",設備使用費!C24,"")</f>
        <v/>
      </c>
      <c r="C18" s="195"/>
      <c r="D18" s="195"/>
      <c r="E18" s="195"/>
      <c r="F18" s="195"/>
      <c r="G18" s="195"/>
      <c r="H18" s="195"/>
      <c r="I18" s="195"/>
      <c r="J18" s="195"/>
      <c r="K18" s="195"/>
      <c r="L18" s="195"/>
      <c r="M18" s="195"/>
      <c r="N18" s="195"/>
      <c r="O18" s="195"/>
      <c r="P18" s="195"/>
      <c r="Q18" s="195"/>
      <c r="R18" s="195"/>
      <c r="S18" s="195"/>
      <c r="T18" s="195"/>
      <c r="U18" s="195"/>
      <c r="V18" s="195"/>
      <c r="W18" s="195"/>
      <c r="X18" s="195"/>
      <c r="Y18" s="195"/>
      <c r="Z18" s="195"/>
      <c r="AA18" s="195"/>
      <c r="AB18" s="195"/>
      <c r="AC18" s="195"/>
      <c r="AD18" s="195"/>
      <c r="AE18" s="195"/>
      <c r="AF18" s="195"/>
      <c r="AG18" s="195"/>
      <c r="AH18" s="196">
        <f t="shared" ref="AH18" si="4">SUM(C18:AG18)</f>
        <v>0</v>
      </c>
      <c r="AI18" s="195">
        <v>160</v>
      </c>
      <c r="AJ18" s="197">
        <f t="shared" si="3"/>
        <v>0</v>
      </c>
    </row>
    <row r="19" spans="1:36" ht="20.25" customHeight="1" x14ac:dyDescent="0.3">
      <c r="B19" s="14"/>
      <c r="C19" s="14"/>
      <c r="D19" s="14"/>
      <c r="E19" s="14"/>
      <c r="F19" s="14"/>
      <c r="G19" s="14"/>
      <c r="H19" s="14"/>
      <c r="I19" s="14"/>
      <c r="J19" s="14"/>
      <c r="K19" s="14"/>
      <c r="L19" s="14"/>
      <c r="M19" s="14"/>
      <c r="N19" s="14"/>
      <c r="O19" s="14"/>
      <c r="P19" s="14"/>
      <c r="Q19" s="14"/>
      <c r="R19" s="14"/>
      <c r="S19" s="14"/>
      <c r="T19" s="14"/>
      <c r="U19" s="14"/>
      <c r="V19" s="14"/>
      <c r="W19" s="14"/>
      <c r="X19" s="14"/>
      <c r="Y19" s="14"/>
      <c r="Z19" s="14"/>
      <c r="AA19" s="14"/>
      <c r="AB19" s="14"/>
      <c r="AC19" s="14"/>
      <c r="AD19" s="14"/>
      <c r="AE19" s="14"/>
      <c r="AF19" s="14"/>
      <c r="AG19" s="14"/>
      <c r="AH19" s="14"/>
      <c r="AI19" s="14"/>
      <c r="AJ19" s="199"/>
    </row>
    <row r="20" spans="1:36" s="14" customFormat="1" ht="18" customHeight="1" x14ac:dyDescent="0.25">
      <c r="A20" s="14" t="s">
        <v>157</v>
      </c>
    </row>
    <row r="21" spans="1:36" s="14" customFormat="1" ht="18" customHeight="1" x14ac:dyDescent="0.25">
      <c r="A21" s="14" t="s">
        <v>158</v>
      </c>
    </row>
    <row r="22" spans="1:36" s="14" customFormat="1" ht="13.8" x14ac:dyDescent="0.25">
      <c r="A22" s="14" t="s">
        <v>159</v>
      </c>
    </row>
    <row r="23" spans="1:36" s="14" customFormat="1" ht="13.8" x14ac:dyDescent="0.25"/>
    <row r="24" spans="1:36" s="128" customFormat="1" ht="17.399999999999999" x14ac:dyDescent="0.3">
      <c r="A24" s="18"/>
      <c r="B24" s="18"/>
      <c r="C24" s="93" t="s">
        <v>32</v>
      </c>
      <c r="D24" s="18"/>
      <c r="E24" s="18"/>
      <c r="F24" s="18"/>
      <c r="G24" s="127"/>
      <c r="H24" s="18"/>
      <c r="I24" s="18"/>
      <c r="J24" s="18"/>
      <c r="K24" s="18"/>
      <c r="L24" s="18"/>
      <c r="M24" s="18"/>
      <c r="N24" s="18"/>
      <c r="O24" s="93" t="s">
        <v>33</v>
      </c>
      <c r="P24" s="18"/>
      <c r="Q24" s="18"/>
      <c r="R24" s="18"/>
      <c r="S24" s="18"/>
      <c r="T24" s="18"/>
      <c r="U24" s="18"/>
      <c r="V24" s="18"/>
      <c r="W24" s="18"/>
      <c r="X24" s="94" t="s">
        <v>34</v>
      </c>
      <c r="Y24" s="18"/>
      <c r="Z24" s="18"/>
      <c r="AA24" s="18"/>
      <c r="AB24" s="18"/>
      <c r="AC24" s="18"/>
      <c r="AD24" s="18"/>
      <c r="AE24" s="18"/>
      <c r="AF24" s="18"/>
      <c r="AG24" s="18"/>
      <c r="AH24" s="18"/>
      <c r="AI24" s="18"/>
      <c r="AJ24" s="18"/>
    </row>
    <row r="25" spans="1:36" ht="17.399999999999999" x14ac:dyDescent="0.3">
      <c r="B25" s="18"/>
      <c r="C25" s="18"/>
      <c r="D25" s="93"/>
      <c r="E25" s="18"/>
      <c r="F25" s="18"/>
      <c r="H25" s="127"/>
      <c r="I25" s="18"/>
      <c r="K25" s="18"/>
      <c r="L25" s="18"/>
      <c r="N25" s="93"/>
      <c r="Y25" s="94"/>
    </row>
  </sheetData>
  <sheetProtection algorithmName="SHA-512" hashValue="mQcf5P7yp2Zf5/Wusfj5Z0mj8ylSd6TInjoqoa8cjISchu0yOrd40VRUfmXTDJyqsre83dnz2zA1BsV6bTU1wQ==" saltValue="8xJYq+3oM7gbenE4iBdhfA==" spinCount="100000" sheet="1" formatCells="0" formatColumns="0" formatRows="0" insertRows="0"/>
  <mergeCells count="2">
    <mergeCell ref="A1:AJ1"/>
    <mergeCell ref="A2:AJ2"/>
  </mergeCells>
  <phoneticPr fontId="9" type="noConversion"/>
  <printOptions horizontalCentered="1" verticalCentered="1"/>
  <pageMargins left="0.19685039370078741" right="0.15748031496062992" top="0.39370078740157483" bottom="0.39370078740157483" header="0.27559055118110237" footer="0.15748031496062992"/>
  <pageSetup paperSize="9" scale="80" fitToWidth="0" fitToHeight="0" orientation="landscape" blackAndWhite="1" r:id="rId1"/>
  <headerFooter alignWithMargins="0"/>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工作表9"/>
  <dimension ref="A1:M27"/>
  <sheetViews>
    <sheetView view="pageBreakPreview" zoomScale="60" zoomScaleNormal="80" workbookViewId="0">
      <selection activeCell="H11" sqref="H11"/>
    </sheetView>
  </sheetViews>
  <sheetFormatPr defaultColWidth="11.19921875" defaultRowHeight="15.6" x14ac:dyDescent="0.3"/>
  <cols>
    <col min="1" max="1" width="2.5" style="104" customWidth="1"/>
    <col min="2" max="2" width="17.59765625" style="104" customWidth="1"/>
    <col min="3" max="3" width="15.5" style="104" customWidth="1"/>
    <col min="4" max="4" width="16.69921875" style="104" customWidth="1"/>
    <col min="5" max="5" width="15.69921875" style="104" customWidth="1"/>
    <col min="6" max="6" width="15" style="104" bestFit="1" customWidth="1"/>
    <col min="7" max="7" width="12.09765625" style="104" customWidth="1"/>
    <col min="8" max="8" width="13" style="104" customWidth="1"/>
    <col min="9" max="9" width="12.09765625" style="104" customWidth="1"/>
    <col min="10" max="10" width="14.5" style="104" customWidth="1"/>
    <col min="11" max="11" width="8.69921875" style="104" customWidth="1"/>
    <col min="12" max="12" width="8.19921875" style="104" customWidth="1"/>
    <col min="13" max="13" width="11.69921875" style="104" bestFit="1" customWidth="1"/>
    <col min="14" max="14" width="11.19921875" style="104" customWidth="1"/>
    <col min="15" max="16384" width="11.19921875" style="104"/>
  </cols>
  <sheetData>
    <row r="1" spans="1:13" ht="26.25" customHeight="1" x14ac:dyDescent="0.4">
      <c r="A1" s="351" t="str">
        <f>計畫經費彙總表!A1</f>
        <v>××股份有限公司</v>
      </c>
      <c r="B1" s="351"/>
      <c r="C1" s="351"/>
      <c r="D1" s="351"/>
      <c r="E1" s="351"/>
      <c r="F1" s="351"/>
      <c r="G1" s="351"/>
      <c r="H1" s="351"/>
      <c r="I1" s="351"/>
      <c r="J1" s="351"/>
      <c r="K1" s="351"/>
      <c r="L1" s="351"/>
      <c r="M1" s="351"/>
    </row>
    <row r="2" spans="1:13" ht="30" customHeight="1" x14ac:dyDescent="0.4">
      <c r="A2" s="339" t="s">
        <v>160</v>
      </c>
      <c r="B2" s="339"/>
      <c r="C2" s="339"/>
      <c r="D2" s="339"/>
      <c r="E2" s="339"/>
      <c r="F2" s="339"/>
      <c r="G2" s="339"/>
      <c r="H2" s="339"/>
      <c r="I2" s="339"/>
      <c r="J2" s="339"/>
      <c r="K2" s="339"/>
      <c r="L2" s="339"/>
      <c r="M2" s="339"/>
    </row>
    <row r="3" spans="1:13" ht="16.8" thickBot="1" x14ac:dyDescent="0.35">
      <c r="A3" s="5"/>
      <c r="B3" s="5"/>
      <c r="C3" s="5"/>
      <c r="D3" s="5"/>
      <c r="E3" s="5"/>
      <c r="F3" s="5"/>
      <c r="G3" s="5"/>
      <c r="H3" s="5"/>
      <c r="I3" s="5"/>
      <c r="J3" s="5"/>
      <c r="K3" s="5"/>
      <c r="L3" s="5"/>
      <c r="M3" s="6" t="s">
        <v>36</v>
      </c>
    </row>
    <row r="4" spans="1:13" s="117" customFormat="1" ht="38.25" customHeight="1" thickBot="1" x14ac:dyDescent="0.35">
      <c r="A4" s="362" t="s">
        <v>115</v>
      </c>
      <c r="B4" s="362"/>
      <c r="C4" s="11" t="s">
        <v>116</v>
      </c>
      <c r="D4" s="12" t="s">
        <v>117</v>
      </c>
      <c r="E4" s="12" t="s">
        <v>161</v>
      </c>
      <c r="F4" s="11" t="s">
        <v>37</v>
      </c>
      <c r="G4" s="11" t="s">
        <v>88</v>
      </c>
      <c r="H4" s="11" t="s">
        <v>162</v>
      </c>
      <c r="I4" s="11" t="s">
        <v>163</v>
      </c>
      <c r="J4" s="11" t="s">
        <v>164</v>
      </c>
      <c r="K4" s="11" t="s">
        <v>94</v>
      </c>
      <c r="L4" s="11" t="s">
        <v>165</v>
      </c>
      <c r="M4" s="7" t="s">
        <v>166</v>
      </c>
    </row>
    <row r="5" spans="1:13" s="15" customFormat="1" ht="18" customHeight="1" x14ac:dyDescent="0.3">
      <c r="A5" s="208"/>
      <c r="B5" s="209"/>
      <c r="C5" s="210"/>
      <c r="D5" s="210"/>
      <c r="E5" s="210"/>
      <c r="F5" s="210"/>
      <c r="G5" s="210"/>
      <c r="H5" s="210"/>
      <c r="I5" s="210"/>
      <c r="J5" s="210"/>
      <c r="K5" s="210"/>
      <c r="L5" s="210"/>
      <c r="M5" s="211"/>
    </row>
    <row r="6" spans="1:13" s="15" customFormat="1" ht="18" customHeight="1" x14ac:dyDescent="0.3">
      <c r="A6" s="212"/>
      <c r="B6" s="278" t="s">
        <v>126</v>
      </c>
      <c r="C6" s="279" t="str">
        <f>設備使用記錄表!B6</f>
        <v>成型機</v>
      </c>
      <c r="D6" s="279" t="str">
        <f>設備使用記錄表!B6</f>
        <v>成型機</v>
      </c>
      <c r="E6" s="280">
        <v>800000</v>
      </c>
      <c r="F6" s="281" t="s">
        <v>167</v>
      </c>
      <c r="G6" s="279">
        <v>11205003</v>
      </c>
      <c r="H6" s="279" t="s">
        <v>168</v>
      </c>
      <c r="I6" s="279" t="s">
        <v>169</v>
      </c>
      <c r="J6" s="279" t="s">
        <v>170</v>
      </c>
      <c r="K6" s="279">
        <v>1</v>
      </c>
      <c r="L6" s="282" t="s">
        <v>171</v>
      </c>
      <c r="M6" s="283">
        <v>500</v>
      </c>
    </row>
    <row r="7" spans="1:13" s="15" customFormat="1" ht="16.5" customHeight="1" x14ac:dyDescent="0.3">
      <c r="A7" s="212"/>
      <c r="B7" s="278" t="s">
        <v>129</v>
      </c>
      <c r="C7" s="279" t="str">
        <f>設備使用記錄表!B7</f>
        <v>磨石機</v>
      </c>
      <c r="D7" s="279" t="str">
        <f>設備使用記錄表!B7</f>
        <v>磨石機</v>
      </c>
      <c r="E7" s="280">
        <v>500000</v>
      </c>
      <c r="F7" s="281" t="s">
        <v>172</v>
      </c>
      <c r="G7" s="279">
        <v>11205009</v>
      </c>
      <c r="H7" s="279" t="s">
        <v>173</v>
      </c>
      <c r="I7" s="279" t="s">
        <v>174</v>
      </c>
      <c r="J7" s="279" t="s">
        <v>175</v>
      </c>
      <c r="K7" s="279">
        <v>1</v>
      </c>
      <c r="L7" s="282" t="s">
        <v>171</v>
      </c>
      <c r="M7" s="283">
        <v>2500</v>
      </c>
    </row>
    <row r="8" spans="1:13" s="15" customFormat="1" ht="18" customHeight="1" x14ac:dyDescent="0.3">
      <c r="A8" s="212"/>
      <c r="B8" s="284"/>
      <c r="C8" s="279"/>
      <c r="D8" s="279"/>
      <c r="E8" s="280"/>
      <c r="F8" s="279"/>
      <c r="G8" s="279"/>
      <c r="H8" s="279"/>
      <c r="I8" s="279"/>
      <c r="J8" s="279"/>
      <c r="K8" s="279"/>
      <c r="L8" s="279"/>
      <c r="M8" s="283"/>
    </row>
    <row r="9" spans="1:13" s="15" customFormat="1" ht="16.5" customHeight="1" x14ac:dyDescent="0.3">
      <c r="A9" s="213"/>
      <c r="B9" s="285"/>
      <c r="C9" s="279"/>
      <c r="D9" s="279"/>
      <c r="E9" s="280"/>
      <c r="F9" s="279"/>
      <c r="G9" s="279"/>
      <c r="H9" s="279"/>
      <c r="I9" s="279"/>
      <c r="J9" s="279"/>
      <c r="K9" s="279"/>
      <c r="L9" s="279"/>
      <c r="M9" s="283"/>
    </row>
    <row r="10" spans="1:13" s="15" customFormat="1" ht="16.5" customHeight="1" x14ac:dyDescent="0.3">
      <c r="A10" s="212"/>
      <c r="B10" s="278"/>
      <c r="C10" s="279"/>
      <c r="D10" s="279"/>
      <c r="E10" s="280"/>
      <c r="F10" s="279"/>
      <c r="G10" s="279"/>
      <c r="H10" s="279"/>
      <c r="I10" s="279"/>
      <c r="J10" s="279"/>
      <c r="K10" s="279"/>
      <c r="L10" s="279"/>
      <c r="M10" s="283"/>
    </row>
    <row r="11" spans="1:13" s="15" customFormat="1" ht="17.25" customHeight="1" x14ac:dyDescent="0.3">
      <c r="A11" s="212"/>
      <c r="B11" s="278"/>
      <c r="C11" s="279"/>
      <c r="D11" s="279"/>
      <c r="E11" s="280"/>
      <c r="F11" s="279"/>
      <c r="G11" s="279"/>
      <c r="H11" s="279"/>
      <c r="I11" s="279"/>
      <c r="J11" s="279"/>
      <c r="K11" s="279"/>
      <c r="L11" s="279"/>
      <c r="M11" s="283"/>
    </row>
    <row r="12" spans="1:13" s="15" customFormat="1" ht="15.75" customHeight="1" x14ac:dyDescent="0.3">
      <c r="A12" s="212"/>
      <c r="B12" s="284"/>
      <c r="C12" s="279"/>
      <c r="D12" s="279"/>
      <c r="E12" s="280"/>
      <c r="F12" s="279"/>
      <c r="G12" s="279"/>
      <c r="H12" s="279"/>
      <c r="I12" s="279"/>
      <c r="J12" s="279"/>
      <c r="K12" s="279"/>
      <c r="L12" s="279"/>
      <c r="M12" s="283"/>
    </row>
    <row r="13" spans="1:13" s="15" customFormat="1" ht="19.5" customHeight="1" x14ac:dyDescent="0.3">
      <c r="A13" s="213"/>
      <c r="B13" s="285"/>
      <c r="C13" s="279"/>
      <c r="D13" s="279"/>
      <c r="E13" s="280"/>
      <c r="F13" s="279"/>
      <c r="G13" s="279"/>
      <c r="H13" s="279"/>
      <c r="I13" s="279"/>
      <c r="J13" s="279"/>
      <c r="K13" s="279"/>
      <c r="L13" s="279"/>
      <c r="M13" s="283"/>
    </row>
    <row r="14" spans="1:13" s="15" customFormat="1" ht="16.5" customHeight="1" x14ac:dyDescent="0.3">
      <c r="A14" s="212"/>
      <c r="B14" s="278"/>
      <c r="C14" s="279"/>
      <c r="D14" s="279"/>
      <c r="E14" s="280"/>
      <c r="F14" s="279"/>
      <c r="G14" s="279"/>
      <c r="H14" s="279"/>
      <c r="I14" s="279"/>
      <c r="J14" s="279"/>
      <c r="K14" s="279"/>
      <c r="L14" s="279"/>
      <c r="M14" s="283"/>
    </row>
    <row r="15" spans="1:13" s="15" customFormat="1" ht="17.25" customHeight="1" thickBot="1" x14ac:dyDescent="0.35">
      <c r="A15" s="214"/>
      <c r="B15" s="286"/>
      <c r="C15" s="287"/>
      <c r="D15" s="287"/>
      <c r="E15" s="288"/>
      <c r="F15" s="287"/>
      <c r="G15" s="287"/>
      <c r="H15" s="287"/>
      <c r="I15" s="287"/>
      <c r="J15" s="287"/>
      <c r="K15" s="287"/>
      <c r="L15" s="287"/>
      <c r="M15" s="289"/>
    </row>
    <row r="16" spans="1:13" s="15" customFormat="1" ht="22.5" customHeight="1" thickBot="1" x14ac:dyDescent="0.35">
      <c r="A16" s="322" t="s">
        <v>176</v>
      </c>
      <c r="B16" s="215"/>
      <c r="C16" s="216"/>
      <c r="D16" s="216"/>
      <c r="E16" s="217"/>
      <c r="F16" s="145"/>
      <c r="G16" s="145"/>
      <c r="H16" s="145"/>
      <c r="I16" s="145"/>
      <c r="J16" s="145"/>
      <c r="K16" s="145"/>
      <c r="L16" s="145"/>
      <c r="M16" s="218">
        <f>ROUND(SUM(M5:M15),0)</f>
        <v>3000</v>
      </c>
    </row>
    <row r="17" spans="1:13" ht="22.5" customHeight="1" x14ac:dyDescent="0.3">
      <c r="A17" s="150"/>
      <c r="B17" s="219"/>
      <c r="C17" s="219"/>
      <c r="D17" s="219"/>
      <c r="E17" s="152"/>
      <c r="M17" s="152"/>
    </row>
    <row r="18" spans="1:13" s="14" customFormat="1" ht="13.8" x14ac:dyDescent="0.25">
      <c r="A18" s="14" t="s">
        <v>177</v>
      </c>
    </row>
    <row r="19" spans="1:13" s="14" customFormat="1" ht="13.8" x14ac:dyDescent="0.25">
      <c r="A19" s="14" t="s">
        <v>178</v>
      </c>
      <c r="G19" s="153"/>
    </row>
    <row r="20" spans="1:13" s="14" customFormat="1" ht="13.8" x14ac:dyDescent="0.25">
      <c r="A20" s="14" t="s">
        <v>179</v>
      </c>
    </row>
    <row r="21" spans="1:13" s="14" customFormat="1" ht="13.8" x14ac:dyDescent="0.25">
      <c r="A21" s="352" t="s">
        <v>180</v>
      </c>
      <c r="B21" s="352"/>
      <c r="C21" s="352"/>
      <c r="D21" s="352"/>
      <c r="E21" s="352"/>
      <c r="F21" s="352"/>
      <c r="G21" s="352"/>
      <c r="H21" s="352"/>
      <c r="I21" s="352"/>
      <c r="J21" s="352"/>
      <c r="K21" s="352"/>
      <c r="L21" s="352"/>
      <c r="M21" s="352"/>
    </row>
    <row r="22" spans="1:13" s="14" customFormat="1" ht="13.8" x14ac:dyDescent="0.25">
      <c r="A22" s="352" t="s">
        <v>181</v>
      </c>
      <c r="B22" s="352"/>
      <c r="C22" s="352"/>
      <c r="D22" s="352"/>
      <c r="E22" s="352"/>
      <c r="F22" s="352"/>
      <c r="G22" s="352"/>
      <c r="H22" s="352"/>
      <c r="I22" s="352"/>
      <c r="J22" s="352"/>
      <c r="K22" s="352"/>
      <c r="L22" s="352"/>
      <c r="M22" s="352"/>
    </row>
    <row r="23" spans="1:13" s="14" customFormat="1" x14ac:dyDescent="0.3">
      <c r="A23" s="361"/>
      <c r="B23" s="361"/>
      <c r="C23" s="361"/>
      <c r="D23" s="361"/>
      <c r="E23" s="361"/>
      <c r="F23" s="361"/>
      <c r="G23" s="361"/>
      <c r="H23" s="361"/>
      <c r="I23" s="361"/>
      <c r="J23" s="361"/>
      <c r="K23" s="361"/>
      <c r="L23" s="361"/>
      <c r="M23" s="361"/>
    </row>
    <row r="24" spans="1:13" s="18" customFormat="1" ht="17.399999999999999" x14ac:dyDescent="0.3">
      <c r="A24" s="127"/>
      <c r="B24" s="93" t="s">
        <v>32</v>
      </c>
      <c r="F24" s="93" t="s">
        <v>33</v>
      </c>
      <c r="I24" s="127"/>
      <c r="K24" s="94" t="s">
        <v>34</v>
      </c>
    </row>
    <row r="25" spans="1:13" x14ac:dyDescent="0.3">
      <c r="A25" s="361"/>
      <c r="B25" s="361"/>
      <c r="C25" s="361"/>
      <c r="D25" s="361"/>
      <c r="E25" s="361"/>
      <c r="F25" s="361"/>
      <c r="G25" s="361"/>
      <c r="H25" s="361"/>
      <c r="I25" s="361"/>
      <c r="J25" s="361"/>
      <c r="K25" s="361"/>
      <c r="L25" s="361"/>
      <c r="M25" s="361"/>
    </row>
    <row r="26" spans="1:13" x14ac:dyDescent="0.3">
      <c r="A26" s="361"/>
      <c r="B26" s="361"/>
      <c r="C26" s="361"/>
      <c r="D26" s="361"/>
      <c r="E26" s="361"/>
      <c r="F26" s="361"/>
      <c r="G26" s="361"/>
      <c r="H26" s="361"/>
      <c r="I26" s="361"/>
      <c r="J26" s="361"/>
      <c r="K26" s="361"/>
      <c r="L26" s="361"/>
      <c r="M26" s="361"/>
    </row>
    <row r="27" spans="1:13" x14ac:dyDescent="0.3">
      <c r="A27" s="108"/>
    </row>
  </sheetData>
  <sheetProtection algorithmName="SHA-512" hashValue="mc9Xi9CPYoU76VM8GRPbMiBRlORHEAFLTiHJTIqvsKRJ3WaF/DRtOTple+fNiL0AZU/yLBqfN7LaFNd9Ke1p1w==" saltValue="BWKqQyo7qrOWgkgNaPooZA==" spinCount="100000" sheet="1" formatCells="0" formatColumns="0" formatRows="0" insertRows="0"/>
  <mergeCells count="8">
    <mergeCell ref="A25:M25"/>
    <mergeCell ref="A26:M26"/>
    <mergeCell ref="A1:M1"/>
    <mergeCell ref="A2:M2"/>
    <mergeCell ref="A4:B4"/>
    <mergeCell ref="A21:M21"/>
    <mergeCell ref="A22:M22"/>
    <mergeCell ref="A23:M23"/>
  </mergeCells>
  <phoneticPr fontId="9" type="noConversion"/>
  <printOptions horizontalCentered="1" verticalCentered="1"/>
  <pageMargins left="0.19685039370078741" right="0.15748031496062992" top="0.39370078740157483" bottom="0.39370078740157483" header="0.27559055118110237" footer="0.15748031496062992"/>
  <pageSetup paperSize="9" scale="82" fitToWidth="0" fitToHeight="0" orientation="landscape" blackAndWhite="1" r:id="rId1"/>
  <headerFooter alignWithMargins="0"/>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工作表10"/>
  <dimension ref="A1:F21"/>
  <sheetViews>
    <sheetView view="pageBreakPreview" zoomScale="60" zoomScaleNormal="80" workbookViewId="0">
      <selection activeCell="A2" sqref="A2:F2"/>
    </sheetView>
  </sheetViews>
  <sheetFormatPr defaultColWidth="11.19921875" defaultRowHeight="16.2" x14ac:dyDescent="0.3"/>
  <cols>
    <col min="1" max="1" width="18.69921875" style="15" customWidth="1"/>
    <col min="2" max="5" width="20" style="15" customWidth="1"/>
    <col min="6" max="6" width="18" style="15" customWidth="1"/>
    <col min="7" max="7" width="21.09765625" style="15" customWidth="1"/>
    <col min="8" max="10" width="11.19921875" style="15" customWidth="1"/>
    <col min="11" max="11" width="11.09765625" style="15" customWidth="1"/>
    <col min="12" max="12" width="11.19921875" style="15" customWidth="1"/>
    <col min="13" max="16384" width="11.19921875" style="15"/>
  </cols>
  <sheetData>
    <row r="1" spans="1:6" ht="25.5" customHeight="1" x14ac:dyDescent="0.4">
      <c r="A1" s="349" t="str">
        <f>計畫經費彙總表!A1</f>
        <v>××股份有限公司</v>
      </c>
      <c r="B1" s="349"/>
      <c r="C1" s="349"/>
      <c r="D1" s="349"/>
      <c r="E1" s="349"/>
      <c r="F1" s="349"/>
    </row>
    <row r="2" spans="1:6" ht="30" customHeight="1" x14ac:dyDescent="0.4">
      <c r="A2" s="339" t="s">
        <v>182</v>
      </c>
      <c r="B2" s="339"/>
      <c r="C2" s="339"/>
      <c r="D2" s="339"/>
      <c r="E2" s="339"/>
      <c r="F2" s="339"/>
    </row>
    <row r="3" spans="1:6" ht="14.25" customHeight="1" x14ac:dyDescent="0.4">
      <c r="A3" s="326"/>
      <c r="B3" s="301"/>
      <c r="C3" s="301"/>
      <c r="D3" s="301"/>
      <c r="E3" s="301"/>
      <c r="F3" s="301"/>
    </row>
    <row r="4" spans="1:6" ht="18.75" customHeight="1" x14ac:dyDescent="0.3">
      <c r="A4" s="295" t="s">
        <v>183</v>
      </c>
      <c r="B4" s="296"/>
      <c r="C4" s="296"/>
      <c r="D4" s="296"/>
      <c r="E4" s="297" t="s">
        <v>184</v>
      </c>
      <c r="F4" s="296"/>
    </row>
    <row r="5" spans="1:6" ht="19.5" customHeight="1" x14ac:dyDescent="0.3">
      <c r="A5" s="295" t="s">
        <v>185</v>
      </c>
      <c r="B5" s="297"/>
      <c r="C5" s="298"/>
      <c r="D5" s="296"/>
      <c r="E5" s="295" t="s">
        <v>186</v>
      </c>
      <c r="F5" s="296"/>
    </row>
    <row r="6" spans="1:6" ht="20.25" customHeight="1" thickBot="1" x14ac:dyDescent="0.35">
      <c r="A6" s="295" t="s">
        <v>187</v>
      </c>
      <c r="B6" s="296"/>
      <c r="C6" s="298"/>
      <c r="D6" s="296"/>
      <c r="E6" s="299"/>
      <c r="F6" s="300" t="s">
        <v>36</v>
      </c>
    </row>
    <row r="7" spans="1:6" s="222" customFormat="1" ht="21" customHeight="1" thickBot="1" x14ac:dyDescent="0.35">
      <c r="A7" s="224" t="s">
        <v>188</v>
      </c>
      <c r="B7" s="12" t="s">
        <v>37</v>
      </c>
      <c r="C7" s="12" t="s">
        <v>88</v>
      </c>
      <c r="D7" s="12" t="s">
        <v>162</v>
      </c>
      <c r="E7" s="12" t="s">
        <v>163</v>
      </c>
      <c r="F7" s="13" t="s">
        <v>166</v>
      </c>
    </row>
    <row r="8" spans="1:6" ht="21" customHeight="1" x14ac:dyDescent="0.3">
      <c r="A8" s="269" t="s">
        <v>189</v>
      </c>
      <c r="B8" s="263"/>
      <c r="C8" s="268"/>
      <c r="D8" s="263"/>
      <c r="E8" s="268" t="s">
        <v>190</v>
      </c>
      <c r="F8" s="290">
        <v>150000</v>
      </c>
    </row>
    <row r="9" spans="1:6" ht="21" customHeight="1" x14ac:dyDescent="0.3">
      <c r="A9" s="269" t="s">
        <v>191</v>
      </c>
      <c r="B9" s="263"/>
      <c r="C9" s="268"/>
      <c r="D9" s="263"/>
      <c r="E9" s="268" t="s">
        <v>192</v>
      </c>
      <c r="F9" s="290">
        <v>150000</v>
      </c>
    </row>
    <row r="10" spans="1:6" ht="21" customHeight="1" x14ac:dyDescent="0.3">
      <c r="A10" s="269"/>
      <c r="B10" s="268"/>
      <c r="C10" s="268"/>
      <c r="D10" s="268"/>
      <c r="E10" s="268"/>
      <c r="F10" s="290"/>
    </row>
    <row r="11" spans="1:6" ht="21" customHeight="1" x14ac:dyDescent="0.3">
      <c r="A11" s="291"/>
      <c r="B11" s="268"/>
      <c r="C11" s="268"/>
      <c r="D11" s="268"/>
      <c r="E11" s="268"/>
      <c r="F11" s="290"/>
    </row>
    <row r="12" spans="1:6" ht="21" customHeight="1" x14ac:dyDescent="0.3">
      <c r="A12" s="291"/>
      <c r="B12" s="268"/>
      <c r="C12" s="268"/>
      <c r="D12" s="268"/>
      <c r="E12" s="268"/>
      <c r="F12" s="290"/>
    </row>
    <row r="13" spans="1:6" ht="21" customHeight="1" x14ac:dyDescent="0.3">
      <c r="A13" s="292"/>
      <c r="B13" s="268"/>
      <c r="C13" s="268"/>
      <c r="D13" s="268"/>
      <c r="E13" s="268"/>
      <c r="F13" s="290"/>
    </row>
    <row r="14" spans="1:6" ht="21" customHeight="1" thickBot="1" x14ac:dyDescent="0.35">
      <c r="A14" s="293"/>
      <c r="B14" s="275"/>
      <c r="C14" s="275"/>
      <c r="D14" s="275"/>
      <c r="E14" s="275"/>
      <c r="F14" s="294"/>
    </row>
    <row r="15" spans="1:6" ht="21" customHeight="1" thickBot="1" x14ac:dyDescent="0.35">
      <c r="A15" s="324" t="s">
        <v>193</v>
      </c>
      <c r="B15" s="148"/>
      <c r="C15" s="148"/>
      <c r="D15" s="148"/>
      <c r="E15" s="148"/>
      <c r="F15" s="218">
        <f>ROUND(SUM(F8:F14),0)</f>
        <v>300000</v>
      </c>
    </row>
    <row r="16" spans="1:6" ht="14.25" customHeight="1" x14ac:dyDescent="0.3">
      <c r="A16" s="221"/>
      <c r="B16" s="151"/>
      <c r="C16" s="151"/>
      <c r="D16" s="151"/>
      <c r="E16" s="151"/>
      <c r="F16" s="223"/>
    </row>
    <row r="17" spans="1:6" x14ac:dyDescent="0.3">
      <c r="A17" s="14" t="s">
        <v>194</v>
      </c>
    </row>
    <row r="18" spans="1:6" x14ac:dyDescent="0.3">
      <c r="A18" s="14" t="s">
        <v>195</v>
      </c>
    </row>
    <row r="19" spans="1:6" x14ac:dyDescent="0.3">
      <c r="A19" s="363" t="s">
        <v>196</v>
      </c>
      <c r="B19" s="363"/>
      <c r="C19" s="363"/>
      <c r="D19" s="363"/>
      <c r="E19" s="363"/>
      <c r="F19" s="363"/>
    </row>
    <row r="21" spans="1:6" s="18" customFormat="1" ht="17.399999999999999" x14ac:dyDescent="0.3">
      <c r="A21" s="93" t="s">
        <v>32</v>
      </c>
      <c r="D21" s="93" t="s">
        <v>33</v>
      </c>
      <c r="E21" s="127"/>
      <c r="F21" s="94" t="s">
        <v>34</v>
      </c>
    </row>
  </sheetData>
  <sheetProtection algorithmName="SHA-512" hashValue="MNKUGz3qs9AKKpHs/PaRiG3ScL5Fp+kuAmThqKdN3vfd5NM4GZUe97dQqBakBguegEzummwTkQIt493HnWht7w==" saltValue="/OD5WUIfE7/vzJrgWamFAg==" spinCount="100000" sheet="1" formatCells="0" formatColumns="0" formatRows="0" insertRows="0"/>
  <mergeCells count="3">
    <mergeCell ref="A1:F1"/>
    <mergeCell ref="A2:F2"/>
    <mergeCell ref="A19:F19"/>
  </mergeCells>
  <phoneticPr fontId="9" type="noConversion"/>
  <printOptions horizontalCentered="1" verticalCentered="1"/>
  <pageMargins left="0.19685039370078741" right="0.15748031496062992" top="0.39370078740157483" bottom="0.39370078740157483" header="0.27559055118110237" footer="0.15748031496062992"/>
  <pageSetup paperSize="9" fitToWidth="0" fitToHeight="0" orientation="landscape" blackAndWhite="1" r:id="rId1"/>
  <headerFooter alignWithMargins="0"/>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工作表11"/>
  <dimension ref="A1:J21"/>
  <sheetViews>
    <sheetView view="pageBreakPreview" zoomScale="60" zoomScaleNormal="80" workbookViewId="0">
      <selection activeCell="A2" sqref="A2:F2"/>
    </sheetView>
  </sheetViews>
  <sheetFormatPr defaultColWidth="11.19921875" defaultRowHeight="16.2" x14ac:dyDescent="0.3"/>
  <cols>
    <col min="1" max="1" width="18.69921875" style="15" customWidth="1"/>
    <col min="2" max="5" width="20" style="15" customWidth="1"/>
    <col min="6" max="6" width="18" style="15" customWidth="1"/>
    <col min="7" max="7" width="21.09765625" style="15" customWidth="1"/>
    <col min="8" max="10" width="11.19921875" style="15" customWidth="1"/>
    <col min="11" max="11" width="11.09765625" style="15" customWidth="1"/>
    <col min="12" max="12" width="11.19921875" style="15" customWidth="1"/>
    <col min="13" max="16384" width="11.19921875" style="15"/>
  </cols>
  <sheetData>
    <row r="1" spans="1:6" ht="25.5" customHeight="1" x14ac:dyDescent="0.4">
      <c r="A1" s="349" t="str">
        <f>計畫經費彙總表!A1</f>
        <v>××股份有限公司</v>
      </c>
      <c r="B1" s="349"/>
      <c r="C1" s="349"/>
      <c r="D1" s="349"/>
      <c r="E1" s="349"/>
      <c r="F1" s="349"/>
    </row>
    <row r="2" spans="1:6" ht="30" customHeight="1" x14ac:dyDescent="0.4">
      <c r="A2" s="339" t="s">
        <v>197</v>
      </c>
      <c r="B2" s="339"/>
      <c r="C2" s="339"/>
      <c r="D2" s="339"/>
      <c r="E2" s="339"/>
      <c r="F2" s="339"/>
    </row>
    <row r="3" spans="1:6" ht="30" customHeight="1" x14ac:dyDescent="0.4">
      <c r="A3" s="326"/>
      <c r="B3" s="301"/>
      <c r="C3" s="301"/>
      <c r="D3" s="301"/>
      <c r="E3" s="301"/>
      <c r="F3" s="301"/>
    </row>
    <row r="4" spans="1:6" ht="18.75" customHeight="1" x14ac:dyDescent="0.3">
      <c r="A4" s="295" t="s">
        <v>183</v>
      </c>
      <c r="B4" s="296"/>
      <c r="C4" s="296"/>
      <c r="D4" s="296"/>
      <c r="E4" s="297" t="s">
        <v>184</v>
      </c>
      <c r="F4" s="296"/>
    </row>
    <row r="5" spans="1:6" ht="19.5" customHeight="1" x14ac:dyDescent="0.3">
      <c r="A5" s="295" t="s">
        <v>185</v>
      </c>
      <c r="B5" s="297"/>
      <c r="C5" s="298"/>
      <c r="D5" s="296"/>
      <c r="E5" s="295" t="s">
        <v>186</v>
      </c>
      <c r="F5" s="296"/>
    </row>
    <row r="6" spans="1:6" ht="20.25" customHeight="1" thickBot="1" x14ac:dyDescent="0.35">
      <c r="A6" s="295" t="s">
        <v>198</v>
      </c>
      <c r="B6" s="296"/>
      <c r="C6" s="298"/>
      <c r="D6" s="296"/>
      <c r="E6" s="299"/>
      <c r="F6" s="300" t="s">
        <v>36</v>
      </c>
    </row>
    <row r="7" spans="1:6" s="222" customFormat="1" ht="21" customHeight="1" thickBot="1" x14ac:dyDescent="0.35">
      <c r="A7" s="224" t="s">
        <v>188</v>
      </c>
      <c r="B7" s="12" t="s">
        <v>37</v>
      </c>
      <c r="C7" s="12" t="s">
        <v>88</v>
      </c>
      <c r="D7" s="12" t="s">
        <v>162</v>
      </c>
      <c r="E7" s="12" t="s">
        <v>163</v>
      </c>
      <c r="F7" s="13" t="s">
        <v>166</v>
      </c>
    </row>
    <row r="8" spans="1:6" ht="21" customHeight="1" x14ac:dyDescent="0.3">
      <c r="A8" s="269" t="s">
        <v>189</v>
      </c>
      <c r="B8" s="263"/>
      <c r="C8" s="268"/>
      <c r="D8" s="263"/>
      <c r="E8" s="268" t="s">
        <v>190</v>
      </c>
      <c r="F8" s="290">
        <v>200000</v>
      </c>
    </row>
    <row r="9" spans="1:6" ht="21" customHeight="1" x14ac:dyDescent="0.3">
      <c r="A9" s="269" t="s">
        <v>191</v>
      </c>
      <c r="B9" s="263"/>
      <c r="C9" s="268"/>
      <c r="D9" s="263"/>
      <c r="E9" s="268" t="s">
        <v>192</v>
      </c>
      <c r="F9" s="290">
        <v>150000</v>
      </c>
    </row>
    <row r="10" spans="1:6" ht="21" customHeight="1" x14ac:dyDescent="0.3">
      <c r="A10" s="269"/>
      <c r="B10" s="268"/>
      <c r="C10" s="268"/>
      <c r="D10" s="268"/>
      <c r="E10" s="268"/>
      <c r="F10" s="290"/>
    </row>
    <row r="11" spans="1:6" ht="21" customHeight="1" x14ac:dyDescent="0.3">
      <c r="A11" s="291"/>
      <c r="B11" s="268"/>
      <c r="C11" s="268"/>
      <c r="D11" s="268"/>
      <c r="E11" s="268"/>
      <c r="F11" s="290"/>
    </row>
    <row r="12" spans="1:6" ht="21" customHeight="1" x14ac:dyDescent="0.3">
      <c r="A12" s="291"/>
      <c r="B12" s="268"/>
      <c r="C12" s="268"/>
      <c r="D12" s="268"/>
      <c r="E12" s="268"/>
      <c r="F12" s="290"/>
    </row>
    <row r="13" spans="1:6" ht="21" customHeight="1" x14ac:dyDescent="0.3">
      <c r="A13" s="292"/>
      <c r="B13" s="268"/>
      <c r="C13" s="268"/>
      <c r="D13" s="268"/>
      <c r="E13" s="268"/>
      <c r="F13" s="290"/>
    </row>
    <row r="14" spans="1:6" ht="21" customHeight="1" thickBot="1" x14ac:dyDescent="0.35">
      <c r="A14" s="293"/>
      <c r="B14" s="275"/>
      <c r="C14" s="275"/>
      <c r="D14" s="275"/>
      <c r="E14" s="275"/>
      <c r="F14" s="294"/>
    </row>
    <row r="15" spans="1:6" ht="21" customHeight="1" thickBot="1" x14ac:dyDescent="0.35">
      <c r="A15" s="324" t="s">
        <v>193</v>
      </c>
      <c r="B15" s="148"/>
      <c r="C15" s="148"/>
      <c r="D15" s="148"/>
      <c r="E15" s="148"/>
      <c r="F15" s="218">
        <f>ROUND(SUM(F8:F14),0)</f>
        <v>350000</v>
      </c>
    </row>
    <row r="16" spans="1:6" ht="12" customHeight="1" x14ac:dyDescent="0.3">
      <c r="A16" s="221"/>
      <c r="B16" s="151"/>
      <c r="C16" s="151"/>
      <c r="D16" s="151"/>
      <c r="E16" s="151"/>
      <c r="F16" s="223"/>
    </row>
    <row r="17" spans="1:10" x14ac:dyDescent="0.3">
      <c r="A17" s="14" t="s">
        <v>194</v>
      </c>
    </row>
    <row r="18" spans="1:10" x14ac:dyDescent="0.3">
      <c r="A18" s="14" t="s">
        <v>199</v>
      </c>
    </row>
    <row r="19" spans="1:10" x14ac:dyDescent="0.3">
      <c r="A19" s="363" t="s">
        <v>200</v>
      </c>
      <c r="B19" s="363"/>
      <c r="C19" s="363"/>
      <c r="D19" s="363"/>
      <c r="E19" s="363"/>
      <c r="F19" s="363"/>
    </row>
    <row r="21" spans="1:10" s="18" customFormat="1" ht="17.399999999999999" x14ac:dyDescent="0.3">
      <c r="A21" s="93" t="s">
        <v>32</v>
      </c>
      <c r="D21" s="93" t="s">
        <v>33</v>
      </c>
      <c r="E21" s="127"/>
      <c r="F21" s="94" t="s">
        <v>34</v>
      </c>
      <c r="G21" s="93"/>
      <c r="H21" s="127"/>
      <c r="J21" s="94"/>
    </row>
  </sheetData>
  <sheetProtection algorithmName="SHA-512" hashValue="XSazTHFm2fwk+px0wKptqmtSeoX2UvRcVYeplS/g42Sudv0rL7LlFmoVkBjFuEJLfZt1aquFh/CZk9e3VTnVQw==" saltValue="PfGDXB7QGzH3mqEGEsUiQQ==" spinCount="100000" sheet="1" formatCells="0" formatColumns="0" formatRows="0" insertRows="0"/>
  <mergeCells count="3">
    <mergeCell ref="A1:F1"/>
    <mergeCell ref="A2:F2"/>
    <mergeCell ref="A19:F19"/>
  </mergeCells>
  <phoneticPr fontId="9" type="noConversion"/>
  <printOptions horizontalCentered="1" verticalCentered="1"/>
  <pageMargins left="0.19685039370078741" right="0.15748031496062992" top="0.39370078740157483" bottom="0.39370078740157483" header="0.27559055118110237" footer="0.15748031496062992"/>
  <pageSetup paperSize="9" fitToWidth="0" fitToHeight="0" orientation="landscape" blackAndWhite="1" r:id="rId1"/>
  <headerFooter alignWithMargins="0"/>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工作表12"/>
  <dimension ref="A1:J21"/>
  <sheetViews>
    <sheetView view="pageBreakPreview" zoomScale="60" zoomScaleNormal="80" workbookViewId="0">
      <selection activeCell="A2" sqref="A2:F2"/>
    </sheetView>
  </sheetViews>
  <sheetFormatPr defaultColWidth="11.19921875" defaultRowHeight="16.2" x14ac:dyDescent="0.3"/>
  <cols>
    <col min="1" max="1" width="18.69921875" style="15" customWidth="1"/>
    <col min="2" max="5" width="20" style="15" customWidth="1"/>
    <col min="6" max="6" width="18" style="15" customWidth="1"/>
    <col min="7" max="7" width="21.09765625" style="15" customWidth="1"/>
    <col min="8" max="10" width="11.19921875" style="15" customWidth="1"/>
    <col min="11" max="11" width="11.09765625" style="15" customWidth="1"/>
    <col min="12" max="12" width="11.19921875" style="15" customWidth="1"/>
    <col min="13" max="16384" width="11.19921875" style="15"/>
  </cols>
  <sheetData>
    <row r="1" spans="1:6" ht="25.5" customHeight="1" x14ac:dyDescent="0.4">
      <c r="A1" s="349" t="str">
        <f>計畫經費彙總表!A1</f>
        <v>××股份有限公司</v>
      </c>
      <c r="B1" s="349"/>
      <c r="C1" s="349"/>
      <c r="D1" s="349"/>
      <c r="E1" s="349"/>
      <c r="F1" s="349"/>
    </row>
    <row r="2" spans="1:6" ht="30" customHeight="1" x14ac:dyDescent="0.4">
      <c r="A2" s="339" t="s">
        <v>201</v>
      </c>
      <c r="B2" s="339"/>
      <c r="C2" s="339"/>
      <c r="D2" s="339"/>
      <c r="E2" s="339"/>
      <c r="F2" s="339"/>
    </row>
    <row r="3" spans="1:6" ht="15.75" customHeight="1" x14ac:dyDescent="0.4">
      <c r="A3" s="326"/>
      <c r="B3" s="301"/>
      <c r="C3" s="301"/>
      <c r="D3" s="301"/>
      <c r="E3" s="301"/>
      <c r="F3" s="301"/>
    </row>
    <row r="4" spans="1:6" ht="18.75" customHeight="1" x14ac:dyDescent="0.3">
      <c r="A4" s="295" t="s">
        <v>183</v>
      </c>
      <c r="B4" s="296"/>
      <c r="C4" s="296"/>
      <c r="D4" s="296"/>
      <c r="E4" s="297" t="s">
        <v>184</v>
      </c>
      <c r="F4" s="296"/>
    </row>
    <row r="5" spans="1:6" ht="19.5" customHeight="1" x14ac:dyDescent="0.3">
      <c r="A5" s="295" t="s">
        <v>185</v>
      </c>
      <c r="B5" s="297"/>
      <c r="C5" s="298"/>
      <c r="D5" s="296"/>
      <c r="E5" s="295" t="s">
        <v>186</v>
      </c>
      <c r="F5" s="296"/>
    </row>
    <row r="6" spans="1:6" ht="20.25" customHeight="1" thickBot="1" x14ac:dyDescent="0.35">
      <c r="A6" s="295" t="s">
        <v>198</v>
      </c>
      <c r="B6" s="296"/>
      <c r="C6" s="298"/>
      <c r="D6" s="296"/>
      <c r="E6" s="299"/>
      <c r="F6" s="300" t="s">
        <v>36</v>
      </c>
    </row>
    <row r="7" spans="1:6" s="222" customFormat="1" ht="21" customHeight="1" thickBot="1" x14ac:dyDescent="0.35">
      <c r="A7" s="224" t="s">
        <v>188</v>
      </c>
      <c r="B7" s="12" t="s">
        <v>37</v>
      </c>
      <c r="C7" s="12" t="s">
        <v>88</v>
      </c>
      <c r="D7" s="12" t="s">
        <v>162</v>
      </c>
      <c r="E7" s="12" t="s">
        <v>163</v>
      </c>
      <c r="F7" s="13" t="s">
        <v>166</v>
      </c>
    </row>
    <row r="8" spans="1:6" ht="21" customHeight="1" x14ac:dyDescent="0.3">
      <c r="A8" s="269" t="s">
        <v>189</v>
      </c>
      <c r="B8" s="263"/>
      <c r="C8" s="268"/>
      <c r="D8" s="263"/>
      <c r="E8" s="268" t="s">
        <v>190</v>
      </c>
      <c r="F8" s="290">
        <v>300000</v>
      </c>
    </row>
    <row r="9" spans="1:6" ht="21" customHeight="1" x14ac:dyDescent="0.3">
      <c r="A9" s="269" t="s">
        <v>191</v>
      </c>
      <c r="B9" s="263"/>
      <c r="C9" s="268"/>
      <c r="D9" s="263"/>
      <c r="E9" s="268" t="s">
        <v>192</v>
      </c>
      <c r="F9" s="290">
        <v>100000</v>
      </c>
    </row>
    <row r="10" spans="1:6" ht="21" customHeight="1" x14ac:dyDescent="0.3">
      <c r="A10" s="269"/>
      <c r="B10" s="268"/>
      <c r="C10" s="268"/>
      <c r="D10" s="268"/>
      <c r="E10" s="268"/>
      <c r="F10" s="290"/>
    </row>
    <row r="11" spans="1:6" ht="21" customHeight="1" x14ac:dyDescent="0.3">
      <c r="A11" s="291"/>
      <c r="B11" s="268"/>
      <c r="C11" s="268"/>
      <c r="D11" s="268"/>
      <c r="E11" s="268"/>
      <c r="F11" s="290"/>
    </row>
    <row r="12" spans="1:6" ht="21" customHeight="1" x14ac:dyDescent="0.3">
      <c r="A12" s="291"/>
      <c r="B12" s="268"/>
      <c r="C12" s="268"/>
      <c r="D12" s="268"/>
      <c r="E12" s="268"/>
      <c r="F12" s="290"/>
    </row>
    <row r="13" spans="1:6" ht="21" customHeight="1" x14ac:dyDescent="0.3">
      <c r="A13" s="292"/>
      <c r="B13" s="268"/>
      <c r="C13" s="268"/>
      <c r="D13" s="268"/>
      <c r="E13" s="268"/>
      <c r="F13" s="290"/>
    </row>
    <row r="14" spans="1:6" ht="21" customHeight="1" thickBot="1" x14ac:dyDescent="0.35">
      <c r="A14" s="293"/>
      <c r="B14" s="275"/>
      <c r="C14" s="275"/>
      <c r="D14" s="275"/>
      <c r="E14" s="275"/>
      <c r="F14" s="294"/>
    </row>
    <row r="15" spans="1:6" ht="21" customHeight="1" thickBot="1" x14ac:dyDescent="0.35">
      <c r="A15" s="324" t="s">
        <v>193</v>
      </c>
      <c r="B15" s="148"/>
      <c r="C15" s="148"/>
      <c r="D15" s="148"/>
      <c r="E15" s="148"/>
      <c r="F15" s="218">
        <f>ROUND(SUM(F8:F14),0)</f>
        <v>400000</v>
      </c>
    </row>
    <row r="16" spans="1:6" ht="14.25" customHeight="1" x14ac:dyDescent="0.3">
      <c r="A16" s="221"/>
      <c r="B16" s="151"/>
      <c r="C16" s="151"/>
      <c r="D16" s="151"/>
      <c r="E16" s="151"/>
      <c r="F16" s="223"/>
    </row>
    <row r="17" spans="1:10" x14ac:dyDescent="0.3">
      <c r="A17" s="14" t="s">
        <v>194</v>
      </c>
    </row>
    <row r="18" spans="1:10" x14ac:dyDescent="0.3">
      <c r="A18" s="14" t="s">
        <v>202</v>
      </c>
    </row>
    <row r="19" spans="1:10" x14ac:dyDescent="0.3">
      <c r="A19" s="363" t="s">
        <v>203</v>
      </c>
      <c r="B19" s="363"/>
      <c r="C19" s="363"/>
      <c r="D19" s="363"/>
      <c r="E19" s="363"/>
      <c r="F19" s="363"/>
    </row>
    <row r="20" spans="1:10" x14ac:dyDescent="0.3">
      <c r="A20" s="331"/>
      <c r="B20" s="225"/>
      <c r="C20" s="225"/>
      <c r="D20" s="225"/>
      <c r="E20" s="225"/>
      <c r="F20" s="225"/>
    </row>
    <row r="21" spans="1:10" s="18" customFormat="1" ht="17.399999999999999" x14ac:dyDescent="0.3">
      <c r="A21" s="93" t="s">
        <v>32</v>
      </c>
      <c r="D21" s="93" t="s">
        <v>33</v>
      </c>
      <c r="E21" s="127"/>
      <c r="F21" s="94" t="s">
        <v>34</v>
      </c>
      <c r="G21" s="93"/>
      <c r="H21" s="127"/>
      <c r="J21" s="94"/>
    </row>
  </sheetData>
  <sheetProtection algorithmName="SHA-512" hashValue="RWPvqA/UiN40M6Kpen3aVih0lU49/o+fQXY1L7/BhNpLxIZjbx1Q3kf+d+4W46pZ7shrAMuNpM/WXhTVVb38aw==" saltValue="/+ffpgyCrfjSkYQWGWQaAA==" spinCount="100000" sheet="1" formatCells="0" formatColumns="0" formatRows="0" insertRows="0"/>
  <mergeCells count="3">
    <mergeCell ref="A1:F1"/>
    <mergeCell ref="A2:F2"/>
    <mergeCell ref="A19:F19"/>
  </mergeCells>
  <phoneticPr fontId="9" type="noConversion"/>
  <printOptions horizontalCentered="1" verticalCentered="1"/>
  <pageMargins left="0.19685039370078741" right="0.15748031496062992" top="0.39370078740157483" bottom="0.39370078740157483" header="0.27559055118110237" footer="0.15748031496062992"/>
  <pageSetup paperSize="9" fitToWidth="0" fitToHeight="0" orientation="landscape" blackAndWhite="1" r:id="rId1"/>
  <headerFooter alignWithMargins="0"/>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工作表13"/>
  <dimension ref="A1:N23"/>
  <sheetViews>
    <sheetView view="pageBreakPreview" zoomScale="60" zoomScaleNormal="80" workbookViewId="0">
      <selection activeCell="A2" sqref="A2:N2"/>
    </sheetView>
  </sheetViews>
  <sheetFormatPr defaultColWidth="11.19921875" defaultRowHeight="13.8" x14ac:dyDescent="0.25"/>
  <cols>
    <col min="1" max="1" width="10.19921875" style="187" customWidth="1"/>
    <col min="2" max="2" width="7.69921875" style="187" customWidth="1"/>
    <col min="3" max="3" width="12" style="14" customWidth="1"/>
    <col min="4" max="4" width="10.59765625" style="14" customWidth="1"/>
    <col min="5" max="5" width="13.19921875" style="14" bestFit="1" customWidth="1"/>
    <col min="6" max="6" width="30.69921875" style="14" customWidth="1"/>
    <col min="7" max="7" width="12" style="14" customWidth="1"/>
    <col min="8" max="8" width="13" style="14" bestFit="1" customWidth="1"/>
    <col min="9" max="9" width="11.09765625" style="14" customWidth="1"/>
    <col min="10" max="10" width="9.19921875" style="14" customWidth="1"/>
    <col min="11" max="11" width="10.5" style="14" customWidth="1"/>
    <col min="12" max="12" width="9" style="14" customWidth="1"/>
    <col min="13" max="13" width="10.19921875" style="14" customWidth="1"/>
    <col min="14" max="14" width="11.69921875" style="14" customWidth="1"/>
    <col min="15" max="15" width="11.19921875" style="14" customWidth="1"/>
    <col min="16" max="16384" width="11.19921875" style="14"/>
  </cols>
  <sheetData>
    <row r="1" spans="1:14" ht="22.5" customHeight="1" x14ac:dyDescent="0.25">
      <c r="A1" s="364" t="str">
        <f>計畫經費彙總表!A1</f>
        <v>××股份有限公司</v>
      </c>
      <c r="B1" s="364"/>
      <c r="C1" s="364"/>
      <c r="D1" s="364"/>
      <c r="E1" s="364"/>
      <c r="F1" s="364"/>
      <c r="G1" s="364"/>
      <c r="H1" s="364"/>
      <c r="I1" s="364"/>
      <c r="J1" s="364"/>
      <c r="K1" s="364"/>
      <c r="L1" s="364"/>
      <c r="M1" s="364"/>
      <c r="N1" s="364"/>
    </row>
    <row r="2" spans="1:14" ht="30" customHeight="1" x14ac:dyDescent="0.25">
      <c r="A2" s="365" t="s">
        <v>204</v>
      </c>
      <c r="B2" s="365"/>
      <c r="C2" s="365"/>
      <c r="D2" s="365"/>
      <c r="E2" s="365"/>
      <c r="F2" s="365"/>
      <c r="G2" s="365"/>
      <c r="H2" s="365"/>
      <c r="I2" s="365"/>
      <c r="J2" s="365"/>
      <c r="K2" s="365"/>
      <c r="L2" s="365"/>
      <c r="M2" s="365"/>
      <c r="N2" s="365"/>
    </row>
    <row r="3" spans="1:14" x14ac:dyDescent="0.25">
      <c r="A3" s="241"/>
      <c r="B3" s="241"/>
      <c r="C3" s="1"/>
      <c r="D3" s="1"/>
      <c r="E3" s="1"/>
      <c r="F3" s="1"/>
      <c r="G3" s="1"/>
      <c r="H3" s="1"/>
      <c r="I3" s="1"/>
      <c r="J3" s="1"/>
      <c r="K3" s="1"/>
      <c r="L3" s="1"/>
      <c r="M3" s="1"/>
      <c r="N3" s="242" t="s">
        <v>205</v>
      </c>
    </row>
    <row r="4" spans="1:14" s="222" customFormat="1" ht="26.25" customHeight="1" thickBot="1" x14ac:dyDescent="0.35">
      <c r="A4" s="224" t="s">
        <v>65</v>
      </c>
      <c r="B4" s="12" t="s">
        <v>206</v>
      </c>
      <c r="C4" s="12" t="s">
        <v>207</v>
      </c>
      <c r="D4" s="12" t="s">
        <v>208</v>
      </c>
      <c r="E4" s="12" t="s">
        <v>209</v>
      </c>
      <c r="F4" s="12" t="s">
        <v>210</v>
      </c>
      <c r="G4" s="12" t="s">
        <v>37</v>
      </c>
      <c r="H4" s="12" t="s">
        <v>88</v>
      </c>
      <c r="I4" s="12" t="s">
        <v>211</v>
      </c>
      <c r="J4" s="12" t="s">
        <v>212</v>
      </c>
      <c r="K4" s="12" t="s">
        <v>213</v>
      </c>
      <c r="L4" s="12" t="s">
        <v>214</v>
      </c>
      <c r="M4" s="12" t="s">
        <v>215</v>
      </c>
      <c r="N4" s="13" t="s">
        <v>75</v>
      </c>
    </row>
    <row r="5" spans="1:14" ht="21.6" customHeight="1" x14ac:dyDescent="0.25">
      <c r="A5" s="226"/>
      <c r="B5" s="227"/>
      <c r="C5" s="228"/>
      <c r="D5" s="229"/>
      <c r="E5" s="229"/>
      <c r="F5" s="229"/>
      <c r="G5" s="229"/>
      <c r="H5" s="229"/>
      <c r="I5" s="230"/>
      <c r="J5" s="230"/>
      <c r="K5" s="230"/>
      <c r="L5" s="230"/>
      <c r="M5" s="230"/>
      <c r="N5" s="231"/>
    </row>
    <row r="6" spans="1:14" ht="21.6" customHeight="1" x14ac:dyDescent="0.25">
      <c r="A6" s="302" t="s">
        <v>216</v>
      </c>
      <c r="B6" s="303" t="s">
        <v>217</v>
      </c>
      <c r="C6" s="304" t="s">
        <v>218</v>
      </c>
      <c r="D6" s="304">
        <v>2</v>
      </c>
      <c r="E6" s="305" t="s">
        <v>219</v>
      </c>
      <c r="F6" s="305" t="s">
        <v>220</v>
      </c>
      <c r="G6" s="304"/>
      <c r="H6" s="305"/>
      <c r="I6" s="306"/>
      <c r="J6" s="306">
        <v>300</v>
      </c>
      <c r="K6" s="306">
        <v>1000</v>
      </c>
      <c r="L6" s="306">
        <v>550</v>
      </c>
      <c r="M6" s="306"/>
      <c r="N6" s="232">
        <f>ROUND(SUM(I6:M6),0)</f>
        <v>1850</v>
      </c>
    </row>
    <row r="7" spans="1:14" ht="21.6" customHeight="1" x14ac:dyDescent="0.25">
      <c r="A7" s="302" t="s">
        <v>221</v>
      </c>
      <c r="B7" s="303" t="s">
        <v>222</v>
      </c>
      <c r="C7" s="307"/>
      <c r="D7" s="305"/>
      <c r="E7" s="305"/>
      <c r="F7" s="305"/>
      <c r="G7" s="305"/>
      <c r="H7" s="305"/>
      <c r="I7" s="306"/>
      <c r="J7" s="306"/>
      <c r="K7" s="306"/>
      <c r="L7" s="306"/>
      <c r="M7" s="306"/>
      <c r="N7" s="232">
        <f t="shared" ref="N7:N13" si="0">ROUND(SUM(I7:M7),0)</f>
        <v>0</v>
      </c>
    </row>
    <row r="8" spans="1:14" ht="21.6" customHeight="1" x14ac:dyDescent="0.25">
      <c r="A8" s="308"/>
      <c r="B8" s="303"/>
      <c r="C8" s="305"/>
      <c r="D8" s="305"/>
      <c r="E8" s="305"/>
      <c r="F8" s="305"/>
      <c r="G8" s="305"/>
      <c r="H8" s="305"/>
      <c r="I8" s="309"/>
      <c r="J8" s="309"/>
      <c r="K8" s="309"/>
      <c r="L8" s="309"/>
      <c r="M8" s="309"/>
      <c r="N8" s="232">
        <f t="shared" si="0"/>
        <v>0</v>
      </c>
    </row>
    <row r="9" spans="1:14" ht="21.6" customHeight="1" x14ac:dyDescent="0.25">
      <c r="A9" s="310"/>
      <c r="B9" s="303"/>
      <c r="C9" s="305"/>
      <c r="D9" s="305"/>
      <c r="E9" s="305"/>
      <c r="F9" s="305"/>
      <c r="G9" s="305"/>
      <c r="H9" s="305"/>
      <c r="I9" s="306"/>
      <c r="J9" s="306"/>
      <c r="K9" s="306"/>
      <c r="L9" s="306"/>
      <c r="M9" s="309"/>
      <c r="N9" s="232">
        <f t="shared" si="0"/>
        <v>0</v>
      </c>
    </row>
    <row r="10" spans="1:14" ht="21.6" customHeight="1" x14ac:dyDescent="0.25">
      <c r="A10" s="310"/>
      <c r="B10" s="303"/>
      <c r="C10" s="305"/>
      <c r="D10" s="305"/>
      <c r="E10" s="305"/>
      <c r="F10" s="305"/>
      <c r="G10" s="305"/>
      <c r="H10" s="305"/>
      <c r="I10" s="306"/>
      <c r="J10" s="306"/>
      <c r="K10" s="306"/>
      <c r="L10" s="306"/>
      <c r="M10" s="309"/>
      <c r="N10" s="232">
        <f t="shared" si="0"/>
        <v>0</v>
      </c>
    </row>
    <row r="11" spans="1:14" ht="21.6" customHeight="1" x14ac:dyDescent="0.25">
      <c r="A11" s="302"/>
      <c r="B11" s="303"/>
      <c r="C11" s="305"/>
      <c r="D11" s="305"/>
      <c r="E11" s="305"/>
      <c r="F11" s="305"/>
      <c r="G11" s="305"/>
      <c r="H11" s="305"/>
      <c r="I11" s="306"/>
      <c r="J11" s="306"/>
      <c r="K11" s="306"/>
      <c r="L11" s="306"/>
      <c r="M11" s="309"/>
      <c r="N11" s="232">
        <f t="shared" si="0"/>
        <v>0</v>
      </c>
    </row>
    <row r="12" spans="1:14" ht="21.6" customHeight="1" x14ac:dyDescent="0.25">
      <c r="A12" s="302"/>
      <c r="B12" s="303"/>
      <c r="C12" s="305"/>
      <c r="D12" s="305"/>
      <c r="E12" s="305"/>
      <c r="F12" s="305"/>
      <c r="G12" s="305"/>
      <c r="H12" s="305"/>
      <c r="I12" s="306"/>
      <c r="J12" s="306"/>
      <c r="K12" s="306"/>
      <c r="L12" s="306"/>
      <c r="M12" s="309"/>
      <c r="N12" s="232">
        <f t="shared" si="0"/>
        <v>0</v>
      </c>
    </row>
    <row r="13" spans="1:14" ht="21.6" customHeight="1" thickBot="1" x14ac:dyDescent="0.3">
      <c r="A13" s="311"/>
      <c r="B13" s="312"/>
      <c r="C13" s="313"/>
      <c r="D13" s="313"/>
      <c r="E13" s="313"/>
      <c r="F13" s="313"/>
      <c r="G13" s="313"/>
      <c r="H13" s="313"/>
      <c r="I13" s="314"/>
      <c r="J13" s="314"/>
      <c r="K13" s="314"/>
      <c r="L13" s="314"/>
      <c r="M13" s="314"/>
      <c r="N13" s="232">
        <f t="shared" si="0"/>
        <v>0</v>
      </c>
    </row>
    <row r="14" spans="1:14" ht="26.25" customHeight="1" thickBot="1" x14ac:dyDescent="0.3">
      <c r="A14" s="325" t="s">
        <v>223</v>
      </c>
      <c r="B14" s="233"/>
      <c r="C14" s="234"/>
      <c r="D14" s="234"/>
      <c r="E14" s="234"/>
      <c r="F14" s="234"/>
      <c r="G14" s="234"/>
      <c r="H14" s="235"/>
      <c r="I14" s="236"/>
      <c r="J14" s="236"/>
      <c r="K14" s="236"/>
      <c r="L14" s="236"/>
      <c r="M14" s="236"/>
      <c r="N14" s="237">
        <f>ROUND(SUM(N5:N13),0)</f>
        <v>1850</v>
      </c>
    </row>
    <row r="16" spans="1:14" ht="17.25" customHeight="1" x14ac:dyDescent="0.25">
      <c r="A16" s="238" t="s">
        <v>224</v>
      </c>
    </row>
    <row r="17" spans="1:14" ht="14.25" customHeight="1" x14ac:dyDescent="0.25">
      <c r="A17" s="239" t="s">
        <v>225</v>
      </c>
      <c r="B17" s="239"/>
      <c r="C17" s="239"/>
      <c r="D17" s="239"/>
      <c r="E17" s="239"/>
      <c r="F17" s="239"/>
      <c r="G17" s="239"/>
      <c r="H17" s="239"/>
      <c r="I17" s="239"/>
      <c r="J17" s="239"/>
      <c r="K17" s="239"/>
      <c r="L17" s="239"/>
      <c r="M17" s="239"/>
      <c r="N17" s="239"/>
    </row>
    <row r="18" spans="1:14" x14ac:dyDescent="0.25">
      <c r="A18" s="352" t="s">
        <v>226</v>
      </c>
      <c r="B18" s="352"/>
      <c r="C18" s="352"/>
      <c r="D18" s="352"/>
      <c r="E18" s="352"/>
      <c r="F18" s="352"/>
      <c r="G18" s="352"/>
      <c r="H18" s="352"/>
      <c r="I18" s="352"/>
      <c r="J18" s="352"/>
      <c r="K18" s="352"/>
      <c r="L18" s="352"/>
      <c r="M18" s="352"/>
      <c r="N18" s="352"/>
    </row>
    <row r="19" spans="1:14" ht="14.25" customHeight="1" x14ac:dyDescent="0.25">
      <c r="A19" s="352" t="s">
        <v>227</v>
      </c>
      <c r="B19" s="352"/>
      <c r="C19" s="352"/>
      <c r="D19" s="352"/>
      <c r="E19" s="352"/>
      <c r="F19" s="352"/>
      <c r="G19" s="352"/>
      <c r="H19" s="352"/>
      <c r="I19" s="352"/>
      <c r="J19" s="352"/>
      <c r="K19" s="352"/>
      <c r="L19" s="352"/>
      <c r="M19" s="352"/>
      <c r="N19" s="352"/>
    </row>
    <row r="20" spans="1:14" ht="14.25" customHeight="1" x14ac:dyDescent="0.25">
      <c r="A20" s="352" t="s">
        <v>228</v>
      </c>
      <c r="B20" s="352"/>
      <c r="C20" s="352"/>
      <c r="D20" s="352"/>
      <c r="E20" s="352"/>
      <c r="F20" s="352"/>
      <c r="G20" s="352"/>
      <c r="H20" s="352"/>
      <c r="I20" s="352"/>
      <c r="J20" s="352"/>
      <c r="K20" s="352"/>
      <c r="L20" s="352"/>
      <c r="M20" s="352"/>
      <c r="N20" s="352"/>
    </row>
    <row r="21" spans="1:14" ht="14.25" customHeight="1" x14ac:dyDescent="0.25">
      <c r="A21" s="239" t="s">
        <v>229</v>
      </c>
      <c r="B21" s="225"/>
      <c r="C21" s="225"/>
      <c r="D21" s="225"/>
      <c r="E21" s="225"/>
      <c r="F21" s="225"/>
      <c r="G21" s="225"/>
      <c r="H21" s="225"/>
      <c r="I21" s="225"/>
      <c r="J21" s="225"/>
      <c r="K21" s="225"/>
      <c r="L21" s="225"/>
      <c r="M21" s="225"/>
      <c r="N21" s="225"/>
    </row>
    <row r="22" spans="1:14" s="18" customFormat="1" ht="17.399999999999999" x14ac:dyDescent="0.3">
      <c r="B22" s="93" t="s">
        <v>32</v>
      </c>
      <c r="F22" s="93" t="s">
        <v>33</v>
      </c>
      <c r="K22" s="94" t="s">
        <v>34</v>
      </c>
    </row>
    <row r="23" spans="1:14" ht="14.25" customHeight="1" x14ac:dyDescent="0.3">
      <c r="A23" s="16"/>
      <c r="C23" s="240"/>
    </row>
  </sheetData>
  <sheetProtection algorithmName="SHA-512" hashValue="b7IIjMBqFzq16TBcSa6O5LRULuqRRG2KOVT9bCm481uc4dTrdzGv3y3O7FnITQX4aXvjnV9q+iGZ1CAwDgeDnQ==" saltValue="D/rOgyjIq/qNdMMU2W1TBg==" spinCount="100000" sheet="1" formatCells="0" formatColumns="0" formatRows="0" insertRows="0"/>
  <mergeCells count="5">
    <mergeCell ref="A1:N1"/>
    <mergeCell ref="A2:N2"/>
    <mergeCell ref="A18:N18"/>
    <mergeCell ref="A19:N19"/>
    <mergeCell ref="A20:N20"/>
  </mergeCells>
  <phoneticPr fontId="9" type="noConversion"/>
  <printOptions horizontalCentered="1" verticalCentered="1"/>
  <pageMargins left="0.19685039370078741" right="0.15748031496062992" top="0.39370078740157483" bottom="0.39370078740157483" header="0.27559055118110237" footer="0.15748031496062992"/>
  <pageSetup paperSize="9" scale="79" fitToWidth="0" fitToHeight="0" orientation="landscape" blackAndWhite="1" r:id="rId1"/>
  <headerFooter alignWithMargins="0"/>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F0001-448C-4B92-8B52-60DFFAB43F55}">
  <sheetPr codeName="工作表14"/>
  <dimension ref="A1:N23"/>
  <sheetViews>
    <sheetView view="pageBreakPreview" zoomScale="60" zoomScaleNormal="80" workbookViewId="0">
      <selection activeCell="A2" sqref="A2:N2"/>
    </sheetView>
  </sheetViews>
  <sheetFormatPr defaultColWidth="11.19921875" defaultRowHeight="13.8" x14ac:dyDescent="0.25"/>
  <cols>
    <col min="1" max="1" width="10.19921875" style="187" customWidth="1"/>
    <col min="2" max="2" width="7.69921875" style="187" customWidth="1"/>
    <col min="3" max="3" width="12" style="14" customWidth="1"/>
    <col min="4" max="4" width="10.59765625" style="14" customWidth="1"/>
    <col min="5" max="5" width="13.19921875" style="14" bestFit="1" customWidth="1"/>
    <col min="6" max="6" width="30.69921875" style="14" customWidth="1"/>
    <col min="7" max="7" width="12" style="14" customWidth="1"/>
    <col min="8" max="8" width="13" style="14" bestFit="1" customWidth="1"/>
    <col min="9" max="9" width="11.09765625" style="14" customWidth="1"/>
    <col min="10" max="10" width="9.19921875" style="14" customWidth="1"/>
    <col min="11" max="11" width="10.5" style="14" customWidth="1"/>
    <col min="12" max="12" width="9" style="14" customWidth="1"/>
    <col min="13" max="13" width="10.19921875" style="14" customWidth="1"/>
    <col min="14" max="14" width="11.69921875" style="14" customWidth="1"/>
    <col min="15" max="15" width="11.19921875" style="14" customWidth="1"/>
    <col min="16" max="16384" width="11.19921875" style="14"/>
  </cols>
  <sheetData>
    <row r="1" spans="1:14" ht="22.5" customHeight="1" x14ac:dyDescent="0.25">
      <c r="A1" s="364" t="str">
        <f>計畫經費彙總表!A1</f>
        <v>××股份有限公司</v>
      </c>
      <c r="B1" s="364"/>
      <c r="C1" s="364"/>
      <c r="D1" s="364"/>
      <c r="E1" s="364"/>
      <c r="F1" s="364"/>
      <c r="G1" s="364"/>
      <c r="H1" s="364"/>
      <c r="I1" s="364"/>
      <c r="J1" s="364"/>
      <c r="K1" s="364"/>
      <c r="L1" s="364"/>
      <c r="M1" s="364"/>
      <c r="N1" s="364"/>
    </row>
    <row r="2" spans="1:14" ht="30" customHeight="1" x14ac:dyDescent="0.25">
      <c r="A2" s="365" t="s">
        <v>230</v>
      </c>
      <c r="B2" s="365"/>
      <c r="C2" s="365"/>
      <c r="D2" s="365"/>
      <c r="E2" s="365"/>
      <c r="F2" s="365"/>
      <c r="G2" s="365"/>
      <c r="H2" s="365"/>
      <c r="I2" s="365"/>
      <c r="J2" s="365"/>
      <c r="K2" s="365"/>
      <c r="L2" s="365"/>
      <c r="M2" s="365"/>
      <c r="N2" s="365"/>
    </row>
    <row r="3" spans="1:14" ht="14.4" thickBot="1" x14ac:dyDescent="0.3">
      <c r="A3" s="241"/>
      <c r="B3" s="241"/>
      <c r="C3" s="1"/>
      <c r="D3" s="1"/>
      <c r="E3" s="1"/>
      <c r="F3" s="1"/>
      <c r="G3" s="1"/>
      <c r="H3" s="1"/>
      <c r="I3" s="1"/>
      <c r="J3" s="1"/>
      <c r="K3" s="1"/>
      <c r="L3" s="1"/>
      <c r="M3" s="1"/>
      <c r="N3" s="242" t="s">
        <v>205</v>
      </c>
    </row>
    <row r="4" spans="1:14" s="222" customFormat="1" ht="26.25" customHeight="1" thickBot="1" x14ac:dyDescent="0.35">
      <c r="A4" s="224" t="s">
        <v>65</v>
      </c>
      <c r="B4" s="12" t="s">
        <v>206</v>
      </c>
      <c r="C4" s="12" t="s">
        <v>207</v>
      </c>
      <c r="D4" s="12" t="s">
        <v>208</v>
      </c>
      <c r="E4" s="12" t="s">
        <v>209</v>
      </c>
      <c r="F4" s="12" t="s">
        <v>210</v>
      </c>
      <c r="G4" s="12" t="s">
        <v>37</v>
      </c>
      <c r="H4" s="12" t="s">
        <v>88</v>
      </c>
      <c r="I4" s="12" t="s">
        <v>211</v>
      </c>
      <c r="J4" s="12" t="s">
        <v>212</v>
      </c>
      <c r="K4" s="12" t="s">
        <v>213</v>
      </c>
      <c r="L4" s="12" t="s">
        <v>214</v>
      </c>
      <c r="M4" s="12" t="s">
        <v>215</v>
      </c>
      <c r="N4" s="13" t="s">
        <v>75</v>
      </c>
    </row>
    <row r="5" spans="1:14" ht="21.6" customHeight="1" x14ac:dyDescent="0.25">
      <c r="A5" s="226"/>
      <c r="B5" s="227"/>
      <c r="C5" s="228"/>
      <c r="D5" s="229"/>
      <c r="E5" s="229"/>
      <c r="F5" s="229"/>
      <c r="G5" s="229"/>
      <c r="H5" s="229"/>
      <c r="I5" s="230"/>
      <c r="J5" s="230"/>
      <c r="K5" s="230"/>
      <c r="L5" s="230"/>
      <c r="M5" s="230"/>
      <c r="N5" s="231"/>
    </row>
    <row r="6" spans="1:14" ht="21.6" customHeight="1" x14ac:dyDescent="0.25">
      <c r="A6" s="302" t="s">
        <v>216</v>
      </c>
      <c r="B6" s="303" t="s">
        <v>217</v>
      </c>
      <c r="C6" s="304" t="s">
        <v>231</v>
      </c>
      <c r="D6" s="304">
        <v>2</v>
      </c>
      <c r="E6" s="305" t="s">
        <v>232</v>
      </c>
      <c r="F6" s="305" t="s">
        <v>220</v>
      </c>
      <c r="G6" s="304"/>
      <c r="H6" s="305"/>
      <c r="I6" s="306">
        <v>1000</v>
      </c>
      <c r="J6" s="306"/>
      <c r="K6" s="306">
        <v>450</v>
      </c>
      <c r="L6" s="306">
        <v>550</v>
      </c>
      <c r="M6" s="306"/>
      <c r="N6" s="232">
        <f>ROUND(SUM(I6:M6),0)</f>
        <v>2000</v>
      </c>
    </row>
    <row r="7" spans="1:14" ht="21.6" customHeight="1" x14ac:dyDescent="0.25">
      <c r="A7" s="302" t="s">
        <v>221</v>
      </c>
      <c r="B7" s="303" t="s">
        <v>222</v>
      </c>
      <c r="C7" s="307"/>
      <c r="D7" s="305"/>
      <c r="E7" s="305"/>
      <c r="F7" s="305"/>
      <c r="G7" s="305"/>
      <c r="H7" s="305"/>
      <c r="I7" s="306"/>
      <c r="J7" s="306"/>
      <c r="K7" s="306"/>
      <c r="L7" s="306"/>
      <c r="M7" s="306"/>
      <c r="N7" s="232">
        <f t="shared" ref="N7:N13" si="0">ROUND(SUM(I7:M7),0)</f>
        <v>0</v>
      </c>
    </row>
    <row r="8" spans="1:14" ht="21.6" customHeight="1" x14ac:dyDescent="0.25">
      <c r="A8" s="308"/>
      <c r="B8" s="303"/>
      <c r="C8" s="305"/>
      <c r="D8" s="305"/>
      <c r="E8" s="305"/>
      <c r="F8" s="305"/>
      <c r="G8" s="305"/>
      <c r="H8" s="305"/>
      <c r="I8" s="309"/>
      <c r="J8" s="309"/>
      <c r="K8" s="309"/>
      <c r="L8" s="309"/>
      <c r="M8" s="309"/>
      <c r="N8" s="232">
        <f t="shared" si="0"/>
        <v>0</v>
      </c>
    </row>
    <row r="9" spans="1:14" ht="21.6" customHeight="1" x14ac:dyDescent="0.25">
      <c r="A9" s="310"/>
      <c r="B9" s="303"/>
      <c r="C9" s="305"/>
      <c r="D9" s="305"/>
      <c r="E9" s="305"/>
      <c r="F9" s="305"/>
      <c r="G9" s="305"/>
      <c r="H9" s="305"/>
      <c r="I9" s="306"/>
      <c r="J9" s="306"/>
      <c r="K9" s="306"/>
      <c r="L9" s="306"/>
      <c r="M9" s="309"/>
      <c r="N9" s="232">
        <f t="shared" si="0"/>
        <v>0</v>
      </c>
    </row>
    <row r="10" spans="1:14" ht="21.6" customHeight="1" x14ac:dyDescent="0.25">
      <c r="A10" s="310"/>
      <c r="B10" s="303"/>
      <c r="C10" s="305"/>
      <c r="D10" s="305"/>
      <c r="E10" s="305"/>
      <c r="F10" s="305"/>
      <c r="G10" s="305"/>
      <c r="H10" s="305"/>
      <c r="I10" s="306"/>
      <c r="J10" s="306"/>
      <c r="K10" s="306"/>
      <c r="L10" s="306"/>
      <c r="M10" s="309"/>
      <c r="N10" s="232">
        <f t="shared" si="0"/>
        <v>0</v>
      </c>
    </row>
    <row r="11" spans="1:14" ht="21.6" customHeight="1" x14ac:dyDescent="0.25">
      <c r="A11" s="302"/>
      <c r="B11" s="303"/>
      <c r="C11" s="305"/>
      <c r="D11" s="305"/>
      <c r="E11" s="305"/>
      <c r="F11" s="305"/>
      <c r="G11" s="305"/>
      <c r="H11" s="305"/>
      <c r="I11" s="306"/>
      <c r="J11" s="306"/>
      <c r="K11" s="306"/>
      <c r="L11" s="306"/>
      <c r="M11" s="309"/>
      <c r="N11" s="232">
        <f t="shared" si="0"/>
        <v>0</v>
      </c>
    </row>
    <row r="12" spans="1:14" ht="21.6" customHeight="1" x14ac:dyDescent="0.25">
      <c r="A12" s="302"/>
      <c r="B12" s="303"/>
      <c r="C12" s="305"/>
      <c r="D12" s="305"/>
      <c r="E12" s="305"/>
      <c r="F12" s="305"/>
      <c r="G12" s="305"/>
      <c r="H12" s="305"/>
      <c r="I12" s="306"/>
      <c r="J12" s="306"/>
      <c r="K12" s="306"/>
      <c r="L12" s="306"/>
      <c r="M12" s="309"/>
      <c r="N12" s="232">
        <f t="shared" si="0"/>
        <v>0</v>
      </c>
    </row>
    <row r="13" spans="1:14" ht="21.6" customHeight="1" thickBot="1" x14ac:dyDescent="0.3">
      <c r="A13" s="311"/>
      <c r="B13" s="312"/>
      <c r="C13" s="313"/>
      <c r="D13" s="313"/>
      <c r="E13" s="313"/>
      <c r="F13" s="313"/>
      <c r="G13" s="313"/>
      <c r="H13" s="313"/>
      <c r="I13" s="314"/>
      <c r="J13" s="314"/>
      <c r="K13" s="314"/>
      <c r="L13" s="314"/>
      <c r="M13" s="314"/>
      <c r="N13" s="232">
        <f t="shared" si="0"/>
        <v>0</v>
      </c>
    </row>
    <row r="14" spans="1:14" ht="26.25" customHeight="1" thickBot="1" x14ac:dyDescent="0.3">
      <c r="A14" s="325" t="s">
        <v>223</v>
      </c>
      <c r="B14" s="233"/>
      <c r="C14" s="234"/>
      <c r="D14" s="234"/>
      <c r="E14" s="234"/>
      <c r="F14" s="234"/>
      <c r="G14" s="234"/>
      <c r="H14" s="235"/>
      <c r="I14" s="236"/>
      <c r="J14" s="236"/>
      <c r="K14" s="236"/>
      <c r="L14" s="236"/>
      <c r="M14" s="236"/>
      <c r="N14" s="237">
        <f>ROUND(SUM(N5:N13),0)</f>
        <v>2000</v>
      </c>
    </row>
    <row r="16" spans="1:14" ht="17.25" customHeight="1" x14ac:dyDescent="0.25">
      <c r="A16" s="238" t="s">
        <v>224</v>
      </c>
    </row>
    <row r="17" spans="1:14" ht="14.25" customHeight="1" x14ac:dyDescent="0.25">
      <c r="A17" s="239" t="s">
        <v>225</v>
      </c>
      <c r="B17" s="239"/>
      <c r="C17" s="239"/>
      <c r="D17" s="239"/>
      <c r="E17" s="239"/>
      <c r="F17" s="239"/>
      <c r="G17" s="239"/>
      <c r="H17" s="239"/>
      <c r="I17" s="239"/>
      <c r="J17" s="239"/>
      <c r="K17" s="239"/>
      <c r="L17" s="239"/>
      <c r="M17" s="239"/>
      <c r="N17" s="239"/>
    </row>
    <row r="18" spans="1:14" x14ac:dyDescent="0.25">
      <c r="A18" s="352" t="s">
        <v>226</v>
      </c>
      <c r="B18" s="352"/>
      <c r="C18" s="352"/>
      <c r="D18" s="352"/>
      <c r="E18" s="352"/>
      <c r="F18" s="352"/>
      <c r="G18" s="352"/>
      <c r="H18" s="352"/>
      <c r="I18" s="352"/>
      <c r="J18" s="352"/>
      <c r="K18" s="352"/>
      <c r="L18" s="352"/>
      <c r="M18" s="352"/>
      <c r="N18" s="352"/>
    </row>
    <row r="19" spans="1:14" ht="14.25" customHeight="1" x14ac:dyDescent="0.25">
      <c r="A19" s="352" t="s">
        <v>227</v>
      </c>
      <c r="B19" s="352"/>
      <c r="C19" s="352"/>
      <c r="D19" s="352"/>
      <c r="E19" s="352"/>
      <c r="F19" s="352"/>
      <c r="G19" s="352"/>
      <c r="H19" s="352"/>
      <c r="I19" s="352"/>
      <c r="J19" s="352"/>
      <c r="K19" s="352"/>
      <c r="L19" s="352"/>
      <c r="M19" s="352"/>
      <c r="N19" s="352"/>
    </row>
    <row r="20" spans="1:14" ht="14.25" customHeight="1" x14ac:dyDescent="0.25">
      <c r="A20" s="352" t="s">
        <v>228</v>
      </c>
      <c r="B20" s="352"/>
      <c r="C20" s="352"/>
      <c r="D20" s="352"/>
      <c r="E20" s="352"/>
      <c r="F20" s="352"/>
      <c r="G20" s="352"/>
      <c r="H20" s="352"/>
      <c r="I20" s="352"/>
      <c r="J20" s="352"/>
      <c r="K20" s="352"/>
      <c r="L20" s="352"/>
      <c r="M20" s="352"/>
      <c r="N20" s="352"/>
    </row>
    <row r="21" spans="1:14" ht="14.25" customHeight="1" x14ac:dyDescent="0.25">
      <c r="A21" s="239" t="s">
        <v>229</v>
      </c>
      <c r="B21" s="225"/>
      <c r="C21" s="225"/>
      <c r="D21" s="225"/>
      <c r="E21" s="225"/>
      <c r="F21" s="225"/>
      <c r="G21" s="225"/>
      <c r="H21" s="225"/>
      <c r="I21" s="225"/>
      <c r="J21" s="225"/>
      <c r="K21" s="225"/>
      <c r="L21" s="225"/>
      <c r="M21" s="225"/>
      <c r="N21" s="225"/>
    </row>
    <row r="22" spans="1:14" s="18" customFormat="1" ht="17.399999999999999" x14ac:dyDescent="0.3">
      <c r="B22" s="93" t="s">
        <v>32</v>
      </c>
      <c r="F22" s="93" t="s">
        <v>33</v>
      </c>
      <c r="K22" s="94" t="s">
        <v>34</v>
      </c>
    </row>
    <row r="23" spans="1:14" ht="14.25" customHeight="1" x14ac:dyDescent="0.3">
      <c r="A23" s="16"/>
      <c r="C23" s="240"/>
    </row>
  </sheetData>
  <sheetProtection algorithmName="SHA-512" hashValue="PYRhiDT9p+DQfNS7wbF/VQQTsaLU2NXEZ7tnc8e2KGDbU2tX9AumnxQeIQ4oa7TdwHjZrHbREbxWcYycmFR3Og==" saltValue="iDsXklJfDm0f9Utf/dcHug==" spinCount="100000" sheet="1" formatCells="0" formatColumns="0" formatRows="0" insertRows="0"/>
  <mergeCells count="5">
    <mergeCell ref="A1:N1"/>
    <mergeCell ref="A2:N2"/>
    <mergeCell ref="A18:N18"/>
    <mergeCell ref="A19:N19"/>
    <mergeCell ref="A20:N20"/>
  </mergeCells>
  <phoneticPr fontId="9" type="noConversion"/>
  <printOptions horizontalCentered="1" verticalCentered="1"/>
  <pageMargins left="0.19685039370078741" right="0.15748031496062992" top="0.39370078740157483" bottom="0.39370078740157483" header="0.27559055118110237" footer="0.15748031496062992"/>
  <pageSetup paperSize="9" scale="79" fitToWidth="0" fitToHeight="0" orientation="landscape" blackAndWhite="1" r:id="rId1"/>
  <headerFooter alignWithMargins="0"/>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工作表15"/>
  <dimension ref="A1:J30"/>
  <sheetViews>
    <sheetView view="pageBreakPreview" zoomScale="60" zoomScaleNormal="80" workbookViewId="0">
      <selection activeCell="G10" sqref="G10"/>
    </sheetView>
  </sheetViews>
  <sheetFormatPr defaultColWidth="11.19921875" defaultRowHeight="16.2" x14ac:dyDescent="0.3"/>
  <cols>
    <col min="1" max="1" width="13.19921875" style="15" customWidth="1"/>
    <col min="2" max="2" width="13.69921875" style="15" customWidth="1"/>
    <col min="3" max="3" width="15" style="15" customWidth="1"/>
    <col min="4" max="4" width="15.09765625" style="15" customWidth="1"/>
    <col min="5" max="5" width="10.09765625" style="15" bestFit="1" customWidth="1"/>
    <col min="6" max="6" width="16.19921875" style="15" customWidth="1"/>
    <col min="7" max="7" width="27.09765625" style="15" customWidth="1"/>
    <col min="8" max="8" width="7.59765625" style="220" customWidth="1"/>
    <col min="9" max="9" width="30.59765625" style="15" customWidth="1"/>
    <col min="10" max="10" width="27.5" style="15" customWidth="1"/>
    <col min="11" max="11" width="11.19921875" style="15" customWidth="1"/>
    <col min="12" max="12" width="11.09765625" style="15" customWidth="1"/>
    <col min="13" max="13" width="11.19921875" style="15" customWidth="1"/>
    <col min="14" max="16384" width="11.19921875" style="15"/>
  </cols>
  <sheetData>
    <row r="1" spans="1:10" ht="21.75" customHeight="1" x14ac:dyDescent="0.4">
      <c r="A1" s="349" t="str">
        <f>計畫經費彙總表!A1</f>
        <v>××股份有限公司</v>
      </c>
      <c r="B1" s="349"/>
      <c r="C1" s="349"/>
      <c r="D1" s="349"/>
      <c r="E1" s="349"/>
      <c r="F1" s="349"/>
      <c r="G1" s="349"/>
      <c r="H1" s="349"/>
      <c r="I1" s="349"/>
      <c r="J1" s="349"/>
    </row>
    <row r="2" spans="1:10" ht="22.2" x14ac:dyDescent="0.4">
      <c r="A2" s="339" t="s">
        <v>233</v>
      </c>
      <c r="B2" s="339"/>
      <c r="C2" s="339"/>
      <c r="D2" s="339"/>
      <c r="E2" s="339"/>
      <c r="F2" s="339"/>
      <c r="G2" s="339"/>
      <c r="H2" s="339"/>
      <c r="I2" s="339"/>
      <c r="J2" s="339"/>
    </row>
    <row r="3" spans="1:10" x14ac:dyDescent="0.3">
      <c r="A3" s="247"/>
      <c r="B3" s="247"/>
      <c r="C3" s="247"/>
      <c r="D3" s="247"/>
      <c r="E3" s="247"/>
      <c r="F3" s="247"/>
      <c r="G3" s="247"/>
      <c r="H3" s="247"/>
      <c r="I3" s="247"/>
      <c r="J3" s="6" t="s">
        <v>36</v>
      </c>
    </row>
    <row r="4" spans="1:10" s="243" customFormat="1" ht="45.75" customHeight="1" thickBot="1" x14ac:dyDescent="0.35">
      <c r="A4" s="10" t="s">
        <v>37</v>
      </c>
      <c r="B4" s="11" t="s">
        <v>88</v>
      </c>
      <c r="C4" s="12" t="s">
        <v>234</v>
      </c>
      <c r="D4" s="12" t="s">
        <v>235</v>
      </c>
      <c r="E4" s="11" t="s">
        <v>91</v>
      </c>
      <c r="F4" s="12" t="s">
        <v>236</v>
      </c>
      <c r="G4" s="12" t="s">
        <v>93</v>
      </c>
      <c r="H4" s="11" t="s">
        <v>94</v>
      </c>
      <c r="I4" s="11" t="s">
        <v>237</v>
      </c>
      <c r="J4" s="13" t="s">
        <v>238</v>
      </c>
    </row>
    <row r="5" spans="1:10" ht="18" customHeight="1" x14ac:dyDescent="0.3">
      <c r="A5" s="244"/>
      <c r="B5" s="141"/>
      <c r="C5" s="141"/>
      <c r="D5" s="141"/>
      <c r="E5" s="141"/>
      <c r="F5" s="141"/>
      <c r="G5" s="141"/>
      <c r="H5" s="144"/>
      <c r="I5" s="141"/>
      <c r="J5" s="245"/>
    </row>
    <row r="6" spans="1:10" x14ac:dyDescent="0.3">
      <c r="A6" s="271" t="s">
        <v>97</v>
      </c>
      <c r="B6" s="268"/>
      <c r="C6" s="268"/>
      <c r="D6" s="268" t="s">
        <v>99</v>
      </c>
      <c r="E6" s="263" t="s">
        <v>100</v>
      </c>
      <c r="F6" s="264"/>
      <c r="G6" s="315"/>
      <c r="H6" s="263">
        <v>1</v>
      </c>
      <c r="I6" s="263"/>
      <c r="J6" s="290">
        <v>1200</v>
      </c>
    </row>
    <row r="7" spans="1:10" x14ac:dyDescent="0.3">
      <c r="A7" s="271" t="s">
        <v>239</v>
      </c>
      <c r="B7" s="268"/>
      <c r="C7" s="268"/>
      <c r="D7" s="268" t="s">
        <v>104</v>
      </c>
      <c r="E7" s="263" t="s">
        <v>100</v>
      </c>
      <c r="F7" s="264"/>
      <c r="G7" s="315"/>
      <c r="H7" s="263">
        <v>3</v>
      </c>
      <c r="I7" s="263"/>
      <c r="J7" s="290">
        <v>6000</v>
      </c>
    </row>
    <row r="8" spans="1:10" x14ac:dyDescent="0.3">
      <c r="A8" s="271"/>
      <c r="B8" s="268"/>
      <c r="C8" s="268"/>
      <c r="D8" s="268"/>
      <c r="E8" s="263"/>
      <c r="F8" s="264"/>
      <c r="G8" s="315"/>
      <c r="H8" s="263"/>
      <c r="I8" s="263"/>
      <c r="J8" s="290"/>
    </row>
    <row r="9" spans="1:10" x14ac:dyDescent="0.3">
      <c r="A9" s="271"/>
      <c r="B9" s="268"/>
      <c r="C9" s="268"/>
      <c r="D9" s="268"/>
      <c r="E9" s="263"/>
      <c r="F9" s="264"/>
      <c r="G9" s="315"/>
      <c r="H9" s="263"/>
      <c r="I9" s="263"/>
      <c r="J9" s="290"/>
    </row>
    <row r="10" spans="1:10" x14ac:dyDescent="0.3">
      <c r="A10" s="269"/>
      <c r="B10" s="268"/>
      <c r="C10" s="268"/>
      <c r="D10" s="268"/>
      <c r="E10" s="268"/>
      <c r="F10" s="268"/>
      <c r="G10" s="315"/>
      <c r="H10" s="263"/>
      <c r="I10" s="268"/>
      <c r="J10" s="290"/>
    </row>
    <row r="11" spans="1:10" x14ac:dyDescent="0.3">
      <c r="A11" s="316"/>
      <c r="B11" s="268"/>
      <c r="C11" s="268"/>
      <c r="D11" s="268"/>
      <c r="E11" s="268"/>
      <c r="F11" s="268"/>
      <c r="G11" s="315"/>
      <c r="H11" s="263"/>
      <c r="I11" s="268"/>
      <c r="J11" s="290"/>
    </row>
    <row r="12" spans="1:10" ht="22.5" customHeight="1" x14ac:dyDescent="0.3">
      <c r="A12" s="271"/>
      <c r="B12" s="268"/>
      <c r="C12" s="268"/>
      <c r="D12" s="268"/>
      <c r="E12" s="268"/>
      <c r="F12" s="268"/>
      <c r="G12" s="315"/>
      <c r="H12" s="263"/>
      <c r="I12" s="268"/>
      <c r="J12" s="290"/>
    </row>
    <row r="13" spans="1:10" x14ac:dyDescent="0.3">
      <c r="A13" s="271"/>
      <c r="B13" s="268"/>
      <c r="C13" s="268"/>
      <c r="D13" s="268"/>
      <c r="E13" s="268"/>
      <c r="F13" s="268"/>
      <c r="G13" s="315"/>
      <c r="H13" s="263"/>
      <c r="I13" s="268"/>
      <c r="J13" s="290"/>
    </row>
    <row r="14" spans="1:10" ht="15.75" customHeight="1" x14ac:dyDescent="0.3">
      <c r="A14" s="316"/>
      <c r="B14" s="268"/>
      <c r="C14" s="268"/>
      <c r="D14" s="268"/>
      <c r="E14" s="268"/>
      <c r="F14" s="268"/>
      <c r="G14" s="268"/>
      <c r="H14" s="263"/>
      <c r="I14" s="268"/>
      <c r="J14" s="290"/>
    </row>
    <row r="15" spans="1:10" ht="15.75" customHeight="1" x14ac:dyDescent="0.3">
      <c r="A15" s="271"/>
      <c r="B15" s="268"/>
      <c r="C15" s="268"/>
      <c r="D15" s="268"/>
      <c r="E15" s="268"/>
      <c r="F15" s="268"/>
      <c r="G15" s="268"/>
      <c r="H15" s="263"/>
      <c r="I15" s="268"/>
      <c r="J15" s="290"/>
    </row>
    <row r="16" spans="1:10" ht="16.5" customHeight="1" x14ac:dyDescent="0.3">
      <c r="A16" s="271"/>
      <c r="B16" s="268"/>
      <c r="C16" s="268"/>
      <c r="D16" s="268"/>
      <c r="E16" s="268"/>
      <c r="F16" s="268"/>
      <c r="G16" s="268"/>
      <c r="H16" s="263"/>
      <c r="I16" s="268"/>
      <c r="J16" s="290"/>
    </row>
    <row r="17" spans="1:10" ht="16.5" customHeight="1" thickBot="1" x14ac:dyDescent="0.35">
      <c r="A17" s="273"/>
      <c r="B17" s="275"/>
      <c r="C17" s="275"/>
      <c r="D17" s="275"/>
      <c r="E17" s="275"/>
      <c r="F17" s="275"/>
      <c r="G17" s="275"/>
      <c r="H17" s="317"/>
      <c r="I17" s="275"/>
      <c r="J17" s="289"/>
    </row>
    <row r="18" spans="1:10" ht="17.25" customHeight="1" thickBot="1" x14ac:dyDescent="0.35">
      <c r="A18" s="322" t="s">
        <v>240</v>
      </c>
      <c r="B18" s="148"/>
      <c r="C18" s="148"/>
      <c r="D18" s="148"/>
      <c r="E18" s="148"/>
      <c r="F18" s="148"/>
      <c r="G18" s="148"/>
      <c r="H18" s="246"/>
      <c r="I18" s="148"/>
      <c r="J18" s="218">
        <f>ROUND(SUM(J5:J17),0)</f>
        <v>7200</v>
      </c>
    </row>
    <row r="19" spans="1:10" ht="17.25" customHeight="1" x14ac:dyDescent="0.3">
      <c r="A19" s="150"/>
      <c r="B19" s="151"/>
      <c r="C19" s="151"/>
      <c r="D19" s="151"/>
      <c r="E19" s="151"/>
      <c r="F19" s="151"/>
      <c r="G19" s="151"/>
      <c r="I19" s="151"/>
      <c r="J19" s="223"/>
    </row>
    <row r="20" spans="1:10" ht="14.25" customHeight="1" x14ac:dyDescent="0.3">
      <c r="A20" s="153" t="s">
        <v>241</v>
      </c>
    </row>
    <row r="21" spans="1:10" ht="14.25" customHeight="1" x14ac:dyDescent="0.3">
      <c r="A21" s="153" t="s">
        <v>242</v>
      </c>
    </row>
    <row r="22" spans="1:10" x14ac:dyDescent="0.3">
      <c r="A22" s="14" t="s">
        <v>243</v>
      </c>
    </row>
    <row r="23" spans="1:10" s="14" customFormat="1" ht="16.5" customHeight="1" x14ac:dyDescent="0.25">
      <c r="A23" s="14" t="s">
        <v>244</v>
      </c>
    </row>
    <row r="24" spans="1:10" x14ac:dyDescent="0.3">
      <c r="A24" s="14" t="s">
        <v>245</v>
      </c>
    </row>
    <row r="25" spans="1:10" x14ac:dyDescent="0.3">
      <c r="A25" s="14" t="s">
        <v>246</v>
      </c>
    </row>
    <row r="26" spans="1:10" x14ac:dyDescent="0.3">
      <c r="A26" s="14" t="s">
        <v>247</v>
      </c>
    </row>
    <row r="27" spans="1:10" x14ac:dyDescent="0.3">
      <c r="A27" s="14" t="s">
        <v>248</v>
      </c>
    </row>
    <row r="28" spans="1:10" x14ac:dyDescent="0.3">
      <c r="A28" s="14" t="s">
        <v>249</v>
      </c>
    </row>
    <row r="29" spans="1:10" x14ac:dyDescent="0.3">
      <c r="A29" s="14"/>
    </row>
    <row r="30" spans="1:10" s="18" customFormat="1" ht="17.399999999999999" x14ac:dyDescent="0.3">
      <c r="A30" s="127" t="s">
        <v>32</v>
      </c>
      <c r="F30" s="93" t="s">
        <v>33</v>
      </c>
      <c r="I30" s="156" t="s">
        <v>34</v>
      </c>
    </row>
  </sheetData>
  <sheetProtection algorithmName="SHA-512" hashValue="syaJR4FeRnVrw4zxomy943wSkkjNM58eqwq+yZ1n1iG1Agm78HgwapZFsp1YWmU8du0ezvWAuEsC3QcTnBxUhw==" saltValue="zdsnEfiAi5pLWU6hoiRoiw==" spinCount="100000" sheet="1" formatCells="0" formatColumns="0" formatRows="0" insertRows="0"/>
  <mergeCells count="2">
    <mergeCell ref="A1:J1"/>
    <mergeCell ref="A2:J2"/>
  </mergeCells>
  <phoneticPr fontId="9" type="noConversion"/>
  <printOptions horizontalCentered="1" verticalCentered="1"/>
  <pageMargins left="0.19685039370078741" right="0.15748031496062992" top="0.39370078740157483" bottom="0.39370078740157483" header="0.27559055118110237" footer="0.15748031496062992"/>
  <pageSetup paperSize="9" scale="77" fitToWidth="0" fitToHeight="0" orientation="landscape" blackAndWhite="1" r:id="rId1"/>
  <headerFooter alignWithMargins="0"/>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15</vt:i4>
      </vt:variant>
      <vt:variant>
        <vt:lpstr>具名範圍</vt:lpstr>
      </vt:variant>
      <vt:variant>
        <vt:i4>12</vt:i4>
      </vt:variant>
    </vt:vector>
  </HeadingPairs>
  <TitlesOfParts>
    <vt:vector size="27" baseType="lpstr">
      <vt:lpstr>計畫經費彙總表</vt:lpstr>
      <vt:lpstr>人事費</vt:lpstr>
      <vt:lpstr>加班記錄</vt:lpstr>
      <vt:lpstr>顧問</vt:lpstr>
      <vt:lpstr>工時記錄表</vt:lpstr>
      <vt:lpstr>材料費</vt:lpstr>
      <vt:lpstr>設備使用費</vt:lpstr>
      <vt:lpstr>設備使用記錄表</vt:lpstr>
      <vt:lpstr>設備維護費</vt:lpstr>
      <vt:lpstr>技術購買費</vt:lpstr>
      <vt:lpstr>委託研究費</vt:lpstr>
      <vt:lpstr>委託勞務費</vt:lpstr>
      <vt:lpstr>國內差旅費</vt:lpstr>
      <vt:lpstr>國外差旅費</vt:lpstr>
      <vt:lpstr>市場驗證費</vt:lpstr>
      <vt:lpstr>人事費!Print_Area</vt:lpstr>
      <vt:lpstr>工時記錄表!Print_Area</vt:lpstr>
      <vt:lpstr>加班記錄!Print_Area</vt:lpstr>
      <vt:lpstr>市場驗證費!Print_Area</vt:lpstr>
      <vt:lpstr>材料費!Print_Area</vt:lpstr>
      <vt:lpstr>計畫經費彙總表!Print_Area</vt:lpstr>
      <vt:lpstr>國內差旅費!Print_Area</vt:lpstr>
      <vt:lpstr>國外差旅費!Print_Area</vt:lpstr>
      <vt:lpstr>設備使用記錄表!Print_Area</vt:lpstr>
      <vt:lpstr>設備使用費!Print_Area</vt:lpstr>
      <vt:lpstr>設備維護費!Print_Area</vt:lpstr>
      <vt:lpstr>顧問!Print_Area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IDB</dc:creator>
  <cp:keywords/>
  <dc:description/>
  <cp:lastModifiedBy>政隆 江</cp:lastModifiedBy>
  <cp:revision/>
  <dcterms:created xsi:type="dcterms:W3CDTF">1998-03-19T06:09:40Z</dcterms:created>
  <dcterms:modified xsi:type="dcterms:W3CDTF">2024-03-12T14:40:04Z</dcterms:modified>
  <cp:category/>
  <cp:contentStatus/>
</cp:coreProperties>
</file>