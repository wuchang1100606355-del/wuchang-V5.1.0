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66432D2B-8CA4-4E33-8ED4-F6D68D1ED9CE}" xr6:coauthVersionLast="47" xr6:coauthVersionMax="47" xr10:uidLastSave="{00000000-0000-0000-0000-000000000000}"/>
  <bookViews>
    <workbookView xWindow="1500" yWindow="0" windowWidth="19920" windowHeight="13680" xr2:uid="{00000000-000D-0000-FFFF-FFFF00000000}"/>
  </bookViews>
  <sheets>
    <sheet name="發票" sheetId="1" r:id="rId1"/>
  </sheets>
  <definedNames>
    <definedName name="_xlnm.Print_Titles" localSheetId="0">發票!$10:$10</definedName>
    <definedName name="列標題區域1..D4">發票!$C$2</definedName>
    <definedName name="列標題區域2..D11">發票!$C$5</definedName>
    <definedName name="欄標題1">資料[[#Headers],[113年社區設備補助計畫需求項目代購]]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3" i="1"/>
  <c r="B22" i="1"/>
  <c r="D21" i="1" l="1"/>
</calcChain>
</file>

<file path=xl/sharedStrings.xml><?xml version="1.0" encoding="utf-8"?>
<sst xmlns="http://schemas.openxmlformats.org/spreadsheetml/2006/main" count="40" uniqueCount="40">
  <si>
    <t>日期：</t>
  </si>
  <si>
    <t>購買項目：</t>
  </si>
  <si>
    <t xml:space="preserve">小計  </t>
  </si>
  <si>
    <t xml:space="preserve">稅率  </t>
  </si>
  <si>
    <t xml:space="preserve">營業稅  </t>
  </si>
  <si>
    <t>金額</t>
  </si>
  <si>
    <t>合計</t>
    <phoneticPr fontId="20" type="noConversion"/>
  </si>
  <si>
    <t>報價單</t>
    <phoneticPr fontId="20" type="noConversion"/>
  </si>
  <si>
    <t>五常物業規劃顧問股份有限公司</t>
    <phoneticPr fontId="20" type="noConversion"/>
  </si>
  <si>
    <t>貴寶號：</t>
    <phoneticPr fontId="20" type="noConversion"/>
  </si>
  <si>
    <t>新北市三重區五常社區發展協會</t>
    <phoneticPr fontId="20" type="noConversion"/>
  </si>
  <si>
    <t>新北市三重區仁義街161號1樓</t>
    <phoneticPr fontId="20" type="noConversion"/>
  </si>
  <si>
    <t>郵遞區號241077</t>
    <phoneticPr fontId="20" type="noConversion"/>
  </si>
  <si>
    <t>電話：0229866856</t>
    <phoneticPr fontId="20" type="noConversion"/>
  </si>
  <si>
    <t>新北市三重區五華街8號2樓</t>
    <phoneticPr fontId="20" type="noConversion"/>
  </si>
  <si>
    <t>電話： 02-29771013</t>
    <phoneticPr fontId="20" type="noConversion"/>
  </si>
  <si>
    <t>e-mail： wuchang1100606355@gmail.com</t>
    <phoneticPr fontId="20" type="noConversion"/>
  </si>
  <si>
    <t>113年社區設備補助計畫需求項目代購</t>
    <phoneticPr fontId="20" type="noConversion"/>
  </si>
  <si>
    <t>備註</t>
    <phoneticPr fontId="20" type="noConversion"/>
  </si>
  <si>
    <t>戴爾i7 7410 2IN1平板電腦</t>
    <phoneticPr fontId="20" type="noConversion"/>
  </si>
  <si>
    <t>變頻分離式空調(1級節能標章)</t>
    <phoneticPr fontId="20" type="noConversion"/>
  </si>
  <si>
    <t>支持社會企業，取之社會用之社會！</t>
    <phoneticPr fontId="20" type="noConversion"/>
  </si>
  <si>
    <t>本報價已含營業稅</t>
    <phoneticPr fontId="20" type="noConversion"/>
  </si>
  <si>
    <t>113/6/3</t>
    <phoneticPr fontId="20" type="noConversion"/>
  </si>
  <si>
    <t>單據號碼：</t>
    <phoneticPr fontId="20" type="noConversion"/>
  </si>
  <si>
    <t>新機市價NT76,000</t>
    <phoneticPr fontId="20" type="noConversion"/>
  </si>
  <si>
    <t>新機市價NT27,000</t>
    <phoneticPr fontId="20" type="noConversion"/>
  </si>
  <si>
    <t>筆記型電腦(stealth 16 studio a13v以上一年機)</t>
    <phoneticPr fontId="20" type="noConversion"/>
  </si>
  <si>
    <t>商、物、環、照  ESG社會企業</t>
    <phoneticPr fontId="20" type="noConversion"/>
  </si>
  <si>
    <t>單價5,000</t>
    <phoneticPr fontId="20" type="noConversion"/>
  </si>
  <si>
    <t>新機市價NT58,000</t>
    <phoneticPr fontId="20" type="noConversion"/>
  </si>
  <si>
    <t>冷房能力   15坪以上</t>
    <phoneticPr fontId="20" type="noConversion"/>
  </si>
  <si>
    <t>辦公課程兩用椅x12</t>
    <phoneticPr fontId="20" type="noConversion"/>
  </si>
  <si>
    <t>單價1000</t>
    <phoneticPr fontId="20" type="noConversion"/>
  </si>
  <si>
    <t>i7電腦桌上型工作站(獨顯、32GB快取DDR含應用程式授權二年機)</t>
    <phoneticPr fontId="20" type="noConversion"/>
  </si>
  <si>
    <t>辦公課程兩用桌x4</t>
    <phoneticPr fontId="20" type="noConversion"/>
  </si>
  <si>
    <t>實木主管辦公桌</t>
    <phoneticPr fontId="20" type="noConversion"/>
  </si>
  <si>
    <t>設備委託採購</t>
    <phoneticPr fontId="20" type="noConversion"/>
  </si>
  <si>
    <t>銷貨折讓</t>
    <phoneticPr fontId="20" type="noConversion"/>
  </si>
  <si>
    <t>福利品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</si>
</sst>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_(* #,##0_);_(* \(#,##0\);_(* &quot;-&quot;_);_(@_)"/>
    <numFmt numFmtId="177" formatCode="&quot;NT$&quot;#,##0.00_);\(&quot;NT$&quot;#,##0.00\)"/>
    <numFmt numFmtId="178" formatCode="_-&quot;NT$&quot;* #,##0_ ;_-&quot;NT$&quot;* \-#,##0\ ;_-&quot;NT$&quot;* &quot;-&quot;_ ;_-@_ "/>
    <numFmt numFmtId="179" formatCode="[&lt;=9999999]###\-####;\(0#\)\ ###\-####"/>
  </numFmts>
  <fonts count="23" x14ac:knownFonts="1">
    <font>
      <sz val="11"/>
      <color theme="3"/>
      <name val="Microsoft JhengHei UI"/>
      <family val="2"/>
    </font>
    <font>
      <sz val="11"/>
      <color theme="1"/>
      <name val="Microsoft JhengHei UI"/>
      <family val="2"/>
    </font>
    <font>
      <sz val="11"/>
      <color theme="0"/>
      <name val="Microsoft JhengHei UI"/>
      <family val="2"/>
    </font>
    <font>
      <sz val="11"/>
      <color rgb="FF9C0006"/>
      <name val="Microsoft JhengHei UI"/>
      <family val="2"/>
    </font>
    <font>
      <b/>
      <sz val="11"/>
      <color rgb="FFFA7D00"/>
      <name val="Microsoft JhengHei UI"/>
      <family val="2"/>
    </font>
    <font>
      <b/>
      <sz val="11"/>
      <color theme="0"/>
      <name val="Microsoft JhengHei UI"/>
      <family val="2"/>
    </font>
    <font>
      <sz val="11"/>
      <color theme="1" tint="0.14996795556505021"/>
      <name val="Microsoft JhengHei UI"/>
      <family val="2"/>
    </font>
    <font>
      <sz val="11"/>
      <color theme="3"/>
      <name val="Microsoft JhengHei UI"/>
      <family val="2"/>
    </font>
    <font>
      <sz val="11"/>
      <name val="Microsoft JhengHei UI"/>
      <family val="2"/>
    </font>
    <font>
      <sz val="11"/>
      <color rgb="FF006100"/>
      <name val="Microsoft JhengHei UI"/>
      <family val="2"/>
    </font>
    <font>
      <sz val="16"/>
      <color theme="1" tint="0.24994659260841701"/>
      <name val="Microsoft JhengHei UI"/>
      <family val="2"/>
    </font>
    <font>
      <sz val="11"/>
      <color theme="1" tint="0.24994659260841701"/>
      <name val="Microsoft JhengHei UI"/>
      <family val="2"/>
    </font>
    <font>
      <sz val="11"/>
      <color rgb="FF3F3F76"/>
      <name val="Microsoft JhengHei UI"/>
      <family val="2"/>
    </font>
    <font>
      <sz val="11"/>
      <color rgb="FFFA7D00"/>
      <name val="Microsoft JhengHei UI"/>
      <family val="2"/>
    </font>
    <font>
      <sz val="11"/>
      <color rgb="FF9C5700"/>
      <name val="Microsoft JhengHei UI"/>
      <family val="2"/>
    </font>
    <font>
      <b/>
      <i/>
      <sz val="11"/>
      <color theme="1" tint="0.14993743705557422"/>
      <name val="Microsoft JhengHei UI"/>
      <family val="2"/>
    </font>
    <font>
      <sz val="11"/>
      <color rgb="FF3F3F3F"/>
      <name val="Microsoft JhengHei UI"/>
      <family val="2"/>
    </font>
    <font>
      <sz val="28"/>
      <color theme="1" tint="0.499984740745262"/>
      <name val="Microsoft JhengHei UI"/>
      <family val="2"/>
    </font>
    <font>
      <b/>
      <sz val="11"/>
      <color theme="1"/>
      <name val="Microsoft JhengHei UI"/>
      <family val="2"/>
    </font>
    <font>
      <sz val="11"/>
      <color rgb="FFFF0000"/>
      <name val="Microsoft JhengHei UI"/>
      <family val="2"/>
    </font>
    <font>
      <sz val="9"/>
      <name val="細明體"/>
      <family val="3"/>
      <charset val="136"/>
    </font>
    <font>
      <sz val="16"/>
      <color theme="1" tint="0.24994659260841701"/>
      <name val="王漢宗中行書繁"/>
      <family val="3"/>
      <charset val="136"/>
    </font>
    <font>
      <sz val="11"/>
      <color theme="3"/>
      <name val="851tegakizatsu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 wrapText="1"/>
    </xf>
    <xf numFmtId="0" fontId="10" fillId="0" borderId="0" applyNumberFormat="0" applyFill="0" applyBorder="0" applyProtection="0"/>
    <xf numFmtId="0" fontId="7" fillId="0" borderId="0" applyNumberFormat="0" applyFill="0" applyBorder="0" applyProtection="0">
      <alignment wrapText="1"/>
    </xf>
    <xf numFmtId="0" fontId="7" fillId="0" borderId="0" applyNumberFormat="0" applyFill="0" applyBorder="0" applyProtection="0">
      <alignment vertical="top" wrapText="1"/>
    </xf>
    <xf numFmtId="0" fontId="16" fillId="0" borderId="1" applyNumberFormat="0" applyProtection="0">
      <alignment vertical="center"/>
    </xf>
    <xf numFmtId="0" fontId="11" fillId="0" borderId="1" applyNumberFormat="0" applyFill="0" applyProtection="0">
      <alignment vertical="center"/>
    </xf>
    <xf numFmtId="37" fontId="6" fillId="0" borderId="0" applyFont="0" applyFill="0" applyBorder="0" applyProtection="0">
      <alignment horizontal="left" vertical="top"/>
    </xf>
    <xf numFmtId="177" fontId="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17" fillId="0" borderId="0" applyNumberFormat="0" applyFill="0" applyProtection="0">
      <alignment horizontal="right" vertical="center"/>
    </xf>
    <xf numFmtId="0" fontId="15" fillId="0" borderId="0" applyNumberFormat="0" applyProtection="0">
      <alignment vertical="center" wrapText="1"/>
    </xf>
    <xf numFmtId="0" fontId="7" fillId="0" borderId="0" applyNumberFormat="0" applyFill="0" applyBorder="0" applyProtection="0">
      <alignment vertical="top"/>
    </xf>
    <xf numFmtId="0" fontId="18" fillId="2" borderId="1" applyNumberFormat="0" applyAlignment="0" applyProtection="0"/>
    <xf numFmtId="14" fontId="7" fillId="0" borderId="0" applyFont="0" applyFill="0" applyBorder="0"/>
    <xf numFmtId="179" fontId="7" fillId="0" borderId="0" applyFill="0" applyBorder="0">
      <alignment horizontal="left" vertical="top" wrapText="1"/>
    </xf>
    <xf numFmtId="176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9" fillId="3" borderId="0" applyNumberFormat="0" applyBorder="0" applyAlignment="0" applyProtection="0"/>
    <xf numFmtId="0" fontId="3" fillId="4" borderId="0" applyNumberFormat="0" applyBorder="0" applyAlignment="0" applyProtection="0"/>
    <xf numFmtId="0" fontId="14" fillId="5" borderId="0" applyNumberFormat="0" applyBorder="0" applyAlignment="0" applyProtection="0"/>
    <xf numFmtId="0" fontId="12" fillId="6" borderId="2" applyNumberFormat="0" applyAlignment="0" applyProtection="0"/>
    <xf numFmtId="0" fontId="4" fillId="7" borderId="2" applyNumberFormat="0" applyAlignment="0" applyProtection="0"/>
    <xf numFmtId="0" fontId="13" fillId="0" borderId="3" applyNumberFormat="0" applyFill="0" applyAlignment="0" applyProtection="0"/>
    <xf numFmtId="0" fontId="5" fillId="8" borderId="4" applyNumberFormat="0" applyAlignment="0" applyProtection="0"/>
    <xf numFmtId="0" fontId="19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>
      <alignment vertical="center" wrapText="1"/>
    </xf>
    <xf numFmtId="0" fontId="0" fillId="0" borderId="0" xfId="0" applyAlignment="1">
      <alignment horizontal="right" vertical="center"/>
    </xf>
    <xf numFmtId="0" fontId="7" fillId="0" borderId="0" xfId="2">
      <alignment wrapText="1"/>
    </xf>
    <xf numFmtId="0" fontId="7" fillId="0" borderId="0" xfId="3">
      <alignment vertical="top" wrapText="1"/>
    </xf>
    <xf numFmtId="0" fontId="11" fillId="0" borderId="1" xfId="5">
      <alignment vertical="center"/>
    </xf>
    <xf numFmtId="179" fontId="7" fillId="0" borderId="0" xfId="14">
      <alignment horizontal="left" vertical="top" wrapText="1"/>
    </xf>
    <xf numFmtId="0" fontId="18" fillId="2" borderId="1" xfId="12" applyAlignment="1">
      <alignment vertical="center"/>
    </xf>
    <xf numFmtId="0" fontId="15" fillId="0" borderId="0" xfId="10">
      <alignment vertical="center" wrapText="1"/>
    </xf>
    <xf numFmtId="14" fontId="7" fillId="0" borderId="0" xfId="13" applyFont="1"/>
    <xf numFmtId="37" fontId="7" fillId="0" borderId="0" xfId="6" applyFont="1">
      <alignment horizontal="left" vertical="top"/>
    </xf>
    <xf numFmtId="0" fontId="1" fillId="0" borderId="0" xfId="0" applyFont="1">
      <alignment vertical="center" wrapText="1"/>
    </xf>
    <xf numFmtId="0" fontId="1" fillId="0" borderId="0" xfId="0" applyFont="1" applyAlignment="1">
      <alignment horizontal="center"/>
    </xf>
    <xf numFmtId="177" fontId="1" fillId="0" borderId="0" xfId="7" applyFont="1" applyFill="1" applyBorder="1" applyAlignment="1">
      <alignment vertical="center" wrapText="1"/>
    </xf>
    <xf numFmtId="177" fontId="11" fillId="0" borderId="1" xfId="7" applyFont="1" applyBorder="1" applyAlignment="1">
      <alignment vertical="center"/>
    </xf>
    <xf numFmtId="10" fontId="11" fillId="0" borderId="1" xfId="8" applyFont="1" applyBorder="1" applyAlignment="1">
      <alignment vertical="center"/>
    </xf>
    <xf numFmtId="177" fontId="18" fillId="2" borderId="1" xfId="7" applyFont="1" applyFill="1" applyBorder="1" applyAlignment="1">
      <alignment vertical="center"/>
    </xf>
    <xf numFmtId="0" fontId="21" fillId="0" borderId="0" xfId="1" applyFont="1"/>
    <xf numFmtId="0" fontId="22" fillId="0" borderId="0" xfId="11" applyFont="1">
      <alignment vertical="top"/>
    </xf>
    <xf numFmtId="0" fontId="0" fillId="0" borderId="0" xfId="0">
      <alignment vertical="center" wrapText="1"/>
    </xf>
    <xf numFmtId="0" fontId="17" fillId="0" borderId="0" xfId="9">
      <alignment horizontal="right" vertical="center"/>
    </xf>
    <xf numFmtId="0" fontId="7" fillId="0" borderId="0" xfId="3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20% - 輔色1" xfId="26" builtinId="30" customBuiltin="1"/>
    <cellStyle name="20% - 輔色2" xfId="30" builtinId="34" customBuiltin="1"/>
    <cellStyle name="20% - 輔色3" xfId="34" builtinId="38" customBuiltin="1"/>
    <cellStyle name="20% - 輔色4" xfId="38" builtinId="42" customBuiltin="1"/>
    <cellStyle name="20% - 輔色5" xfId="42" builtinId="46" customBuiltin="1"/>
    <cellStyle name="20% - 輔色6" xfId="46" builtinId="50" customBuiltin="1"/>
    <cellStyle name="40% - 輔色1" xfId="27" builtinId="31" customBuiltin="1"/>
    <cellStyle name="40% - 輔色2" xfId="31" builtinId="35" customBuiltin="1"/>
    <cellStyle name="40% - 輔色3" xfId="35" builtinId="39" customBuiltin="1"/>
    <cellStyle name="40% - 輔色4" xfId="39" builtinId="43" customBuiltin="1"/>
    <cellStyle name="40% - 輔色5" xfId="43" builtinId="47" customBuiltin="1"/>
    <cellStyle name="40% - 輔色6" xfId="47" builtinId="51" customBuiltin="1"/>
    <cellStyle name="60% - 輔色1" xfId="28" builtinId="32" customBuiltin="1"/>
    <cellStyle name="60% - 輔色2" xfId="32" builtinId="36" customBuiltin="1"/>
    <cellStyle name="60% - 輔色3" xfId="36" builtinId="40" customBuiltin="1"/>
    <cellStyle name="60% - 輔色4" xfId="40" builtinId="44" customBuiltin="1"/>
    <cellStyle name="60% - 輔色5" xfId="44" builtinId="48" customBuiltin="1"/>
    <cellStyle name="60% - 輔色6" xfId="48" builtinId="52" customBuiltin="1"/>
    <cellStyle name="百分比" xfId="8" builtinId="5" customBuiltin="1"/>
    <cellStyle name="備註" xfId="10" builtinId="10" customBuiltin="1"/>
    <cellStyle name="標題" xfId="9" builtinId="15" customBuiltin="1"/>
    <cellStyle name="標題 1" xfId="1" builtinId="16" customBuiltin="1"/>
    <cellStyle name="標題 2" xfId="2" builtinId="17" customBuiltin="1"/>
    <cellStyle name="標題 3" xfId="3" builtinId="18" customBuiltin="1"/>
    <cellStyle name="標題 4" xfId="5" builtinId="19" customBuiltin="1"/>
    <cellStyle name="日期" xfId="13" xr:uid="{00000000-0005-0000-0000-000002000000}"/>
    <cellStyle name="輔色1" xfId="25" builtinId="29" customBuiltin="1"/>
    <cellStyle name="輔色2" xfId="29" builtinId="33" customBuiltin="1"/>
    <cellStyle name="輔色3" xfId="33" builtinId="37" customBuiltin="1"/>
    <cellStyle name="輔色4" xfId="37" builtinId="41" customBuiltin="1"/>
    <cellStyle name="輔色5" xfId="41" builtinId="45" customBuiltin="1"/>
    <cellStyle name="輔色6" xfId="45" builtinId="49" customBuiltin="1"/>
    <cellStyle name="電話號碼" xfId="14" xr:uid="{00000000-0005-0000-0000-00000C000000}"/>
    <cellStyle name="連結的儲存格" xfId="22" builtinId="24" customBuiltin="1"/>
    <cellStyle name="合計" xfId="12" builtinId="25" customBuiltin="1"/>
    <cellStyle name="壞" xfId="18" builtinId="27" customBuiltin="1"/>
    <cellStyle name="好" xfId="17" builtinId="26" customBuiltin="1"/>
    <cellStyle name="貨幣" xfId="7" builtinId="4" customBuiltin="1"/>
    <cellStyle name="貨幣 [0]" xfId="16" builtinId="7" customBuiltin="1"/>
    <cellStyle name="計算方式" xfId="21" builtinId="22" customBuiltin="1"/>
    <cellStyle name="檢查儲存格" xfId="23" builtinId="23" customBuiltin="1"/>
    <cellStyle name="警告文字" xfId="24" builtinId="11" customBuiltin="1"/>
    <cellStyle name="千分位" xfId="6" builtinId="3" customBuiltin="1"/>
    <cellStyle name="千分位[0]" xfId="15" builtinId="6" customBuiltin="1"/>
    <cellStyle name="中等" xfId="19" builtinId="28" customBuiltin="1"/>
    <cellStyle name="輸出" xfId="4" builtinId="21" customBuiltin="1"/>
    <cellStyle name="輸入" xfId="20" builtinId="20" customBuiltin="1"/>
    <cellStyle name="說明文字" xfId="11" builtinId="53" customBuiltin="1"/>
    <cellStyle name="一般" xfId="0" builtinId="0" customBuiltin="1"/>
  </cellStyles>
  <dxfs count="10">
    <dxf>
      <font>
        <strike val="0"/>
        <outline val="0"/>
        <shadow val="0"/>
        <u val="none"/>
        <vertAlign val="baseline"/>
        <sz val="11"/>
        <color theme="1"/>
        <name val="Microsoft JhengHei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 U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6795556505021"/>
        <name val="Cambria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Microsoft JhengHei UI"/>
        <family val="2"/>
        <scheme val="none"/>
      </font>
    </dxf>
    <dxf>
      <font>
        <b val="0"/>
        <i val="0"/>
        <color theme="1"/>
      </font>
      <fill>
        <patternFill patternType="solid">
          <fgColor theme="4" tint="0.79995117038483843"/>
          <bgColor theme="0" tint="-4.9989318521683403E-2"/>
        </patternFill>
      </fill>
    </dxf>
    <dxf>
      <font>
        <b/>
        <i val="0"/>
        <color theme="1"/>
      </font>
    </dxf>
    <dxf>
      <font>
        <b/>
        <i val="0"/>
        <color theme="1"/>
      </font>
      <fill>
        <patternFill patternType="none">
          <bgColor auto="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color theme="1" tint="0.34998626667073579"/>
      </font>
      <fill>
        <patternFill>
          <bgColor theme="0" tint="-0.14996795556505021"/>
        </patternFill>
      </fill>
      <border>
        <left/>
        <right/>
        <top style="medium">
          <color theme="1" tint="0.24994659260841701"/>
        </top>
        <bottom style="medium">
          <color theme="1" tint="0.24994659260841701"/>
        </bottom>
      </border>
    </dxf>
    <dxf>
      <font>
        <b val="0"/>
        <i val="0"/>
        <color theme="1"/>
      </font>
      <border>
        <left/>
        <right/>
        <top style="medium">
          <color theme="1" tint="0.24994659260841701"/>
        </top>
        <bottom style="medium">
          <color theme="1" tint="0.24994659260841701"/>
        </bottom>
        <horizontal style="thin">
          <color theme="1" tint="0.24994659260841701"/>
        </horizontal>
      </border>
    </dxf>
  </dxfs>
  <tableStyles count="1" defaultPivotStyle="PivotStyleLight16">
    <tableStyle name="含營業稅的發票" pivot="0" count="5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8</xdr:row>
      <xdr:rowOff>0</xdr:rowOff>
    </xdr:from>
    <xdr:to>
      <xdr:col>5</xdr:col>
      <xdr:colOff>1993900</xdr:colOff>
      <xdr:row>11</xdr:row>
      <xdr:rowOff>6350</xdr:rowOff>
    </xdr:to>
    <xdr:sp macro="" textlink="">
      <xdr:nvSpPr>
        <xdr:cNvPr id="4" name="矩形圖說文字 3" descr="若要新增新的一列，請移至表格右下方的儲存格 ([小計] 數字的正上方)，然後按 Tab 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905500" y="2921000"/>
          <a:ext cx="1949450" cy="1276350"/>
        </a:xfrm>
        <a:prstGeom prst="wedgeRectCallout">
          <a:avLst>
            <a:gd name="adj1" fmla="val -58964"/>
            <a:gd name="adj2" fmla="val 20839"/>
          </a:avLst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zh-tw" sz="1100" baseline="0">
              <a:solidFill>
                <a:schemeClr val="tx1">
                  <a:lumMod val="75000"/>
                  <a:lumOff val="25000"/>
                </a:schemeClr>
              </a:solidFill>
              <a:latin typeface="Microsoft JhengHei UI" panose="020B0604030504040204" pitchFamily="34" charset="-120"/>
              <a:ea typeface="Microsoft JhengHei UI" panose="020B0604030504040204" pitchFamily="34" charset="-120"/>
            </a:rPr>
            <a:t>若要新增新的一列，請移至表格右下方的儲存格 ([小計] 數字的正上方)，然後按 Tab 鍵。</a:t>
          </a:r>
          <a:endParaRPr lang="en-US" sz="1100">
            <a:solidFill>
              <a:schemeClr val="tx1">
                <a:lumMod val="75000"/>
                <a:lumOff val="25000"/>
              </a:schemeClr>
            </a:solidFill>
            <a:latin typeface="Microsoft JhengHei UI" panose="020B0604030504040204" pitchFamily="34" charset="-120"/>
            <a:ea typeface="Microsoft JhengHei UI" panose="020B0604030504040204" pitchFamily="34" charset="-120"/>
          </a:endParaRPr>
        </a:p>
      </xdr:txBody>
    </xdr:sp>
    <xdr:clientData fPrintsWithSheet="0"/>
  </xdr:twoCellAnchor>
  <xdr:twoCellAnchor editAs="oneCell">
    <xdr:from>
      <xdr:col>1</xdr:col>
      <xdr:colOff>320067</xdr:colOff>
      <xdr:row>2</xdr:row>
      <xdr:rowOff>0</xdr:rowOff>
    </xdr:from>
    <xdr:to>
      <xdr:col>1</xdr:col>
      <xdr:colOff>952582</xdr:colOff>
      <xdr:row>4</xdr:row>
      <xdr:rowOff>61015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151B8FF-933F-76C1-3E93-DF3A96E4F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8187" y="822960"/>
          <a:ext cx="632515" cy="6325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資料" displayName="資料" ref="B10:D20" dataDxfId="4" totalsRowDxfId="3">
  <tableColumns count="3">
    <tableColumn id="1" xr3:uid="{00000000-0010-0000-0000-000001000000}" name="113年社區設備補助計畫需求項目代購" totalsRowLabel="合計" dataDxfId="2"/>
    <tableColumn id="3" xr3:uid="{00000000-0010-0000-0000-000003000000}" name="備註" dataDxfId="1"/>
    <tableColumn id="4" xr3:uid="{00000000-0010-0000-0000-000004000000}" name="金額" totalsRowFunction="count" dataDxfId="0"/>
  </tableColumns>
  <tableStyleInfo name="含營業稅的發票" showFirstColumn="0" showLastColumn="0" showRowStripes="1" showColumnStripes="0"/>
  <extLst>
    <ext xmlns:x14="http://schemas.microsoft.com/office/spreadsheetml/2009/9/main" uri="{504A1905-F514-4f6f-8877-14C23A59335A}">
      <x14:table altTextSummary="輸入發票項目描述和金額。會在表格結尾處自動計算小計"/>
    </ext>
  </extLst>
</table>
</file>

<file path=xl/theme/theme1.xml><?xml version="1.0" encoding="utf-8"?>
<a:theme xmlns:a="http://schemas.openxmlformats.org/drawingml/2006/main" name="Office Theme">
  <a:themeElements>
    <a:clrScheme name="Invoice with Sales Tax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Invoice with Sales Tax">
      <a:majorFont>
        <a:latin typeface="Tahoma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  <pageSetUpPr fitToPage="1"/>
  </sheetPr>
  <dimension ref="B1:D25"/>
  <sheetViews>
    <sheetView showGridLines="0" tabSelected="1" zoomScaleNormal="100" workbookViewId="0">
      <selection activeCell="C14" sqref="C14"/>
    </sheetView>
  </sheetViews>
  <sheetFormatPr defaultRowHeight="30" customHeight="1" x14ac:dyDescent="0.3"/>
  <cols>
    <col min="1" max="1" width="2.59765625" customWidth="1"/>
    <col min="2" max="2" width="39.09765625" customWidth="1"/>
    <col min="3" max="3" width="10.19921875" customWidth="1"/>
    <col min="4" max="4" width="26.09765625" customWidth="1"/>
    <col min="5" max="5" width="2.59765625" customWidth="1"/>
    <col min="6" max="6" width="27.3984375" customWidth="1"/>
  </cols>
  <sheetData>
    <row r="1" spans="2:4" ht="35.1" customHeight="1" x14ac:dyDescent="0.4">
      <c r="B1" s="16" t="s">
        <v>8</v>
      </c>
      <c r="C1" s="19" t="s">
        <v>7</v>
      </c>
      <c r="D1" s="19"/>
    </row>
    <row r="2" spans="2:4" ht="30" customHeight="1" x14ac:dyDescent="0.3">
      <c r="B2" s="17" t="s">
        <v>28</v>
      </c>
      <c r="C2" s="2" t="s">
        <v>0</v>
      </c>
      <c r="D2" s="8" t="s">
        <v>23</v>
      </c>
    </row>
    <row r="3" spans="2:4" ht="15" customHeight="1" x14ac:dyDescent="0.3">
      <c r="B3" s="18"/>
      <c r="C3" s="2" t="s">
        <v>24</v>
      </c>
      <c r="D3" s="9">
        <v>130001</v>
      </c>
    </row>
    <row r="4" spans="2:4" ht="30" customHeight="1" x14ac:dyDescent="0.3">
      <c r="B4" s="18"/>
      <c r="C4" s="3" t="s">
        <v>1</v>
      </c>
      <c r="D4" s="3" t="s">
        <v>37</v>
      </c>
    </row>
    <row r="5" spans="2:4" ht="14.4" x14ac:dyDescent="0.3">
      <c r="B5" s="18"/>
      <c r="C5" s="3" t="s">
        <v>9</v>
      </c>
      <c r="D5" s="3" t="s">
        <v>10</v>
      </c>
    </row>
    <row r="6" spans="2:4" ht="14.4" x14ac:dyDescent="0.3">
      <c r="B6" s="3" t="s">
        <v>14</v>
      </c>
      <c r="C6" s="3"/>
      <c r="D6" s="3" t="s">
        <v>11</v>
      </c>
    </row>
    <row r="7" spans="2:4" ht="14.4" x14ac:dyDescent="0.3">
      <c r="B7" s="20">
        <v>241033</v>
      </c>
      <c r="C7" s="3"/>
      <c r="D7" s="3"/>
    </row>
    <row r="8" spans="2:4" ht="14.4" x14ac:dyDescent="0.3">
      <c r="B8" s="5" t="s">
        <v>15</v>
      </c>
      <c r="C8" s="3"/>
      <c r="D8" s="3" t="s">
        <v>12</v>
      </c>
    </row>
    <row r="9" spans="2:4" ht="39.9" customHeight="1" x14ac:dyDescent="0.3">
      <c r="B9" s="5" t="s">
        <v>16</v>
      </c>
      <c r="C9" s="3"/>
      <c r="D9" s="5" t="s">
        <v>13</v>
      </c>
    </row>
    <row r="10" spans="2:4" ht="30" customHeight="1" x14ac:dyDescent="0.3">
      <c r="B10" t="s">
        <v>17</v>
      </c>
      <c r="C10" s="22" t="s">
        <v>18</v>
      </c>
      <c r="D10" s="1" t="s">
        <v>5</v>
      </c>
    </row>
    <row r="11" spans="2:4" ht="30" customHeight="1" x14ac:dyDescent="0.3">
      <c r="B11" s="10" t="s">
        <v>27</v>
      </c>
      <c r="C11" s="21" t="s">
        <v>25</v>
      </c>
      <c r="D11" s="12">
        <v>35000</v>
      </c>
    </row>
    <row r="12" spans="2:4" ht="30" customHeight="1" x14ac:dyDescent="0.3">
      <c r="B12" s="10" t="s">
        <v>34</v>
      </c>
      <c r="C12" s="21" t="s">
        <v>30</v>
      </c>
      <c r="D12" s="12">
        <v>25000</v>
      </c>
    </row>
    <row r="13" spans="2:4" ht="30" customHeight="1" x14ac:dyDescent="0.3">
      <c r="B13" s="10" t="s">
        <v>19</v>
      </c>
      <c r="C13" s="21" t="s">
        <v>26</v>
      </c>
      <c r="D13" s="12">
        <v>13000</v>
      </c>
    </row>
    <row r="14" spans="2:4" ht="30" customHeight="1" x14ac:dyDescent="0.3">
      <c r="B14" s="10" t="s">
        <v>20</v>
      </c>
      <c r="C14" s="21" t="s">
        <v>31</v>
      </c>
      <c r="D14" s="12">
        <v>27000</v>
      </c>
    </row>
    <row r="15" spans="2:4" ht="30" customHeight="1" x14ac:dyDescent="0.3">
      <c r="B15" s="10" t="s">
        <v>36</v>
      </c>
      <c r="C15" s="21" t="s">
        <v>39</v>
      </c>
      <c r="D15" s="12">
        <v>9000</v>
      </c>
    </row>
    <row r="16" spans="2:4" ht="30" customHeight="1" x14ac:dyDescent="0.3">
      <c r="B16" s="10" t="s">
        <v>35</v>
      </c>
      <c r="C16" s="21" t="s">
        <v>29</v>
      </c>
      <c r="D16" s="12">
        <v>20000</v>
      </c>
    </row>
    <row r="17" spans="2:4" ht="30" customHeight="1" x14ac:dyDescent="0.3">
      <c r="B17" s="10" t="s">
        <v>32</v>
      </c>
      <c r="C17" s="23" t="s">
        <v>33</v>
      </c>
      <c r="D17" s="12">
        <v>12000</v>
      </c>
    </row>
    <row r="18" spans="2:4" ht="30" customHeight="1" x14ac:dyDescent="0.3">
      <c r="B18" s="10"/>
      <c r="C18" s="23"/>
      <c r="D18" s="12"/>
    </row>
    <row r="19" spans="2:4" ht="30" customHeight="1" x14ac:dyDescent="0.3">
      <c r="B19" s="10" t="s">
        <v>22</v>
      </c>
      <c r="C19" s="11"/>
      <c r="D19" s="12"/>
    </row>
    <row r="20" spans="2:4" ht="30" customHeight="1" x14ac:dyDescent="0.3">
      <c r="B20" s="10"/>
      <c r="C20" s="11"/>
      <c r="D20" s="12"/>
    </row>
    <row r="21" spans="2:4" ht="30" customHeight="1" x14ac:dyDescent="0.3">
      <c r="C21" s="4" t="s">
        <v>2</v>
      </c>
      <c r="D21" s="13">
        <f>SUBTOTAL(109,資料[金額])</f>
        <v>141000</v>
      </c>
    </row>
    <row r="22" spans="2:4" ht="30" customHeight="1" x14ac:dyDescent="0.3">
      <c r="B22" s="18" t="str">
        <f>"報價有效期限一個月、如蒙惠雇請印出用印或電子簽署後回傳本公司電子郵件"</f>
        <v>報價有效期限一個月、如蒙惠雇請印出用印或電子簽署後回傳本公司電子郵件</v>
      </c>
      <c r="C22" s="4" t="s">
        <v>3</v>
      </c>
      <c r="D22" s="14">
        <v>0.06</v>
      </c>
    </row>
    <row r="23" spans="2:4" ht="30" customHeight="1" x14ac:dyDescent="0.3">
      <c r="B23" s="18"/>
      <c r="C23" s="4" t="s">
        <v>4</v>
      </c>
      <c r="D23" s="13">
        <f>D21*D22</f>
        <v>8460</v>
      </c>
    </row>
    <row r="24" spans="2:4" ht="30" customHeight="1" x14ac:dyDescent="0.3">
      <c r="B24" s="18"/>
      <c r="C24" s="4" t="s">
        <v>38</v>
      </c>
      <c r="D24" s="13">
        <v>8460</v>
      </c>
    </row>
    <row r="25" spans="2:4" ht="30" customHeight="1" x14ac:dyDescent="0.3">
      <c r="B25" s="7" t="s">
        <v>21</v>
      </c>
      <c r="C25" s="6" t="s">
        <v>6</v>
      </c>
      <c r="D25" s="15">
        <f>D21+D23-D24</f>
        <v>141000</v>
      </c>
    </row>
  </sheetData>
  <mergeCells count="3">
    <mergeCell ref="B22:B24"/>
    <mergeCell ref="C1:D1"/>
    <mergeCell ref="B3:B5"/>
  </mergeCells>
  <phoneticPr fontId="20" type="noConversion"/>
  <dataValidations count="35">
    <dataValidation allowBlank="1" showInputMessage="1" showErrorMessage="1" prompt="在此工作表中建立含營業稅的發票。在儲存格 B6 到 B9 中輸入公司詳細資料，並從儲存格 B10 開始的表格中輸入發票詳細資料。儲存格 F9 為提示文字" sqref="A1" xr:uid="{00000000-0002-0000-0000-000000000000}"/>
    <dataValidation allowBlank="1" showInputMessage="1" showErrorMessage="1" prompt="此儲存格為本工作表的標題。在儲存格 C2 到 D4 中輸入日期、發票號碼和專案或服務描述。在儲存格 C5 到 D9 中輸入付款人詳細資料" sqref="C1:D1" xr:uid="{00000000-0002-0000-0000-000001000000}"/>
    <dataValidation allowBlank="1" showInputMessage="1" showErrorMessage="1" prompt="在此儲存格中輸入公司名稱，並在下方的儲存格中輸入公司標語" sqref="B1" xr:uid="{00000000-0002-0000-0000-000002000000}"/>
    <dataValidation allowBlank="1" showInputMessage="1" showErrorMessage="1" prompt="在此儲存格中輸入公司標語，並在下方的儲存格中新增公司標誌" sqref="B2" xr:uid="{00000000-0002-0000-0000-000003000000}"/>
    <dataValidation allowBlank="1" showInputMessage="1" showErrorMessage="1" prompt="在此儲存格中輸入公司街道地址" sqref="B6" xr:uid="{00000000-0002-0000-0000-000004000000}"/>
    <dataValidation allowBlank="1" showInputMessage="1" showErrorMessage="1" prompt="在此儲存格中輸入公司郵遞區號和縣/市" sqref="B7" xr:uid="{00000000-0002-0000-0000-000005000000}"/>
    <dataValidation allowBlank="1" showInputMessage="1" showErrorMessage="1" prompt="在此儲存格中輸入公司電話號碼" sqref="B8" xr:uid="{00000000-0002-0000-0000-000006000000}"/>
    <dataValidation allowBlank="1" showInputMessage="1" showErrorMessage="1" prompt="在此儲存格中輸入公司傳真號碼" sqref="B9" xr:uid="{00000000-0002-0000-0000-000007000000}"/>
    <dataValidation allowBlank="1" showInputMessage="1" showErrorMessage="1" prompt="在右側儲存格中輸入付款人詳細資料" sqref="C5:C9" xr:uid="{00000000-0002-0000-0000-000008000000}"/>
    <dataValidation allowBlank="1" showInputMessage="1" showErrorMessage="1" prompt="在此儲存格中輸入付款人：公司名稱" sqref="D6" xr:uid="{00000000-0002-0000-0000-000009000000}"/>
    <dataValidation allowBlank="1" showInputMessage="1" showErrorMessage="1" prompt="在此儲存格中輸入付款人：姓名" sqref="D5" xr:uid="{00000000-0002-0000-0000-00000A000000}"/>
    <dataValidation allowBlank="1" showInputMessage="1" showErrorMessage="1" prompt="在此儲存格中輸入付款人：街道地址" sqref="D7" xr:uid="{00000000-0002-0000-0000-00000B000000}"/>
    <dataValidation allowBlank="1" showInputMessage="1" showErrorMessage="1" prompt="在此儲存格中輸入付款人：郵遞區號和縣/市" sqref="D8" xr:uid="{00000000-0002-0000-0000-00000C000000}"/>
    <dataValidation allowBlank="1" showInputMessage="1" showErrorMessage="1" prompt="在此儲存格中輸入付款人：電話號碼" sqref="D9" xr:uid="{00000000-0002-0000-0000-00000D000000}"/>
    <dataValidation allowBlank="1" showInputMessage="1" showErrorMessage="1" prompt="在此標題下方的欄中輸入描述。此欄下方為項目總計" sqref="B10" xr:uid="{00000000-0002-0000-0000-00000E000000}"/>
    <dataValidation allowBlank="1" showInputMessage="1" showErrorMessage="1" prompt="在此標題下方的欄中輸入金額。在表格下方輸入稅率和其他金額。此欄下方會自動計算小計、營業稅和總計" sqref="D10" xr:uid="{00000000-0002-0000-0000-00000F000000}"/>
    <dataValidation allowBlank="1" showInputMessage="1" showErrorMessage="1" prompt="右側儲存格中會自動計算小計" sqref="C21" xr:uid="{00000000-0002-0000-0000-000010000000}"/>
    <dataValidation allowBlank="1" showInputMessage="1" showErrorMessage="1" prompt="此儲存格中會自動計算小計" sqref="D21" xr:uid="{00000000-0002-0000-0000-000011000000}"/>
    <dataValidation allowBlank="1" showInputMessage="1" showErrorMessage="1" prompt="在右側儲存格中輸入稅率" sqref="C22" xr:uid="{00000000-0002-0000-0000-000012000000}"/>
    <dataValidation allowBlank="1" showInputMessage="1" showErrorMessage="1" prompt="在此儲存格中輸入稅率" sqref="D22" xr:uid="{00000000-0002-0000-0000-000013000000}"/>
    <dataValidation allowBlank="1" showInputMessage="1" showErrorMessage="1" prompt="右側儲存格中會自動計算營業稅金額" sqref="C23" xr:uid="{00000000-0002-0000-0000-000014000000}"/>
    <dataValidation allowBlank="1" showInputMessage="1" showErrorMessage="1" prompt="此儲存格中會自動計算營業稅金額" sqref="D23" xr:uid="{00000000-0002-0000-0000-000015000000}"/>
    <dataValidation allowBlank="1" showInputMessage="1" showErrorMessage="1" prompt="在右側儲存格中輸入其他金額" sqref="C24" xr:uid="{00000000-0002-0000-0000-000016000000}"/>
    <dataValidation allowBlank="1" showInputMessage="1" showErrorMessage="1" prompt="在此儲存格中輸入其他金額" sqref="D24" xr:uid="{00000000-0002-0000-0000-000017000000}"/>
    <dataValidation allowBlank="1" showInputMessage="1" showErrorMessage="1" prompt="右側儲存格中會自動計算總計" sqref="C25" xr:uid="{00000000-0002-0000-0000-000018000000}"/>
    <dataValidation allowBlank="1" showInputMessage="1" showErrorMessage="1" prompt="此儲存格中會自動計算總計" sqref="D25" xr:uid="{00000000-0002-0000-0000-000019000000}"/>
    <dataValidation allowBlank="1" showInputMessage="1" showErrorMessage="1" prompt="此儲存格中會自動更新公司名稱。在此儲存格中加上連絡人姓名、電話號碼和電子郵件地址" sqref="B22:B24" xr:uid="{00000000-0002-0000-0000-00001A000000}"/>
    <dataValidation allowBlank="1" showInputMessage="1" showErrorMessage="1" prompt="在此標題中輸入自訂欄位，並在此標題下方的欄中輸入對應的資料" sqref="C10" xr:uid="{00000000-0002-0000-0000-00001B000000}"/>
    <dataValidation allowBlank="1" showInputMessage="1" showErrorMessage="1" prompt="在右側儲存格中輸入發票日期" sqref="C2" xr:uid="{00000000-0002-0000-0000-00001C000000}"/>
    <dataValidation allowBlank="1" showInputMessage="1" showErrorMessage="1" prompt="在此儲存格中輸入發票日期" sqref="D2" xr:uid="{00000000-0002-0000-0000-00001D000000}"/>
    <dataValidation allowBlank="1" showInputMessage="1" showErrorMessage="1" prompt="在右側儲存格中輸入發票號碼" sqref="C3" xr:uid="{00000000-0002-0000-0000-00001E000000}"/>
    <dataValidation allowBlank="1" showInputMessage="1" showErrorMessage="1" prompt="在此儲存格中輸入發票號碼" sqref="D3" xr:uid="{00000000-0002-0000-0000-00001F000000}"/>
    <dataValidation allowBlank="1" showInputMessage="1" showErrorMessage="1" prompt="在右側儲存格中輸入專案或服務描述" sqref="C4" xr:uid="{00000000-0002-0000-0000-000020000000}"/>
    <dataValidation allowBlank="1" showInputMessage="1" showErrorMessage="1" prompt="在此儲存格中輸入專案或服務描述" sqref="D4" xr:uid="{00000000-0002-0000-0000-000021000000}"/>
    <dataValidation allowBlank="1" showInputMessage="1" showErrorMessage="1" prompt="在此儲存格中新增公司標誌" sqref="B3:B5" xr:uid="{00000000-0002-0000-0000-000022000000}"/>
  </dataValidations>
  <printOptions horizontalCentered="1"/>
  <pageMargins left="0.5" right="0.5" top="0.75" bottom="0.75" header="0.3" footer="0.3"/>
  <pageSetup paperSize="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TM03986960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4</vt:i4>
      </vt:variant>
    </vt:vector>
  </HeadingPairs>
  <TitlesOfParts>
    <vt:vector size="5" baseType="lpstr">
      <vt:lpstr>發票</vt:lpstr>
      <vt:lpstr>發票!Print_Titles</vt:lpstr>
      <vt:lpstr>列標題區域1..D4</vt:lpstr>
      <vt:lpstr>列標題區域2..D11</vt:lpstr>
      <vt:lpstr>欄標題1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2021-12-28T18:17:48Z</dcterms:created>
  <dcterms:modified xsi:type="dcterms:W3CDTF">2024-06-04T19:42:47Z</dcterms:modified>
</cp:coreProperties>
</file>