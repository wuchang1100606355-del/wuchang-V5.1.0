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0930\Dropbox\社區產業\貸款\"/>
    </mc:Choice>
  </mc:AlternateContent>
  <xr:revisionPtr revIDLastSave="0" documentId="13_ncr:1_{A0A2FD40-7081-4614-B468-07CB714156FB}" xr6:coauthVersionLast="47" xr6:coauthVersionMax="47" xr10:uidLastSave="{00000000-0000-0000-0000-000000000000}"/>
  <bookViews>
    <workbookView xWindow="11424" yWindow="0" windowWidth="11712" windowHeight="13776" xr2:uid="{79304B7B-FDA2-456F-A6A8-C143E58D908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37" i="1"/>
  <c r="F42" i="1"/>
  <c r="F46" i="1"/>
  <c r="F50" i="1"/>
  <c r="F20" i="1"/>
  <c r="F16" i="1"/>
  <c r="F8" i="1"/>
  <c r="F21" i="1" s="1"/>
  <c r="E50" i="1"/>
  <c r="E46" i="1"/>
  <c r="E51" i="1" s="1"/>
  <c r="E42" i="1"/>
  <c r="E37" i="1"/>
  <c r="E30" i="1"/>
  <c r="E20" i="1"/>
  <c r="E16" i="1"/>
  <c r="E8" i="1"/>
  <c r="E21" i="1" s="1"/>
  <c r="E52" i="1" s="1"/>
  <c r="F51" i="1" l="1"/>
  <c r="F52" i="1" s="1"/>
</calcChain>
</file>

<file path=xl/sharedStrings.xml><?xml version="1.0" encoding="utf-8"?>
<sst xmlns="http://schemas.openxmlformats.org/spreadsheetml/2006/main" count="81" uniqueCount="77">
  <si>
    <t>門</t>
  </si>
  <si>
    <t>款</t>
  </si>
  <si>
    <t>項</t>
  </si>
  <si>
    <t>科目</t>
  </si>
  <si>
    <t>備註</t>
  </si>
  <si>
    <t>商業收入</t>
  </si>
  <si>
    <t>按聊閣重新店經驗每月邊咧20萬元</t>
  </si>
  <si>
    <t>物業及委託收入</t>
  </si>
  <si>
    <t>協會全年計畫規模約為200萬元，依合約收入20萬元</t>
  </si>
  <si>
    <t>物業合約目前僅有1案全年36萬元</t>
  </si>
  <si>
    <t>補助收入</t>
  </si>
  <si>
    <t>依本司資本額半數計算SIIR150萬元人力補貼目前規劃一據點現行規範補助為3.4萬X15=51萬元；銀髮、婦女各10萬元業務費用</t>
  </si>
  <si>
    <t>營業收入項小計</t>
  </si>
  <si>
    <t>其他收入</t>
  </si>
  <si>
    <t>不做預估</t>
  </si>
  <si>
    <t>代收款項</t>
  </si>
  <si>
    <t>勞健保勞工負擔及勞退自提</t>
  </si>
  <si>
    <t>孳息</t>
  </si>
  <si>
    <t>營業外收入小計</t>
  </si>
  <si>
    <t>股本收入</t>
  </si>
  <si>
    <t>一般股280,000股，面額10元</t>
  </si>
  <si>
    <t>特別股 20,000股，面額10元</t>
  </si>
  <si>
    <t>資本公積</t>
  </si>
  <si>
    <t>股東資本項小計</t>
  </si>
  <si>
    <t>永續發展基金(法定盈餘)</t>
  </si>
  <si>
    <t>勞工組織基金</t>
  </si>
  <si>
    <t>由勞工組織決定額度，本司提撥相同金額騎出暫定每名/月提撥500元，本項由盈餘勞工分配額提撥</t>
  </si>
  <si>
    <t>代管基金</t>
  </si>
  <si>
    <t>收託代管基金，如大樓管委會託管、五常社區發展基金</t>
  </si>
  <si>
    <t>各類基金項小計</t>
  </si>
  <si>
    <t>借方總計</t>
  </si>
  <si>
    <t>貸方統計表                                  單位：新台幣元</t>
  </si>
  <si>
    <r>
      <t>薪資支出</t>
    </r>
    <r>
      <rPr>
        <b/>
        <sz val="12"/>
        <color theme="1"/>
        <rFont val="標楷體"/>
        <family val="4"/>
        <charset val="136"/>
      </rPr>
      <t>A</t>
    </r>
    <r>
      <rPr>
        <sz val="12"/>
        <color theme="1"/>
        <rFont val="標楷體"/>
        <family val="4"/>
        <charset val="136"/>
      </rPr>
      <t>項</t>
    </r>
  </si>
  <si>
    <t>27,740*5</t>
  </si>
  <si>
    <t>薪資支出B項</t>
  </si>
  <si>
    <t>董事長20營運長18經理16協理14高等專員12初等專員10</t>
  </si>
  <si>
    <t>勞工保險費</t>
  </si>
  <si>
    <r>
      <t>230.880.</t>
    </r>
    <r>
      <rPr>
        <u/>
        <sz val="12"/>
        <color theme="1"/>
        <rFont val="標楷體"/>
        <family val="4"/>
        <charset val="136"/>
      </rPr>
      <t>00</t>
    </r>
  </si>
  <si>
    <t>董事長1、營運長1、經理1、協理1、高專1</t>
  </si>
  <si>
    <t>勞工健保費</t>
  </si>
  <si>
    <t>勞工組織費</t>
  </si>
  <si>
    <t>每人500</t>
  </si>
  <si>
    <t>勞工分紅及福利費用</t>
  </si>
  <si>
    <t>勞工教育訓練費</t>
  </si>
  <si>
    <t>人事費用小計</t>
  </si>
  <si>
    <t>辦公設備採購</t>
  </si>
  <si>
    <t>筆電3X50K=150K,桌椅20K</t>
  </si>
  <si>
    <t>行政耗材費</t>
  </si>
  <si>
    <t>文具、影印紙、文書器材</t>
  </si>
  <si>
    <t>水電費</t>
  </si>
  <si>
    <t>每月2萬計</t>
  </si>
  <si>
    <t>點心飲品</t>
  </si>
  <si>
    <t>每人每日100計，用餘歸直營商店營收</t>
  </si>
  <si>
    <t>設備維護費</t>
  </si>
  <si>
    <t>辦公費小計</t>
  </si>
  <si>
    <t>設備採購費</t>
  </si>
  <si>
    <t>咖啡機280,000+製冰機70,000+.磨豆機30,000+冰箱50,000,客桌椅30,000，技術及商標轉移220,000</t>
  </si>
  <si>
    <t>修繕費</t>
  </si>
  <si>
    <t>物業及商業依權重分攤3/7應屬合宜</t>
  </si>
  <si>
    <t>材料費</t>
  </si>
  <si>
    <t>包材</t>
  </si>
  <si>
    <t>技術轉移費(營運成本)</t>
  </si>
  <si>
    <t>驗證活動餐費</t>
  </si>
  <si>
    <t>臨時人員工資</t>
  </si>
  <si>
    <t>驗證紀念餐券</t>
  </si>
  <si>
    <t>行銷暨功能驗證費</t>
  </si>
  <si>
    <t>AI智慧社區服務系統開發</t>
  </si>
  <si>
    <t>社區專勤隊勞務費用</t>
  </si>
  <si>
    <t>無人保全系統委託開發</t>
  </si>
  <si>
    <t>開發或勞務委外費用</t>
  </si>
  <si>
    <t>貸項合計</t>
  </si>
  <si>
    <t>股利及業主權益</t>
  </si>
  <si>
    <t>借方統計表                                               單位：新台幣元</t>
    <phoneticPr fontId="7" type="noConversion"/>
  </si>
  <si>
    <t>五常物業規劃股份有限公司營運預算書</t>
    <phoneticPr fontId="7" type="noConversion"/>
  </si>
  <si>
    <t>第一年</t>
    <phoneticPr fontId="7" type="noConversion"/>
  </si>
  <si>
    <t>第二年</t>
    <phoneticPr fontId="7" type="noConversion"/>
  </si>
  <si>
    <r>
      <t>230.880.</t>
    </r>
    <r>
      <rPr>
        <u/>
        <sz val="12"/>
        <color theme="1"/>
        <rFont val="標楷體"/>
        <family val="4"/>
        <charset val="136"/>
      </rPr>
      <t>00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</si>
</sst>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);[Red]\(#,##0.00\)"/>
  </numFmts>
  <fonts count="8" x14ac:knownFonts="1">
    <font>
      <sz val="12"/>
      <color theme="1"/>
      <name val="新細明體"/>
      <family val="2"/>
      <charset val="136"/>
      <scheme val="minor"/>
    </font>
    <font>
      <sz val="24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u/>
      <sz val="12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right" vertical="center" wrapText="1"/>
    </xf>
    <xf numFmtId="176" fontId="4" fillId="0" borderId="5" xfId="0" applyNumberFormat="1" applyFont="1" applyBorder="1" applyAlignment="1">
      <alignment horizontal="right" vertical="center" wrapText="1"/>
    </xf>
    <xf numFmtId="176" fontId="2" fillId="0" borderId="6" xfId="0" applyNumberFormat="1" applyFont="1" applyBorder="1" applyAlignment="1">
      <alignment horizontal="right" vertical="center" wrapText="1"/>
    </xf>
    <xf numFmtId="176" fontId="5" fillId="0" borderId="5" xfId="0" applyNumberFormat="1" applyFont="1" applyBorder="1" applyAlignment="1">
      <alignment horizontal="right" vertical="center" wrapText="1"/>
    </xf>
    <xf numFmtId="176" fontId="2" fillId="4" borderId="5" xfId="0" applyNumberFormat="1" applyFont="1" applyFill="1" applyBorder="1" applyAlignment="1">
      <alignment horizontal="right" vertical="center" wrapText="1"/>
    </xf>
    <xf numFmtId="176" fontId="4" fillId="4" borderId="5" xfId="0" applyNumberFormat="1" applyFont="1" applyFill="1" applyBorder="1" applyAlignment="1">
      <alignment horizontal="right" vertical="center" wrapText="1"/>
    </xf>
    <xf numFmtId="176" fontId="2" fillId="3" borderId="5" xfId="0" applyNumberFormat="1" applyFont="1" applyFill="1" applyBorder="1" applyAlignment="1">
      <alignment horizontal="right" vertical="center" wrapText="1"/>
    </xf>
    <xf numFmtId="176" fontId="4" fillId="3" borderId="5" xfId="0" applyNumberFormat="1" applyFont="1" applyFill="1" applyBorder="1" applyAlignment="1">
      <alignment horizontal="right" vertical="center" wrapText="1"/>
    </xf>
    <xf numFmtId="176" fontId="2" fillId="2" borderId="5" xfId="0" applyNumberFormat="1" applyFont="1" applyFill="1" applyBorder="1" applyAlignment="1">
      <alignment horizontal="right" vertical="center" wrapText="1"/>
    </xf>
    <xf numFmtId="176" fontId="4" fillId="2" borderId="5" xfId="0" applyNumberFormat="1" applyFont="1" applyFill="1" applyBorder="1" applyAlignment="1">
      <alignment horizontal="right" vertical="center" wrapText="1"/>
    </xf>
    <xf numFmtId="176" fontId="6" fillId="0" borderId="5" xfId="0" applyNumberFormat="1" applyFont="1" applyBorder="1" applyAlignment="1">
      <alignment horizontal="right" vertical="center" wrapText="1"/>
    </xf>
    <xf numFmtId="176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6" fontId="2" fillId="0" borderId="7" xfId="0" applyNumberFormat="1" applyFont="1" applyBorder="1" applyAlignment="1">
      <alignment horizontal="right" vertical="center" wrapText="1"/>
    </xf>
    <xf numFmtId="176" fontId="2" fillId="0" borderId="4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21D3-DE44-4DF4-A722-F30E6302E9F6}">
  <dimension ref="A1:G52"/>
  <sheetViews>
    <sheetView tabSelected="1" zoomScale="81" zoomScaleNormal="81" workbookViewId="0">
      <selection activeCell="F26" sqref="F26"/>
    </sheetView>
  </sheetViews>
  <sheetFormatPr defaultRowHeight="16.2" x14ac:dyDescent="0.3"/>
  <cols>
    <col min="1" max="1" width="3.88671875" customWidth="1"/>
    <col min="2" max="2" width="3" customWidth="1"/>
    <col min="3" max="3" width="4.33203125" customWidth="1"/>
    <col min="4" max="4" width="36.5546875" customWidth="1"/>
    <col min="5" max="5" width="23.6640625" style="30" customWidth="1"/>
    <col min="6" max="6" width="19.21875" style="30" customWidth="1"/>
    <col min="7" max="7" width="49.109375" customWidth="1"/>
  </cols>
  <sheetData>
    <row r="1" spans="1:7" ht="66" customHeight="1" thickBot="1" x14ac:dyDescent="0.35">
      <c r="A1" s="56" t="s">
        <v>73</v>
      </c>
      <c r="B1" s="57"/>
      <c r="C1" s="57"/>
      <c r="D1" s="57"/>
      <c r="E1" s="57"/>
      <c r="F1" s="57"/>
      <c r="G1" s="58"/>
    </row>
    <row r="2" spans="1:7" ht="16.8" thickBot="1" x14ac:dyDescent="0.35">
      <c r="A2" s="51" t="s">
        <v>72</v>
      </c>
      <c r="B2" s="52"/>
      <c r="C2" s="52"/>
      <c r="D2" s="52"/>
      <c r="E2" s="52"/>
      <c r="F2" s="52"/>
      <c r="G2" s="53"/>
    </row>
    <row r="3" spans="1:7" ht="16.8" thickBot="1" x14ac:dyDescent="0.35">
      <c r="A3" s="1" t="s">
        <v>0</v>
      </c>
      <c r="B3" s="2" t="s">
        <v>1</v>
      </c>
      <c r="C3" s="2" t="s">
        <v>2</v>
      </c>
      <c r="D3" s="2" t="s">
        <v>3</v>
      </c>
      <c r="E3" s="18" t="s">
        <v>74</v>
      </c>
      <c r="F3" s="18" t="s">
        <v>75</v>
      </c>
      <c r="G3" s="2" t="s">
        <v>4</v>
      </c>
    </row>
    <row r="4" spans="1:7" ht="16.8" thickBot="1" x14ac:dyDescent="0.35">
      <c r="A4" s="1">
        <v>1</v>
      </c>
      <c r="B4" s="2">
        <v>1</v>
      </c>
      <c r="C4" s="2">
        <v>1</v>
      </c>
      <c r="D4" s="2" t="s">
        <v>5</v>
      </c>
      <c r="E4" s="19">
        <v>2400000</v>
      </c>
      <c r="F4" s="19">
        <v>3000000</v>
      </c>
      <c r="G4" s="4" t="s">
        <v>6</v>
      </c>
    </row>
    <row r="5" spans="1:7" ht="32.4" x14ac:dyDescent="0.3">
      <c r="A5" s="54">
        <v>1</v>
      </c>
      <c r="B5" s="54">
        <v>1</v>
      </c>
      <c r="C5" s="54">
        <v>2</v>
      </c>
      <c r="D5" s="54" t="s">
        <v>7</v>
      </c>
      <c r="E5" s="49">
        <v>1200000</v>
      </c>
      <c r="F5" s="49">
        <v>1800000</v>
      </c>
      <c r="G5" s="5" t="s">
        <v>8</v>
      </c>
    </row>
    <row r="6" spans="1:7" ht="16.8" thickBot="1" x14ac:dyDescent="0.35">
      <c r="A6" s="55"/>
      <c r="B6" s="55"/>
      <c r="C6" s="55"/>
      <c r="D6" s="55"/>
      <c r="E6" s="50"/>
      <c r="F6" s="50"/>
      <c r="G6" s="4" t="s">
        <v>9</v>
      </c>
    </row>
    <row r="7" spans="1:7" ht="49.2" thickBot="1" x14ac:dyDescent="0.35">
      <c r="A7" s="1">
        <v>1</v>
      </c>
      <c r="B7" s="2">
        <v>2</v>
      </c>
      <c r="C7" s="2">
        <v>1</v>
      </c>
      <c r="D7" s="2" t="s">
        <v>10</v>
      </c>
      <c r="E7" s="19">
        <v>2210000</v>
      </c>
      <c r="F7" s="19">
        <v>1500000</v>
      </c>
      <c r="G7" s="4" t="s">
        <v>11</v>
      </c>
    </row>
    <row r="8" spans="1:7" ht="16.8" thickBot="1" x14ac:dyDescent="0.35">
      <c r="A8" s="31" t="s">
        <v>12</v>
      </c>
      <c r="B8" s="32"/>
      <c r="C8" s="32"/>
      <c r="D8" s="33"/>
      <c r="E8" s="20">
        <f>SUM(E4:E7)</f>
        <v>5810000</v>
      </c>
      <c r="F8" s="20">
        <f>SUM(F4:F7)</f>
        <v>6300000</v>
      </c>
      <c r="G8" s="6"/>
    </row>
    <row r="9" spans="1:7" ht="16.8" thickBot="1" x14ac:dyDescent="0.35">
      <c r="A9" s="1">
        <v>1</v>
      </c>
      <c r="B9" s="2">
        <v>2</v>
      </c>
      <c r="C9" s="2">
        <v>2</v>
      </c>
      <c r="D9" s="2" t="s">
        <v>13</v>
      </c>
      <c r="E9" s="19"/>
      <c r="F9" s="19"/>
      <c r="G9" s="4" t="s">
        <v>14</v>
      </c>
    </row>
    <row r="10" spans="1:7" ht="16.8" thickBot="1" x14ac:dyDescent="0.35">
      <c r="A10" s="1">
        <v>1</v>
      </c>
      <c r="B10" s="2">
        <v>2</v>
      </c>
      <c r="C10" s="2">
        <v>3</v>
      </c>
      <c r="D10" s="2" t="s">
        <v>15</v>
      </c>
      <c r="E10" s="19"/>
      <c r="F10" s="19"/>
      <c r="G10" s="4" t="s">
        <v>16</v>
      </c>
    </row>
    <row r="11" spans="1:7" ht="16.8" thickBot="1" x14ac:dyDescent="0.35">
      <c r="A11" s="1">
        <v>1</v>
      </c>
      <c r="B11" s="2">
        <v>2</v>
      </c>
      <c r="C11" s="2">
        <v>4</v>
      </c>
      <c r="D11" s="2" t="s">
        <v>17</v>
      </c>
      <c r="E11" s="19"/>
      <c r="F11" s="19"/>
      <c r="G11" s="4" t="s">
        <v>14</v>
      </c>
    </row>
    <row r="12" spans="1:7" ht="16.8" thickBot="1" x14ac:dyDescent="0.35">
      <c r="A12" s="31" t="s">
        <v>18</v>
      </c>
      <c r="B12" s="32"/>
      <c r="C12" s="32"/>
      <c r="D12" s="33"/>
      <c r="E12" s="19"/>
      <c r="F12" s="19"/>
      <c r="G12" s="4"/>
    </row>
    <row r="13" spans="1:7" x14ac:dyDescent="0.3">
      <c r="A13" s="54">
        <v>1</v>
      </c>
      <c r="B13" s="54">
        <v>3</v>
      </c>
      <c r="C13" s="54">
        <v>1</v>
      </c>
      <c r="D13" s="54" t="s">
        <v>19</v>
      </c>
      <c r="E13" s="49">
        <v>3000000</v>
      </c>
      <c r="F13" s="21"/>
      <c r="G13" s="5" t="s">
        <v>20</v>
      </c>
    </row>
    <row r="14" spans="1:7" ht="16.8" thickBot="1" x14ac:dyDescent="0.35">
      <c r="A14" s="55"/>
      <c r="B14" s="55"/>
      <c r="C14" s="55"/>
      <c r="D14" s="55"/>
      <c r="E14" s="50"/>
      <c r="F14" s="19"/>
      <c r="G14" s="4" t="s">
        <v>21</v>
      </c>
    </row>
    <row r="15" spans="1:7" ht="16.8" thickBot="1" x14ac:dyDescent="0.35">
      <c r="A15" s="1"/>
      <c r="B15" s="2">
        <v>3</v>
      </c>
      <c r="C15" s="2">
        <v>2</v>
      </c>
      <c r="D15" s="2" t="s">
        <v>22</v>
      </c>
      <c r="E15" s="19">
        <v>0</v>
      </c>
      <c r="F15" s="19"/>
      <c r="G15" s="4" t="s">
        <v>14</v>
      </c>
    </row>
    <row r="16" spans="1:7" ht="16.8" thickBot="1" x14ac:dyDescent="0.35">
      <c r="A16" s="31" t="s">
        <v>23</v>
      </c>
      <c r="B16" s="32"/>
      <c r="C16" s="32"/>
      <c r="D16" s="33"/>
      <c r="E16" s="20">
        <f>SUM(E13:E15)</f>
        <v>3000000</v>
      </c>
      <c r="F16" s="20">
        <f>SUM(F13:F15)</f>
        <v>0</v>
      </c>
      <c r="G16" s="6"/>
    </row>
    <row r="17" spans="1:7" ht="16.8" thickBot="1" x14ac:dyDescent="0.35">
      <c r="A17" s="1">
        <v>1</v>
      </c>
      <c r="B17" s="2">
        <v>4</v>
      </c>
      <c r="C17" s="2">
        <v>1</v>
      </c>
      <c r="D17" s="2" t="s">
        <v>24</v>
      </c>
      <c r="E17" s="19">
        <v>0</v>
      </c>
      <c r="F17" s="19"/>
      <c r="G17" s="4" t="s">
        <v>14</v>
      </c>
    </row>
    <row r="18" spans="1:7" ht="49.2" thickBot="1" x14ac:dyDescent="0.35">
      <c r="A18" s="1">
        <v>1</v>
      </c>
      <c r="B18" s="2">
        <v>4</v>
      </c>
      <c r="C18" s="2">
        <v>2</v>
      </c>
      <c r="D18" s="2" t="s">
        <v>25</v>
      </c>
      <c r="E18" s="19">
        <v>30000</v>
      </c>
      <c r="F18" s="19">
        <v>30000</v>
      </c>
      <c r="G18" s="4" t="s">
        <v>26</v>
      </c>
    </row>
    <row r="19" spans="1:7" ht="33" thickBot="1" x14ac:dyDescent="0.35">
      <c r="A19" s="1">
        <v>1</v>
      </c>
      <c r="B19" s="2">
        <v>4</v>
      </c>
      <c r="C19" s="2">
        <v>3</v>
      </c>
      <c r="D19" s="2" t="s">
        <v>27</v>
      </c>
      <c r="E19" s="19"/>
      <c r="F19" s="19"/>
      <c r="G19" s="4" t="s">
        <v>28</v>
      </c>
    </row>
    <row r="20" spans="1:7" ht="16.8" thickBot="1" x14ac:dyDescent="0.35">
      <c r="A20" s="31" t="s">
        <v>29</v>
      </c>
      <c r="B20" s="32"/>
      <c r="C20" s="32"/>
      <c r="D20" s="33"/>
      <c r="E20" s="20">
        <f>SUM(E18:E19)</f>
        <v>30000</v>
      </c>
      <c r="F20" s="20">
        <f>SUM(F18:F19)</f>
        <v>30000</v>
      </c>
      <c r="G20" s="6"/>
    </row>
    <row r="21" spans="1:7" ht="16.8" thickBot="1" x14ac:dyDescent="0.35">
      <c r="A21" s="43" t="s">
        <v>30</v>
      </c>
      <c r="B21" s="44"/>
      <c r="C21" s="44"/>
      <c r="D21" s="45"/>
      <c r="E21" s="22">
        <f>E8+E16+E20</f>
        <v>8840000</v>
      </c>
      <c r="F21" s="22">
        <f>F8+F16+F20</f>
        <v>6330000</v>
      </c>
      <c r="G21" s="8"/>
    </row>
    <row r="22" spans="1:7" ht="16.8" thickBot="1" x14ac:dyDescent="0.35">
      <c r="A22" s="51" t="s">
        <v>31</v>
      </c>
      <c r="B22" s="52"/>
      <c r="C22" s="52"/>
      <c r="D22" s="52"/>
      <c r="E22" s="52"/>
      <c r="F22" s="52"/>
      <c r="G22" s="53"/>
    </row>
    <row r="23" spans="1:7" ht="16.8" thickBot="1" x14ac:dyDescent="0.35">
      <c r="A23" s="1">
        <v>2</v>
      </c>
      <c r="B23" s="2">
        <v>1</v>
      </c>
      <c r="C23" s="2">
        <v>1</v>
      </c>
      <c r="D23" s="2" t="s">
        <v>32</v>
      </c>
      <c r="E23" s="19">
        <v>1664400</v>
      </c>
      <c r="F23" s="3">
        <v>1664400</v>
      </c>
      <c r="G23" s="2" t="s">
        <v>33</v>
      </c>
    </row>
    <row r="24" spans="1:7" ht="33" thickBot="1" x14ac:dyDescent="0.35">
      <c r="A24" s="1">
        <v>2</v>
      </c>
      <c r="B24" s="2">
        <v>1</v>
      </c>
      <c r="C24" s="2">
        <v>2</v>
      </c>
      <c r="D24" s="2" t="s">
        <v>34</v>
      </c>
      <c r="E24" s="19">
        <v>816000</v>
      </c>
      <c r="F24" s="3">
        <v>816000</v>
      </c>
      <c r="G24" s="2" t="s">
        <v>35</v>
      </c>
    </row>
    <row r="25" spans="1:7" ht="16.8" thickBot="1" x14ac:dyDescent="0.35">
      <c r="A25" s="1">
        <v>2</v>
      </c>
      <c r="B25" s="2">
        <v>1</v>
      </c>
      <c r="C25" s="2">
        <v>3</v>
      </c>
      <c r="D25" s="2" t="s">
        <v>36</v>
      </c>
      <c r="E25" s="19" t="s">
        <v>37</v>
      </c>
      <c r="F25" s="7" t="s">
        <v>76</v>
      </c>
      <c r="G25" s="4" t="s">
        <v>38</v>
      </c>
    </row>
    <row r="26" spans="1:7" ht="16.8" thickBot="1" x14ac:dyDescent="0.35">
      <c r="A26" s="1">
        <v>2</v>
      </c>
      <c r="B26" s="2">
        <v>1</v>
      </c>
      <c r="C26" s="2">
        <v>4</v>
      </c>
      <c r="D26" s="2" t="s">
        <v>39</v>
      </c>
      <c r="E26" s="19">
        <v>132576</v>
      </c>
      <c r="F26" s="3">
        <v>132576</v>
      </c>
      <c r="G26" s="4" t="s">
        <v>38</v>
      </c>
    </row>
    <row r="27" spans="1:7" ht="16.8" thickBot="1" x14ac:dyDescent="0.35">
      <c r="A27" s="1">
        <v>2</v>
      </c>
      <c r="B27" s="2">
        <v>1</v>
      </c>
      <c r="C27" s="2">
        <v>5</v>
      </c>
      <c r="D27" s="2" t="s">
        <v>40</v>
      </c>
      <c r="E27" s="19">
        <v>30000</v>
      </c>
      <c r="F27" s="3">
        <v>30000</v>
      </c>
      <c r="G27" s="4" t="s">
        <v>41</v>
      </c>
    </row>
    <row r="28" spans="1:7" ht="16.8" thickBot="1" x14ac:dyDescent="0.35">
      <c r="A28" s="1">
        <v>2</v>
      </c>
      <c r="B28" s="2">
        <v>1</v>
      </c>
      <c r="C28" s="2">
        <v>6</v>
      </c>
      <c r="D28" s="2" t="s">
        <v>42</v>
      </c>
      <c r="E28" s="19"/>
      <c r="F28" s="19"/>
      <c r="G28" s="2"/>
    </row>
    <row r="29" spans="1:7" ht="16.8" thickBot="1" x14ac:dyDescent="0.35">
      <c r="A29" s="1">
        <v>2</v>
      </c>
      <c r="B29" s="2">
        <v>1</v>
      </c>
      <c r="C29" s="2">
        <v>7</v>
      </c>
      <c r="D29" s="2" t="s">
        <v>43</v>
      </c>
      <c r="E29" s="19">
        <v>80000</v>
      </c>
      <c r="F29" s="3">
        <v>80000</v>
      </c>
      <c r="G29" s="2"/>
    </row>
    <row r="30" spans="1:7" ht="16.8" thickBot="1" x14ac:dyDescent="0.35">
      <c r="A30" s="31" t="s">
        <v>44</v>
      </c>
      <c r="B30" s="32"/>
      <c r="C30" s="32"/>
      <c r="D30" s="33"/>
      <c r="E30" s="20">
        <f>SUM(E23:E29)</f>
        <v>2722976</v>
      </c>
      <c r="F30" s="20">
        <f>SUM(F23:F29)</f>
        <v>2722976</v>
      </c>
      <c r="G30" s="9"/>
    </row>
    <row r="31" spans="1:7" ht="16.8" thickBot="1" x14ac:dyDescent="0.35">
      <c r="A31" s="1">
        <v>2</v>
      </c>
      <c r="B31" s="2">
        <v>2</v>
      </c>
      <c r="C31" s="2">
        <v>1</v>
      </c>
      <c r="D31" s="2" t="s">
        <v>45</v>
      </c>
      <c r="E31" s="19">
        <v>170000</v>
      </c>
      <c r="F31" s="19">
        <v>80000</v>
      </c>
      <c r="G31" s="2" t="s">
        <v>46</v>
      </c>
    </row>
    <row r="32" spans="1:7" ht="16.8" thickBot="1" x14ac:dyDescent="0.35">
      <c r="A32" s="1"/>
      <c r="B32" s="2">
        <v>2</v>
      </c>
      <c r="C32" s="2">
        <v>2</v>
      </c>
      <c r="D32" s="2" t="s">
        <v>47</v>
      </c>
      <c r="E32" s="19">
        <v>20000</v>
      </c>
      <c r="F32" s="19">
        <v>20000</v>
      </c>
      <c r="G32" s="2" t="s">
        <v>48</v>
      </c>
    </row>
    <row r="33" spans="1:7" ht="16.8" thickBot="1" x14ac:dyDescent="0.35">
      <c r="A33" s="1"/>
      <c r="B33" s="2">
        <v>2</v>
      </c>
      <c r="C33" s="2">
        <v>3</v>
      </c>
      <c r="D33" s="2" t="s">
        <v>49</v>
      </c>
      <c r="E33" s="19">
        <v>240000</v>
      </c>
      <c r="F33" s="19">
        <v>240000</v>
      </c>
      <c r="G33" s="2" t="s">
        <v>50</v>
      </c>
    </row>
    <row r="34" spans="1:7" ht="16.8" thickBot="1" x14ac:dyDescent="0.35">
      <c r="A34" s="1"/>
      <c r="B34" s="2">
        <v>2</v>
      </c>
      <c r="C34" s="2">
        <v>4</v>
      </c>
      <c r="D34" s="2" t="s">
        <v>51</v>
      </c>
      <c r="E34" s="19">
        <v>180000</v>
      </c>
      <c r="F34" s="19">
        <v>180000</v>
      </c>
      <c r="G34" s="2" t="s">
        <v>52</v>
      </c>
    </row>
    <row r="35" spans="1:7" ht="16.8" thickBot="1" x14ac:dyDescent="0.35">
      <c r="A35" s="1"/>
      <c r="B35" s="2"/>
      <c r="C35" s="2"/>
      <c r="D35" s="2" t="s">
        <v>53</v>
      </c>
      <c r="E35" s="19">
        <v>15000</v>
      </c>
      <c r="F35" s="19">
        <v>15000</v>
      </c>
      <c r="G35" s="2"/>
    </row>
    <row r="36" spans="1:7" ht="16.8" thickBot="1" x14ac:dyDescent="0.35">
      <c r="A36" s="1"/>
      <c r="B36" s="2"/>
      <c r="C36" s="2"/>
      <c r="D36" s="2"/>
      <c r="E36" s="19"/>
      <c r="F36" s="19"/>
      <c r="G36" s="2"/>
    </row>
    <row r="37" spans="1:7" ht="16.8" thickBot="1" x14ac:dyDescent="0.35">
      <c r="A37" s="31" t="s">
        <v>54</v>
      </c>
      <c r="B37" s="32"/>
      <c r="C37" s="32"/>
      <c r="D37" s="33"/>
      <c r="E37" s="20">
        <f>SUM(E31:E36)</f>
        <v>625000</v>
      </c>
      <c r="F37" s="20">
        <f>SUM(F31:F36)</f>
        <v>535000</v>
      </c>
      <c r="G37" s="9"/>
    </row>
    <row r="38" spans="1:7" ht="49.2" thickBot="1" x14ac:dyDescent="0.35">
      <c r="A38" s="16">
        <v>2</v>
      </c>
      <c r="B38" s="17">
        <v>3</v>
      </c>
      <c r="C38" s="17">
        <v>1</v>
      </c>
      <c r="D38" s="17" t="s">
        <v>55</v>
      </c>
      <c r="E38" s="23">
        <v>700000</v>
      </c>
      <c r="F38" s="23">
        <v>50000</v>
      </c>
      <c r="G38" s="4" t="s">
        <v>56</v>
      </c>
    </row>
    <row r="39" spans="1:7" ht="16.8" thickBot="1" x14ac:dyDescent="0.35">
      <c r="A39" s="16">
        <v>2</v>
      </c>
      <c r="B39" s="17">
        <v>3</v>
      </c>
      <c r="C39" s="17">
        <v>2</v>
      </c>
      <c r="D39" s="17" t="s">
        <v>57</v>
      </c>
      <c r="E39" s="23">
        <v>520000</v>
      </c>
      <c r="F39" s="23">
        <v>100000</v>
      </c>
      <c r="G39" s="2" t="s">
        <v>58</v>
      </c>
    </row>
    <row r="40" spans="1:7" ht="16.8" thickBot="1" x14ac:dyDescent="0.35">
      <c r="A40" s="16">
        <v>2</v>
      </c>
      <c r="B40" s="17">
        <v>3</v>
      </c>
      <c r="C40" s="17">
        <v>3</v>
      </c>
      <c r="D40" s="17" t="s">
        <v>59</v>
      </c>
      <c r="E40" s="23">
        <v>620000</v>
      </c>
      <c r="F40" s="23">
        <v>620000</v>
      </c>
      <c r="G40" s="2"/>
    </row>
    <row r="41" spans="1:7" ht="16.8" thickBot="1" x14ac:dyDescent="0.35">
      <c r="A41" s="16">
        <v>2</v>
      </c>
      <c r="B41" s="17">
        <v>3</v>
      </c>
      <c r="C41" s="17">
        <v>4</v>
      </c>
      <c r="D41" s="17" t="s">
        <v>60</v>
      </c>
      <c r="E41" s="23">
        <v>200000</v>
      </c>
      <c r="F41" s="23">
        <v>200000</v>
      </c>
      <c r="G41" s="2"/>
    </row>
    <row r="42" spans="1:7" ht="16.8" thickBot="1" x14ac:dyDescent="0.35">
      <c r="A42" s="34" t="s">
        <v>61</v>
      </c>
      <c r="B42" s="35"/>
      <c r="C42" s="35"/>
      <c r="D42" s="36"/>
      <c r="E42" s="24">
        <f>SUM(E38:E41)</f>
        <v>2040000</v>
      </c>
      <c r="F42" s="24">
        <f>SUM(F38:F41)</f>
        <v>970000</v>
      </c>
      <c r="G42" s="2"/>
    </row>
    <row r="43" spans="1:7" ht="16.8" thickBot="1" x14ac:dyDescent="0.35">
      <c r="A43" s="14">
        <v>2</v>
      </c>
      <c r="B43" s="15">
        <v>4</v>
      </c>
      <c r="C43" s="15">
        <v>1</v>
      </c>
      <c r="D43" s="15" t="s">
        <v>62</v>
      </c>
      <c r="E43" s="25">
        <v>250000</v>
      </c>
      <c r="F43" s="25">
        <v>100000</v>
      </c>
      <c r="G43" s="2"/>
    </row>
    <row r="44" spans="1:7" ht="16.8" thickBot="1" x14ac:dyDescent="0.35">
      <c r="A44" s="14">
        <v>2</v>
      </c>
      <c r="B44" s="15">
        <v>4</v>
      </c>
      <c r="C44" s="15">
        <v>2</v>
      </c>
      <c r="D44" s="15" t="s">
        <v>63</v>
      </c>
      <c r="E44" s="25">
        <v>10000</v>
      </c>
      <c r="F44" s="25">
        <v>10000</v>
      </c>
      <c r="G44" s="2"/>
    </row>
    <row r="45" spans="1:7" ht="16.8" thickBot="1" x14ac:dyDescent="0.35">
      <c r="A45" s="14">
        <v>2</v>
      </c>
      <c r="B45" s="15">
        <v>4</v>
      </c>
      <c r="C45" s="15">
        <v>3</v>
      </c>
      <c r="D45" s="15" t="s">
        <v>64</v>
      </c>
      <c r="E45" s="25">
        <v>250000</v>
      </c>
      <c r="F45" s="25">
        <v>100000</v>
      </c>
      <c r="G45" s="2"/>
    </row>
    <row r="46" spans="1:7" ht="16.8" thickBot="1" x14ac:dyDescent="0.35">
      <c r="A46" s="37" t="s">
        <v>65</v>
      </c>
      <c r="B46" s="38"/>
      <c r="C46" s="38"/>
      <c r="D46" s="39"/>
      <c r="E46" s="26">
        <f>SUM(E43:E45)</f>
        <v>510000</v>
      </c>
      <c r="F46" s="26">
        <f>SUM(F43:F45)</f>
        <v>210000</v>
      </c>
      <c r="G46" s="2"/>
    </row>
    <row r="47" spans="1:7" ht="16.8" thickBot="1" x14ac:dyDescent="0.35">
      <c r="A47" s="12">
        <v>2</v>
      </c>
      <c r="B47" s="13">
        <v>5</v>
      </c>
      <c r="C47" s="13">
        <v>1</v>
      </c>
      <c r="D47" s="13" t="s">
        <v>66</v>
      </c>
      <c r="E47" s="27">
        <v>500000</v>
      </c>
      <c r="F47" s="27">
        <v>50000</v>
      </c>
      <c r="G47" s="2"/>
    </row>
    <row r="48" spans="1:7" ht="16.8" thickBot="1" x14ac:dyDescent="0.35">
      <c r="A48" s="12">
        <v>2</v>
      </c>
      <c r="B48" s="13">
        <v>5</v>
      </c>
      <c r="C48" s="13">
        <v>2</v>
      </c>
      <c r="D48" s="13" t="s">
        <v>67</v>
      </c>
      <c r="E48" s="27">
        <v>500000</v>
      </c>
      <c r="F48" s="27">
        <v>500000</v>
      </c>
      <c r="G48" s="2"/>
    </row>
    <row r="49" spans="1:7" ht="16.8" thickBot="1" x14ac:dyDescent="0.35">
      <c r="A49" s="12">
        <v>2</v>
      </c>
      <c r="B49" s="13">
        <v>5</v>
      </c>
      <c r="C49" s="13">
        <v>3</v>
      </c>
      <c r="D49" s="13" t="s">
        <v>68</v>
      </c>
      <c r="E49" s="27">
        <v>500000</v>
      </c>
      <c r="F49" s="27">
        <v>50000</v>
      </c>
      <c r="G49" s="2"/>
    </row>
    <row r="50" spans="1:7" ht="16.8" thickBot="1" x14ac:dyDescent="0.35">
      <c r="A50" s="40" t="s">
        <v>69</v>
      </c>
      <c r="B50" s="41"/>
      <c r="C50" s="41"/>
      <c r="D50" s="42"/>
      <c r="E50" s="28">
        <f>SUM(E47:E49)</f>
        <v>1500000</v>
      </c>
      <c r="F50" s="28">
        <f>SUM(F47:F49)</f>
        <v>600000</v>
      </c>
      <c r="G50" s="2"/>
    </row>
    <row r="51" spans="1:7" ht="16.8" thickBot="1" x14ac:dyDescent="0.35">
      <c r="A51" s="43" t="s">
        <v>70</v>
      </c>
      <c r="B51" s="44"/>
      <c r="C51" s="44"/>
      <c r="D51" s="45"/>
      <c r="E51" s="22">
        <f>E50+E46+E42+E37+E30</f>
        <v>7397976</v>
      </c>
      <c r="F51" s="22">
        <f>F50+F46+F42+F37+F30</f>
        <v>5037976</v>
      </c>
      <c r="G51" s="10"/>
    </row>
    <row r="52" spans="1:7" ht="16.8" thickBot="1" x14ac:dyDescent="0.35">
      <c r="A52" s="46" t="s">
        <v>71</v>
      </c>
      <c r="B52" s="47"/>
      <c r="C52" s="47"/>
      <c r="D52" s="48"/>
      <c r="E52" s="29">
        <f>E21-E16-E51</f>
        <v>-1557976</v>
      </c>
      <c r="F52" s="29">
        <f>F21-F16-F51</f>
        <v>1292024</v>
      </c>
      <c r="G52" s="11"/>
    </row>
  </sheetData>
  <mergeCells count="26">
    <mergeCell ref="A1:G1"/>
    <mergeCell ref="A2:G2"/>
    <mergeCell ref="A5:A6"/>
    <mergeCell ref="B5:B6"/>
    <mergeCell ref="C5:C6"/>
    <mergeCell ref="D5:D6"/>
    <mergeCell ref="E5:E6"/>
    <mergeCell ref="F5:F6"/>
    <mergeCell ref="A8:D8"/>
    <mergeCell ref="A12:D12"/>
    <mergeCell ref="A13:A14"/>
    <mergeCell ref="B13:B14"/>
    <mergeCell ref="C13:C14"/>
    <mergeCell ref="D13:D14"/>
    <mergeCell ref="A52:D52"/>
    <mergeCell ref="E13:E14"/>
    <mergeCell ref="A16:D16"/>
    <mergeCell ref="A20:D20"/>
    <mergeCell ref="A21:D21"/>
    <mergeCell ref="A22:G22"/>
    <mergeCell ref="A30:D30"/>
    <mergeCell ref="A37:D37"/>
    <mergeCell ref="A42:D42"/>
    <mergeCell ref="A46:D46"/>
    <mergeCell ref="A50:D50"/>
    <mergeCell ref="A51:D5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政隆 江</dc:creator>
  <cp:lastModifiedBy>政隆 江</cp:lastModifiedBy>
  <dcterms:created xsi:type="dcterms:W3CDTF">2024-03-02T21:59:34Z</dcterms:created>
  <dcterms:modified xsi:type="dcterms:W3CDTF">2024-03-03T05:51:13Z</dcterms:modified>
</cp:coreProperties>
</file>