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/Users/apple/Dropbox/公司資料室/五常社區服務系統/商業/上品聊閣仁義店/帳簿/"/>
    </mc:Choice>
  </mc:AlternateContent>
  <xr:revisionPtr revIDLastSave="50" documentId="13_ncr:1_{8A81FF8C-51DE-AA44-9717-543A7807CE3A}" xr6:coauthVersionLast="47" xr6:coauthVersionMax="47" xr10:uidLastSave="{C7691EED-DEF1-4E1C-A60D-22780FF8FD0F}"/>
  <bookViews>
    <workbookView xWindow="0" yWindow="500" windowWidth="28800" windowHeight="17500" xr2:uid="{00000000-000D-0000-FFFF-FFFF00000000}"/>
  </bookViews>
  <sheets>
    <sheet name="11月現金日記帳" sheetId="13" r:id="rId1"/>
    <sheet name="10月現金日記帳" sheetId="11" r:id="rId2"/>
    <sheet name="11月費用明細憑證" sheetId="14" r:id="rId3"/>
    <sheet name="10月費用明細憑證" sheetId="12" r:id="rId4"/>
    <sheet name="9月現金日記帳" sheetId="9" r:id="rId5"/>
    <sheet name="9月費用明細憑證" sheetId="10" r:id="rId6"/>
  </sheets>
  <definedNames>
    <definedName name="_xlnm._FilterDatabase" localSheetId="3" hidden="1">'10月費用明細憑證'!$A$1:$K$35</definedName>
    <definedName name="_xlnm._FilterDatabase" localSheetId="2" hidden="1">'11月費用明細憑證'!$A$1:$K$35</definedName>
    <definedName name="_xlnm._FilterDatabase" localSheetId="5" hidden="1">'9月費用明細憑證'!$A$1:$K$34</definedName>
    <definedName name="_xlnm.Print_Area" localSheetId="1">'10月現金日記帳'!$A$1:$O$35</definedName>
    <definedName name="_xlnm.Print_Area" localSheetId="0">'11月現金日記帳'!$A$1:$O$35</definedName>
    <definedName name="_xlnm.Print_Area" localSheetId="4">'9月現金日記帳'!$A$1:$O$35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3" l="1"/>
  <c r="H33" i="13"/>
  <c r="E32" i="14"/>
  <c r="H32" i="13" s="1"/>
  <c r="E31" i="14"/>
  <c r="H31" i="13" s="1"/>
  <c r="E30" i="14"/>
  <c r="H30" i="13" s="1"/>
  <c r="E29" i="14"/>
  <c r="H29" i="13" s="1"/>
  <c r="E28" i="14"/>
  <c r="H28" i="13" s="1"/>
  <c r="E27" i="14"/>
  <c r="H27" i="13" s="1"/>
  <c r="E26" i="14"/>
  <c r="H26" i="13" s="1"/>
  <c r="E25" i="14"/>
  <c r="H25" i="13" s="1"/>
  <c r="E24" i="14"/>
  <c r="H24" i="13" s="1"/>
  <c r="E23" i="14"/>
  <c r="H23" i="13" s="1"/>
  <c r="E22" i="14"/>
  <c r="H22" i="13" s="1"/>
  <c r="E21" i="14"/>
  <c r="H21" i="13" s="1"/>
  <c r="E20" i="14"/>
  <c r="H20" i="13" s="1"/>
  <c r="E19" i="14"/>
  <c r="H19" i="13" s="1"/>
  <c r="E18" i="14"/>
  <c r="H18" i="13" s="1"/>
  <c r="E17" i="14"/>
  <c r="H17" i="13" s="1"/>
  <c r="E16" i="14"/>
  <c r="H16" i="13" s="1"/>
  <c r="E15" i="14"/>
  <c r="H15" i="13" s="1"/>
  <c r="I15" i="13" s="1"/>
  <c r="E14" i="14"/>
  <c r="H14" i="13" s="1"/>
  <c r="E13" i="14"/>
  <c r="H13" i="13" s="1"/>
  <c r="E12" i="14"/>
  <c r="H12" i="13" s="1"/>
  <c r="E11" i="14"/>
  <c r="H11" i="13" s="1"/>
  <c r="E10" i="14"/>
  <c r="H10" i="13" s="1"/>
  <c r="E9" i="14"/>
  <c r="H9" i="13" s="1"/>
  <c r="E8" i="14"/>
  <c r="H8" i="13" s="1"/>
  <c r="E7" i="14"/>
  <c r="H7" i="13" s="1"/>
  <c r="E6" i="14"/>
  <c r="H6" i="13" s="1"/>
  <c r="E5" i="14"/>
  <c r="H5" i="13" s="1"/>
  <c r="E4" i="14"/>
  <c r="H4" i="13" s="1"/>
  <c r="E3" i="14"/>
  <c r="H35" i="13"/>
  <c r="J33" i="13"/>
  <c r="I33" i="13"/>
  <c r="J32" i="13"/>
  <c r="I32" i="13"/>
  <c r="J31" i="13"/>
  <c r="I31" i="13"/>
  <c r="J30" i="13"/>
  <c r="I30" i="13"/>
  <c r="J29" i="13"/>
  <c r="I29" i="13"/>
  <c r="J28" i="13"/>
  <c r="J27" i="13"/>
  <c r="I27" i="13"/>
  <c r="J26" i="13"/>
  <c r="I26" i="13"/>
  <c r="J25" i="13"/>
  <c r="J24" i="13"/>
  <c r="J23" i="13"/>
  <c r="J22" i="13"/>
  <c r="I22" i="13"/>
  <c r="J21" i="13"/>
  <c r="J20" i="13"/>
  <c r="J19" i="13"/>
  <c r="J18" i="13"/>
  <c r="J17" i="13"/>
  <c r="I17" i="13"/>
  <c r="J16" i="13"/>
  <c r="I16" i="13"/>
  <c r="J15" i="13"/>
  <c r="J14" i="13"/>
  <c r="J13" i="13"/>
  <c r="I13" i="13"/>
  <c r="J12" i="13"/>
  <c r="I12" i="13"/>
  <c r="J11" i="13"/>
  <c r="I11" i="13"/>
  <c r="J10" i="13"/>
  <c r="I10" i="13"/>
  <c r="J9" i="13"/>
  <c r="J8" i="13"/>
  <c r="I8" i="13"/>
  <c r="I7" i="13"/>
  <c r="J7" i="13"/>
  <c r="J5" i="13"/>
  <c r="I5" i="13"/>
  <c r="M4" i="13"/>
  <c r="J4" i="13"/>
  <c r="J3" i="13"/>
  <c r="F35" i="13"/>
  <c r="O7" i="13" s="1"/>
  <c r="D29" i="12"/>
  <c r="F28" i="11"/>
  <c r="F25" i="11"/>
  <c r="D23" i="12"/>
  <c r="F24" i="11"/>
  <c r="F23" i="11"/>
  <c r="F21" i="11"/>
  <c r="F20" i="11"/>
  <c r="F19" i="11"/>
  <c r="F18" i="11"/>
  <c r="B17" i="12"/>
  <c r="F14" i="11"/>
  <c r="M9" i="11"/>
  <c r="M5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" i="11"/>
  <c r="J4" i="11"/>
  <c r="J5" i="11"/>
  <c r="J6" i="11"/>
  <c r="J7" i="11"/>
  <c r="J8" i="11"/>
  <c r="J9" i="11"/>
  <c r="J10" i="11"/>
  <c r="N5" i="11"/>
  <c r="M4" i="11"/>
  <c r="M3" i="11"/>
  <c r="M6" i="9"/>
  <c r="O6" i="9"/>
  <c r="M12" i="9"/>
  <c r="M10" i="9"/>
  <c r="N3" i="9"/>
  <c r="M3" i="9"/>
  <c r="O4" i="9"/>
  <c r="N4" i="9"/>
  <c r="O7" i="9"/>
  <c r="M4" i="9"/>
  <c r="B10" i="12"/>
  <c r="E10" i="12" s="1"/>
  <c r="F9" i="11"/>
  <c r="B8" i="12"/>
  <c r="B6" i="11"/>
  <c r="B7" i="11"/>
  <c r="D8" i="12"/>
  <c r="C6" i="11"/>
  <c r="F6" i="11"/>
  <c r="F35" i="11"/>
  <c r="O7" i="11" s="1"/>
  <c r="E27" i="12"/>
  <c r="H27" i="11" s="1"/>
  <c r="I27" i="11" s="1"/>
  <c r="D6" i="12"/>
  <c r="F4" i="11"/>
  <c r="F3" i="11"/>
  <c r="E5" i="12"/>
  <c r="H5" i="11" s="1"/>
  <c r="I5" i="11" s="1"/>
  <c r="E7" i="12"/>
  <c r="H7" i="11" s="1"/>
  <c r="I7" i="11" s="1"/>
  <c r="E11" i="12"/>
  <c r="H11" i="11" s="1"/>
  <c r="I11" i="11" s="1"/>
  <c r="E16" i="12"/>
  <c r="H16" i="11" s="1"/>
  <c r="I16" i="11" s="1"/>
  <c r="H17" i="11"/>
  <c r="I17" i="11" s="1"/>
  <c r="H19" i="11"/>
  <c r="I19" i="11" s="1"/>
  <c r="H26" i="11"/>
  <c r="I26" i="11" s="1"/>
  <c r="H28" i="11"/>
  <c r="I28" i="11" s="1"/>
  <c r="E31" i="12"/>
  <c r="H31" i="11" s="1"/>
  <c r="I31" i="11" s="1"/>
  <c r="E32" i="12"/>
  <c r="H32" i="11" s="1"/>
  <c r="I32" i="11" s="1"/>
  <c r="H33" i="11"/>
  <c r="I33" i="11" s="1"/>
  <c r="H3" i="11"/>
  <c r="E30" i="12"/>
  <c r="H30" i="11" s="1"/>
  <c r="I30" i="11" s="1"/>
  <c r="E29" i="12"/>
  <c r="H29" i="11"/>
  <c r="I29" i="11" s="1"/>
  <c r="E28" i="12"/>
  <c r="E26" i="12"/>
  <c r="E25" i="12"/>
  <c r="H25" i="11" s="1"/>
  <c r="I25" i="11" s="1"/>
  <c r="E24" i="12"/>
  <c r="H24" i="11" s="1"/>
  <c r="I24" i="11" s="1"/>
  <c r="E23" i="12"/>
  <c r="H23" i="11"/>
  <c r="I23" i="11" s="1"/>
  <c r="E22" i="12"/>
  <c r="H22" i="11" s="1"/>
  <c r="I22" i="11" s="1"/>
  <c r="E21" i="12"/>
  <c r="H21" i="11" s="1"/>
  <c r="I21" i="11" s="1"/>
  <c r="E20" i="12"/>
  <c r="E19" i="12"/>
  <c r="E18" i="12"/>
  <c r="H18" i="11" s="1"/>
  <c r="I18" i="11" s="1"/>
  <c r="E17" i="12"/>
  <c r="E15" i="12"/>
  <c r="H15" i="11" s="1"/>
  <c r="I15" i="11" s="1"/>
  <c r="E14" i="12"/>
  <c r="H14" i="11" s="1"/>
  <c r="I14" i="11" s="1"/>
  <c r="E13" i="12"/>
  <c r="H13" i="11" s="1"/>
  <c r="I13" i="11" s="1"/>
  <c r="E12" i="12"/>
  <c r="H12" i="11" s="1"/>
  <c r="I12" i="11" s="1"/>
  <c r="E9" i="12"/>
  <c r="H9" i="11" s="1"/>
  <c r="I9" i="11" s="1"/>
  <c r="E8" i="12"/>
  <c r="H8" i="11" s="1"/>
  <c r="I8" i="11" s="1"/>
  <c r="E6" i="12"/>
  <c r="E4" i="12"/>
  <c r="H4" i="11" s="1"/>
  <c r="E3" i="12"/>
  <c r="H35" i="11"/>
  <c r="B35" i="11"/>
  <c r="I3" i="11"/>
  <c r="F32" i="9"/>
  <c r="D32" i="10"/>
  <c r="E32" i="10"/>
  <c r="H32" i="9"/>
  <c r="I32" i="9"/>
  <c r="B32" i="10"/>
  <c r="F30" i="9"/>
  <c r="D30" i="10"/>
  <c r="E30" i="10"/>
  <c r="H30" i="9"/>
  <c r="I30" i="9"/>
  <c r="F29" i="9"/>
  <c r="F28" i="9"/>
  <c r="F27" i="9"/>
  <c r="F35" i="9"/>
  <c r="D25" i="10"/>
  <c r="E25" i="10"/>
  <c r="H25" i="9"/>
  <c r="I25" i="9"/>
  <c r="I24" i="9"/>
  <c r="D22" i="10"/>
  <c r="B22" i="10"/>
  <c r="J20" i="9"/>
  <c r="H35" i="9"/>
  <c r="C17" i="9"/>
  <c r="C19" i="9"/>
  <c r="J16" i="9"/>
  <c r="J17" i="9"/>
  <c r="J18" i="9"/>
  <c r="J19" i="9"/>
  <c r="J21" i="9"/>
  <c r="J22" i="9"/>
  <c r="J23" i="9"/>
  <c r="J24" i="9"/>
  <c r="J25" i="9"/>
  <c r="J26" i="9"/>
  <c r="J27" i="9"/>
  <c r="J28" i="9"/>
  <c r="J29" i="9"/>
  <c r="J30" i="9"/>
  <c r="J31" i="9"/>
  <c r="J32" i="9"/>
  <c r="J15" i="9"/>
  <c r="H6" i="9"/>
  <c r="I6" i="9"/>
  <c r="J6" i="9"/>
  <c r="H9" i="9"/>
  <c r="H18" i="9"/>
  <c r="I18" i="9"/>
  <c r="H19" i="9"/>
  <c r="I19" i="9"/>
  <c r="H26" i="9"/>
  <c r="I26" i="9"/>
  <c r="E27" i="10"/>
  <c r="H27" i="9"/>
  <c r="I27" i="9"/>
  <c r="H29" i="9"/>
  <c r="I29" i="9"/>
  <c r="E4" i="10"/>
  <c r="H4" i="9"/>
  <c r="I4" i="9"/>
  <c r="J4" i="9"/>
  <c r="E5" i="10"/>
  <c r="H5" i="9"/>
  <c r="I5" i="9"/>
  <c r="J5" i="9"/>
  <c r="E6" i="10"/>
  <c r="E7" i="10"/>
  <c r="H7" i="9"/>
  <c r="I7" i="9"/>
  <c r="J7" i="9"/>
  <c r="E8" i="10"/>
  <c r="H8" i="9"/>
  <c r="I8" i="9"/>
  <c r="J8" i="9"/>
  <c r="E9" i="10"/>
  <c r="E10" i="10"/>
  <c r="H10" i="9"/>
  <c r="I10" i="9"/>
  <c r="J10" i="9"/>
  <c r="E11" i="10"/>
  <c r="H11" i="9"/>
  <c r="I11" i="9"/>
  <c r="J11" i="9"/>
  <c r="E12" i="10"/>
  <c r="H12" i="9"/>
  <c r="I12" i="9"/>
  <c r="J12" i="9"/>
  <c r="E13" i="10"/>
  <c r="H13" i="9"/>
  <c r="I13" i="9"/>
  <c r="J13" i="9"/>
  <c r="E14" i="10"/>
  <c r="E15" i="10"/>
  <c r="H15" i="9"/>
  <c r="I15" i="9"/>
  <c r="E16" i="10"/>
  <c r="H16" i="9"/>
  <c r="I16" i="9"/>
  <c r="E17" i="10"/>
  <c r="H17" i="9"/>
  <c r="I17" i="9"/>
  <c r="E18" i="10"/>
  <c r="E19" i="10"/>
  <c r="E20" i="10"/>
  <c r="H20" i="9"/>
  <c r="I20" i="9"/>
  <c r="E21" i="10"/>
  <c r="H21" i="9"/>
  <c r="E22" i="10"/>
  <c r="H22" i="9"/>
  <c r="I22" i="9"/>
  <c r="E23" i="10"/>
  <c r="H23" i="9"/>
  <c r="I23" i="9"/>
  <c r="E24" i="10"/>
  <c r="H24" i="9"/>
  <c r="E26" i="10"/>
  <c r="E28" i="10"/>
  <c r="H28" i="9"/>
  <c r="I28" i="9"/>
  <c r="E29" i="10"/>
  <c r="E31" i="10"/>
  <c r="H31" i="9"/>
  <c r="I31" i="9"/>
  <c r="E3" i="10"/>
  <c r="H3" i="9"/>
  <c r="P5" i="9"/>
  <c r="I9" i="9"/>
  <c r="J9" i="9"/>
  <c r="B35" i="9"/>
  <c r="O5" i="9"/>
  <c r="I21" i="9"/>
  <c r="E34" i="10"/>
  <c r="I3" i="9"/>
  <c r="H14" i="9"/>
  <c r="I14" i="9"/>
  <c r="J14" i="9"/>
  <c r="J3" i="9"/>
  <c r="G35" i="9"/>
  <c r="C35" i="9"/>
  <c r="M7" i="9"/>
  <c r="P3" i="9"/>
  <c r="D35" i="9"/>
  <c r="H6" i="11"/>
  <c r="I6" i="11" s="1"/>
  <c r="O5" i="11"/>
  <c r="P5" i="11"/>
  <c r="O3" i="9"/>
  <c r="H20" i="11"/>
  <c r="I20" i="11"/>
  <c r="G35" i="11"/>
  <c r="E35" i="14" l="1"/>
  <c r="H3" i="13"/>
  <c r="C35" i="13"/>
  <c r="M7" i="13" s="1"/>
  <c r="N4" i="13" s="1"/>
  <c r="N3" i="13" s="1"/>
  <c r="P3" i="13" s="1"/>
  <c r="I3" i="13"/>
  <c r="O3" i="13"/>
  <c r="M10" i="13" s="1"/>
  <c r="I4" i="13"/>
  <c r="O4" i="13"/>
  <c r="P5" i="13"/>
  <c r="O5" i="13"/>
  <c r="B35" i="13"/>
  <c r="D35" i="13" s="1"/>
  <c r="J6" i="13"/>
  <c r="G35" i="13" s="1"/>
  <c r="I6" i="13"/>
  <c r="I9" i="13"/>
  <c r="I14" i="13"/>
  <c r="I18" i="13"/>
  <c r="I19" i="13"/>
  <c r="I20" i="13"/>
  <c r="I21" i="13"/>
  <c r="I23" i="13"/>
  <c r="I24" i="13"/>
  <c r="I25" i="13"/>
  <c r="I28" i="13"/>
  <c r="H10" i="11"/>
  <c r="I10" i="11" s="1"/>
  <c r="E35" i="12"/>
  <c r="I4" i="11"/>
  <c r="C35" i="11"/>
  <c r="M12" i="13" l="1"/>
  <c r="M6" i="13"/>
  <c r="O6" i="13" s="1"/>
  <c r="M7" i="11"/>
  <c r="N4" i="11" s="1"/>
  <c r="D35" i="11"/>
  <c r="N3" i="11" l="1"/>
  <c r="O4" i="11"/>
  <c r="P3" i="11" l="1"/>
  <c r="O3" i="11"/>
  <c r="M10" i="11" s="1"/>
  <c r="M12" i="11" l="1"/>
  <c r="M6" i="11"/>
  <c r="O6" i="11" s="1"/>
</calcChain>
</file>

<file path=xl/sharedStrings.xml><?xml version="1.0" encoding="utf-8"?>
<sst xmlns="http://schemas.openxmlformats.org/spreadsheetml/2006/main" count="168" uniqueCount="76">
  <si>
    <t>聊閣咖啡仁義店日記帳</t>
    <phoneticPr fontId="5" type="noConversion"/>
  </si>
  <si>
    <t>現金流量表</t>
    <phoneticPr fontId="5" type="noConversion"/>
  </si>
  <si>
    <t>日期</t>
  </si>
  <si>
    <t>營業收入</t>
  </si>
  <si>
    <t>現金收入</t>
  </si>
  <si>
    <t>linepay</t>
  </si>
  <si>
    <t>街口支付</t>
  </si>
  <si>
    <t>烘爸銷售額</t>
    <phoneticPr fontId="5" type="noConversion"/>
  </si>
  <si>
    <t>點點付</t>
  </si>
  <si>
    <t>雜項費用</t>
    <phoneticPr fontId="5" type="noConversion"/>
  </si>
  <si>
    <t>營業費用總額</t>
    <phoneticPr fontId="5" type="noConversion"/>
  </si>
  <si>
    <t>帳差額</t>
    <phoneticPr fontId="5" type="noConversion"/>
  </si>
  <si>
    <t>借方</t>
    <phoneticPr fontId="5" type="noConversion"/>
  </si>
  <si>
    <t>貸方</t>
    <phoneticPr fontId="5" type="noConversion"/>
  </si>
  <si>
    <t>餘額</t>
    <phoneticPr fontId="5" type="noConversion"/>
  </si>
  <si>
    <t>項目盈損</t>
    <phoneticPr fontId="5" type="noConversion"/>
  </si>
  <si>
    <t>營業收入</t>
    <phoneticPr fontId="5" type="noConversion"/>
  </si>
  <si>
    <t>現金收支總額</t>
    <phoneticPr fontId="5" type="noConversion"/>
  </si>
  <si>
    <t>銀行帳戶</t>
    <phoneticPr fontId="5" type="noConversion"/>
  </si>
  <si>
    <t>現金帳餘額</t>
    <phoneticPr fontId="5" type="noConversion"/>
  </si>
  <si>
    <t>各項費用</t>
    <phoneticPr fontId="5" type="noConversion"/>
  </si>
  <si>
    <t>代銷成本</t>
    <phoneticPr fontId="5" type="noConversion"/>
  </si>
  <si>
    <t>公司戶進出</t>
    <phoneticPr fontId="5" type="noConversion"/>
  </si>
  <si>
    <t>稅前毛利</t>
    <phoneticPr fontId="5" type="noConversion"/>
  </si>
  <si>
    <t>人事費</t>
    <phoneticPr fontId="5" type="noConversion"/>
  </si>
  <si>
    <t>當月損益</t>
    <phoneticPr fontId="5" type="noConversion"/>
  </si>
  <si>
    <t>紅字→多錢</t>
  </si>
  <si>
    <t>黑字→少錢</t>
  </si>
  <si>
    <t>項目</t>
  </si>
  <si>
    <t>月營業額</t>
  </si>
  <si>
    <t>費用總額</t>
  </si>
  <si>
    <t>毛利</t>
  </si>
  <si>
    <t>烘爸帳款</t>
    <phoneticPr fontId="5" type="noConversion"/>
  </si>
  <si>
    <t>帳面餘絀</t>
  </si>
  <si>
    <t>每股可分淨額</t>
  </si>
  <si>
    <t>小計</t>
  </si>
  <si>
    <t>聊閣咖啡仁義店支出費用明細</t>
    <phoneticPr fontId="5" type="noConversion"/>
  </si>
  <si>
    <t>費用明細表</t>
  </si>
  <si>
    <t>食材成本</t>
  </si>
  <si>
    <t>固定成本</t>
  </si>
  <si>
    <t>變動成本</t>
  </si>
  <si>
    <t>費用小計</t>
  </si>
  <si>
    <t>項目明細</t>
  </si>
  <si>
    <t>支付憑證</t>
  </si>
  <si>
    <t>10月憑證</t>
  </si>
  <si>
    <t>未結應付賬款</t>
  </si>
  <si>
    <t>咖啡器具(粉碗) 290</t>
  </si>
  <si>
    <t>鮮奶 750
匯費 30
房租 36000
馬克杯 262</t>
    <phoneticPr fontId="5" type="noConversion"/>
  </si>
  <si>
    <t>錯帳調整 2550</t>
  </si>
  <si>
    <t>玻璃杯 238
咖啡器具 424
食材 2800
厚片 90</t>
    <phoneticPr fontId="5" type="noConversion"/>
  </si>
  <si>
    <t>多多 290 果醬 820</t>
  </si>
  <si>
    <t>鮮奶 500 匯費 15</t>
  </si>
  <si>
    <t>厚片 235</t>
  </si>
  <si>
    <t>1700
開元 1870
匯費 15</t>
    <phoneticPr fontId="5" type="noConversion"/>
  </si>
  <si>
    <t>保險 6070</t>
  </si>
  <si>
    <t xml:space="preserve">鮮奶 500
飯模 140 
易達豐 900 
匯費 30 </t>
    <phoneticPr fontId="5" type="noConversion"/>
  </si>
  <si>
    <t>商標註冊及專利技術年費 11700</t>
  </si>
  <si>
    <t>咖啡器具 199
玻璃杯 513</t>
    <phoneticPr fontId="5" type="noConversion"/>
  </si>
  <si>
    <t>標籤貼紙 2400</t>
  </si>
  <si>
    <t>金桔汁 900 匯費 15</t>
  </si>
  <si>
    <t>單位負擔健保 1757</t>
    <phoneticPr fontId="5" type="noConversion"/>
  </si>
  <si>
    <t>金額</t>
    <phoneticPr fontId="5" type="noConversion"/>
  </si>
  <si>
    <t>月變動額度</t>
    <phoneticPr fontId="5" type="noConversion"/>
  </si>
  <si>
    <t>9月憑證</t>
  </si>
  <si>
    <t>開元 1570
匯費 15</t>
    <phoneticPr fontId="5" type="noConversion"/>
  </si>
  <si>
    <t>鮮奶 1250
匯費 15</t>
    <phoneticPr fontId="5" type="noConversion"/>
  </si>
  <si>
    <t>茶葉 3500
匯費 15</t>
    <phoneticPr fontId="5" type="noConversion"/>
  </si>
  <si>
    <t>蔓越莓茶包 4540</t>
    <phoneticPr fontId="5" type="noConversion"/>
  </si>
  <si>
    <t>咖啡豆 8640
匯費 15
咖啡器具 1550
開元 1020
洗手乳 59</t>
    <phoneticPr fontId="5" type="noConversion"/>
  </si>
  <si>
    <t>厚片 235
匯費 15</t>
    <phoneticPr fontId="5" type="noConversion"/>
  </si>
  <si>
    <t>福利（生日禮金） 880</t>
    <phoneticPr fontId="5" type="noConversion"/>
  </si>
  <si>
    <t xml:space="preserve">易達豐 6890 匯費15 </t>
  </si>
  <si>
    <t xml:space="preserve">開元 920 匯費 15 
</t>
  </si>
  <si>
    <t>員工生日 880</t>
    <phoneticPr fontId="5" type="noConversion"/>
  </si>
  <si>
    <t>裝潢雜支 2714 
公司健保 1757 
品皇 1000 
匯費 15</t>
    <phoneticPr fontId="5" type="noConversion"/>
  </si>
  <si>
    <t>開元 895
易達豐 790
玻璃杯 402
咖啡器具 382
匯費 45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</si>
</sst>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/dd"/>
    <numFmt numFmtId="177" formatCode="0_);[Red]\(0\)"/>
    <numFmt numFmtId="178" formatCode="0;[Red]0"/>
  </numFmts>
  <fonts count="22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8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8"/>
      <color rgb="FF00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u/>
      <sz val="10"/>
      <color rgb="FF0000FF"/>
      <name val="Microsoft JHengHei"/>
      <family val="2"/>
      <charset val="136"/>
    </font>
    <font>
      <u/>
      <sz val="10"/>
      <color theme="10"/>
      <name val="Microsoft JHengHei"/>
      <family val="2"/>
      <charset val="136"/>
    </font>
    <font>
      <u/>
      <sz val="10"/>
      <color rgb="FF1155CC"/>
      <name val="Microsoft JHengHei"/>
      <family val="2"/>
      <charset val="136"/>
    </font>
    <font>
      <sz val="20"/>
      <color rgb="FF000000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theme="1" tint="9.9978637043366805E-2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/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12" fillId="0" borderId="0" xfId="0" applyFont="1" applyAlignment="1">
      <alignment vertical="top" wrapText="1"/>
    </xf>
    <xf numFmtId="0" fontId="15" fillId="0" borderId="0" xfId="0" applyFont="1" applyAlignment="1">
      <alignment horizontal="left" vertical="top"/>
    </xf>
    <xf numFmtId="0" fontId="16" fillId="0" borderId="0" xfId="1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6" fillId="0" borderId="0" xfId="2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6" xfId="0" applyFont="1" applyBorder="1"/>
    <xf numFmtId="0" fontId="10" fillId="0" borderId="0" xfId="0" applyFont="1"/>
    <xf numFmtId="176" fontId="12" fillId="0" borderId="5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0" fontId="11" fillId="0" borderId="1" xfId="0" applyFont="1" applyBorder="1"/>
    <xf numFmtId="0" fontId="11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2" fillId="0" borderId="9" xfId="0" applyFont="1" applyBorder="1"/>
    <xf numFmtId="0" fontId="10" fillId="0" borderId="11" xfId="0" applyFont="1" applyBorder="1" applyAlignment="1">
      <alignment horizontal="center" vertical="center"/>
    </xf>
    <xf numFmtId="0" fontId="12" fillId="0" borderId="12" xfId="0" applyFont="1" applyBorder="1"/>
    <xf numFmtId="0" fontId="1" fillId="0" borderId="0" xfId="1" applyAlignment="1">
      <alignment horizontal="left" vertical="top"/>
    </xf>
    <xf numFmtId="0" fontId="11" fillId="0" borderId="0" xfId="0" applyFont="1" applyAlignment="1">
      <alignment wrapText="1"/>
    </xf>
    <xf numFmtId="0" fontId="1" fillId="0" borderId="0" xfId="2" applyAlignment="1">
      <alignment horizontal="left" vertical="top"/>
    </xf>
    <xf numFmtId="0" fontId="10" fillId="0" borderId="17" xfId="0" applyFont="1" applyBorder="1"/>
    <xf numFmtId="0" fontId="12" fillId="5" borderId="20" xfId="0" applyFont="1" applyFill="1" applyBorder="1"/>
    <xf numFmtId="0" fontId="19" fillId="5" borderId="21" xfId="0" applyFont="1" applyFill="1" applyBorder="1"/>
    <xf numFmtId="0" fontId="10" fillId="5" borderId="21" xfId="0" applyFont="1" applyFill="1" applyBorder="1"/>
    <xf numFmtId="0" fontId="10" fillId="5" borderId="22" xfId="0" applyFont="1" applyFill="1" applyBorder="1"/>
    <xf numFmtId="0" fontId="11" fillId="5" borderId="1" xfId="0" applyFont="1" applyFill="1" applyBorder="1"/>
    <xf numFmtId="1" fontId="11" fillId="5" borderId="1" xfId="0" applyNumberFormat="1" applyFont="1" applyFill="1" applyBorder="1"/>
    <xf numFmtId="1" fontId="11" fillId="5" borderId="1" xfId="0" applyNumberFormat="1" applyFont="1" applyFill="1" applyBorder="1" applyAlignment="1">
      <alignment wrapText="1" shrinkToFit="1"/>
    </xf>
    <xf numFmtId="0" fontId="11" fillId="0" borderId="23" xfId="0" applyFont="1" applyBorder="1"/>
    <xf numFmtId="0" fontId="11" fillId="0" borderId="25" xfId="0" applyFont="1" applyBorder="1"/>
    <xf numFmtId="0" fontId="11" fillId="0" borderId="24" xfId="0" applyFont="1" applyBorder="1"/>
    <xf numFmtId="0" fontId="12" fillId="0" borderId="26" xfId="0" applyFont="1" applyBorder="1"/>
    <xf numFmtId="1" fontId="12" fillId="0" borderId="17" xfId="0" applyNumberFormat="1" applyFont="1" applyBorder="1"/>
    <xf numFmtId="1" fontId="12" fillId="0" borderId="12" xfId="0" applyNumberFormat="1" applyFont="1" applyBorder="1"/>
    <xf numFmtId="177" fontId="12" fillId="0" borderId="6" xfId="0" applyNumberFormat="1" applyFont="1" applyBorder="1"/>
    <xf numFmtId="177" fontId="12" fillId="0" borderId="12" xfId="0" applyNumberFormat="1" applyFont="1" applyBorder="1"/>
    <xf numFmtId="178" fontId="11" fillId="5" borderId="1" xfId="0" applyNumberFormat="1" applyFont="1" applyFill="1" applyBorder="1"/>
    <xf numFmtId="178" fontId="11" fillId="0" borderId="1" xfId="0" applyNumberFormat="1" applyFont="1" applyBorder="1"/>
    <xf numFmtId="0" fontId="20" fillId="0" borderId="0" xfId="0" applyFont="1"/>
    <xf numFmtId="178" fontId="12" fillId="5" borderId="1" xfId="0" applyNumberFormat="1" applyFont="1" applyFill="1" applyBorder="1"/>
    <xf numFmtId="0" fontId="21" fillId="0" borderId="1" xfId="0" applyFont="1" applyBorder="1"/>
    <xf numFmtId="0" fontId="10" fillId="2" borderId="0" xfId="0" applyFont="1" applyFill="1" applyAlignment="1">
      <alignment horizontal="center" vertical="center"/>
    </xf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16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" fillId="0" borderId="0" xfId="2" applyAlignment="1">
      <alignment horizontal="center" vertical="top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</cellXfs>
  <cellStyles count="3">
    <cellStyle name="Hyperlink" xfId="1" xr:uid="{00000000-000B-0000-0000-000008000000}"/>
    <cellStyle name="一般" xfId="0" builtinId="0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o/z7ooaje3jtki52s6vm354/AC6WzbiraOrNb7kRwGsc8s0?rlkey=47m0wf0px3izdhitcitu2c87u&amp;st=6nzhmqcl&amp;dl=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ropbox.com/scl/fo/z7ooaje3jtki52s6vm354/AC6WzbiraOrNb7kRwGsc8s0?rlkey=47m0wf0px3izdhitcitu2c87u&amp;st=6nzhmqcl&amp;dl=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ropbox.com/scl/fo/awsh1r4ijadlmkyenrttj/AJb6OraDkPpytkP0PVNV9Js?rlkey=651x2s1wsunseb8jk9cmb18r7&amp;st=rbanuz6b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DEC6-80FA-41F4-A7F0-69758C6201E9}">
  <sheetPr>
    <outlinePr summaryBelow="0" summaryRight="0"/>
  </sheetPr>
  <dimension ref="A1:AB1003"/>
  <sheetViews>
    <sheetView tabSelected="1" zoomScale="120" zoomScaleNormal="120" zoomScaleSheetLayoutView="100" workbookViewId="0">
      <pane ySplit="2" topLeftCell="A3" activePane="bottomLeft" state="frozen"/>
      <selection pane="bottomLeft" activeCell="C13" sqref="C13"/>
      <selection activeCell="B1" sqref="B1"/>
    </sheetView>
  </sheetViews>
  <sheetFormatPr defaultColWidth="12.42578125" defaultRowHeight="15.75"/>
  <cols>
    <col min="1" max="1" width="8.42578125" style="12" bestFit="1" customWidth="1"/>
    <col min="2" max="3" width="10.42578125" style="12" bestFit="1" customWidth="1"/>
    <col min="4" max="4" width="9.42578125" style="12" bestFit="1" customWidth="1"/>
    <col min="5" max="5" width="10.42578125" style="12" bestFit="1" customWidth="1"/>
    <col min="6" max="6" width="13.85546875" style="12" customWidth="1"/>
    <col min="7" max="7" width="11.85546875" style="12" customWidth="1"/>
    <col min="8" max="9" width="10.85546875" style="12" customWidth="1"/>
    <col min="10" max="10" width="12.140625" style="12" customWidth="1"/>
    <col min="11" max="11" width="8.28515625" style="12" customWidth="1"/>
    <col min="12" max="12" width="12.140625" style="12" customWidth="1"/>
    <col min="13" max="13" width="11.42578125" style="12" bestFit="1" customWidth="1"/>
    <col min="14" max="14" width="15.28515625" style="12" bestFit="1" customWidth="1"/>
    <col min="15" max="15" width="15.140625" style="12" customWidth="1"/>
    <col min="16" max="16384" width="12.42578125" style="12"/>
  </cols>
  <sheetData>
    <row r="1" spans="1:28" ht="28.35" customHeight="1">
      <c r="A1" s="63" t="s">
        <v>0</v>
      </c>
      <c r="B1" s="64"/>
      <c r="C1" s="64"/>
      <c r="D1" s="64"/>
      <c r="E1" s="64"/>
      <c r="F1" s="64"/>
      <c r="G1" s="64"/>
      <c r="H1" s="64"/>
      <c r="I1" s="65"/>
      <c r="J1" s="66"/>
      <c r="L1" s="67" t="s">
        <v>1</v>
      </c>
      <c r="M1" s="68"/>
      <c r="N1" s="68"/>
      <c r="O1" s="68"/>
      <c r="P1" s="68"/>
    </row>
    <row r="2" spans="1:28" ht="16.5">
      <c r="A2" s="25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41" t="s">
        <v>10</v>
      </c>
      <c r="J2" s="27" t="s">
        <v>11</v>
      </c>
      <c r="K2" s="28"/>
      <c r="L2" s="42"/>
      <c r="M2" s="43" t="s">
        <v>12</v>
      </c>
      <c r="N2" s="44" t="s">
        <v>13</v>
      </c>
      <c r="O2" s="44" t="s">
        <v>14</v>
      </c>
      <c r="P2" s="45" t="s">
        <v>15</v>
      </c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>
      <c r="A3" s="29">
        <v>45597</v>
      </c>
      <c r="B3" s="30">
        <v>1630</v>
      </c>
      <c r="C3" s="30"/>
      <c r="D3" s="30"/>
      <c r="E3" s="30"/>
      <c r="F3" s="30"/>
      <c r="G3" s="30"/>
      <c r="H3" s="30">
        <f>'11月費用明細憑證'!E3</f>
        <v>0</v>
      </c>
      <c r="I3" s="53">
        <f>H3+(F3*0.7)</f>
        <v>0</v>
      </c>
      <c r="J3" s="55">
        <f t="shared" ref="J3:J8" si="0">(B3-C3-D3-E3-G3)</f>
        <v>1630</v>
      </c>
      <c r="K3" s="31"/>
      <c r="L3" s="46" t="s">
        <v>16</v>
      </c>
      <c r="M3" s="57">
        <f>SUM(C3:C32)</f>
        <v>0</v>
      </c>
      <c r="N3" s="60">
        <f>N4</f>
        <v>0</v>
      </c>
      <c r="O3" s="46">
        <f>M3-N3</f>
        <v>0</v>
      </c>
      <c r="P3" s="47">
        <f>N3</f>
        <v>0</v>
      </c>
    </row>
    <row r="4" spans="1:28">
      <c r="A4" s="29">
        <v>45598</v>
      </c>
      <c r="B4" s="30">
        <v>2638</v>
      </c>
      <c r="C4" s="30"/>
      <c r="D4" s="30"/>
      <c r="E4" s="30"/>
      <c r="F4" s="30"/>
      <c r="G4" s="30"/>
      <c r="H4" s="30">
        <f>'11月費用明細憑證'!E4</f>
        <v>0</v>
      </c>
      <c r="I4" s="53">
        <f t="shared" ref="I4:I33" si="1">H4+(F4*0.7)</f>
        <v>0</v>
      </c>
      <c r="J4" s="55">
        <f t="shared" si="0"/>
        <v>2638</v>
      </c>
      <c r="K4" s="31"/>
      <c r="L4" s="46" t="s">
        <v>17</v>
      </c>
      <c r="M4" s="57">
        <f>SUM(C3:C33)+M9</f>
        <v>0</v>
      </c>
      <c r="N4" s="60">
        <f>M7+O7</f>
        <v>0</v>
      </c>
      <c r="O4" s="57">
        <f>M4-N4</f>
        <v>0</v>
      </c>
      <c r="P4" s="47"/>
    </row>
    <row r="5" spans="1:28">
      <c r="A5" s="29">
        <v>45599</v>
      </c>
      <c r="B5" s="30">
        <v>1066</v>
      </c>
      <c r="C5" s="30"/>
      <c r="D5" s="30"/>
      <c r="E5" s="30"/>
      <c r="F5" s="30"/>
      <c r="G5" s="30"/>
      <c r="H5" s="30">
        <f>'11月費用明細憑證'!E5</f>
        <v>0</v>
      </c>
      <c r="I5" s="53">
        <f t="shared" si="1"/>
        <v>0</v>
      </c>
      <c r="J5" s="55">
        <f t="shared" si="0"/>
        <v>1066</v>
      </c>
      <c r="K5" s="31"/>
      <c r="L5" s="46" t="s">
        <v>18</v>
      </c>
      <c r="M5" s="57"/>
      <c r="N5" s="46"/>
      <c r="O5" s="46">
        <f>M5-N5</f>
        <v>0</v>
      </c>
      <c r="P5" s="48">
        <f>M5-N5</f>
        <v>0</v>
      </c>
    </row>
    <row r="6" spans="1:28">
      <c r="A6" s="29">
        <v>45600</v>
      </c>
      <c r="B6" s="30">
        <v>1761</v>
      </c>
      <c r="C6" s="30"/>
      <c r="D6" s="30"/>
      <c r="E6" s="30"/>
      <c r="F6" s="30"/>
      <c r="G6" s="30"/>
      <c r="H6" s="30">
        <f>'11月費用明細憑證'!E6</f>
        <v>0</v>
      </c>
      <c r="I6" s="53">
        <f t="shared" si="1"/>
        <v>0</v>
      </c>
      <c r="J6" s="55">
        <f t="shared" si="0"/>
        <v>1761</v>
      </c>
      <c r="K6" s="31"/>
      <c r="L6" s="46" t="s">
        <v>19</v>
      </c>
      <c r="M6" s="57">
        <f>M9+M10-M11+O7</f>
        <v>0</v>
      </c>
      <c r="N6" s="46"/>
      <c r="O6" s="46">
        <f>M6-N6</f>
        <v>0</v>
      </c>
      <c r="P6" s="46"/>
    </row>
    <row r="7" spans="1:28">
      <c r="A7" s="29">
        <v>45601</v>
      </c>
      <c r="B7" s="30">
        <v>1032</v>
      </c>
      <c r="C7" s="30"/>
      <c r="D7" s="30"/>
      <c r="E7" s="30"/>
      <c r="F7" s="30"/>
      <c r="G7" s="30"/>
      <c r="H7" s="30">
        <f>'11月費用明細憑證'!E7</f>
        <v>0</v>
      </c>
      <c r="I7" s="53">
        <f t="shared" si="1"/>
        <v>0</v>
      </c>
      <c r="J7" s="55">
        <f t="shared" si="0"/>
        <v>1032</v>
      </c>
      <c r="K7" s="31"/>
      <c r="L7" s="32" t="s">
        <v>20</v>
      </c>
      <c r="M7" s="58">
        <f>C35</f>
        <v>0</v>
      </c>
      <c r="N7" s="32" t="s">
        <v>21</v>
      </c>
      <c r="O7" s="58">
        <f>F35</f>
        <v>0</v>
      </c>
      <c r="P7" s="32"/>
    </row>
    <row r="8" spans="1:28">
      <c r="A8" s="29">
        <v>45602</v>
      </c>
      <c r="B8" s="30">
        <v>1736</v>
      </c>
      <c r="C8" s="30"/>
      <c r="D8" s="30"/>
      <c r="E8" s="30"/>
      <c r="F8" s="30"/>
      <c r="G8" s="30"/>
      <c r="H8" s="30">
        <f>'11月費用明細憑證'!E8</f>
        <v>0</v>
      </c>
      <c r="I8" s="53">
        <f t="shared" si="1"/>
        <v>0</v>
      </c>
      <c r="J8" s="55">
        <f t="shared" si="0"/>
        <v>1736</v>
      </c>
      <c r="K8" s="31"/>
      <c r="L8" s="46"/>
      <c r="M8" s="57"/>
      <c r="N8" s="46"/>
      <c r="O8" s="46"/>
      <c r="P8" s="46"/>
    </row>
    <row r="9" spans="1:28">
      <c r="A9" s="29">
        <v>45603</v>
      </c>
      <c r="B9" s="30">
        <v>1864</v>
      </c>
      <c r="C9" s="30"/>
      <c r="D9" s="30"/>
      <c r="E9" s="30"/>
      <c r="F9" s="30"/>
      <c r="G9" s="30"/>
      <c r="H9" s="30">
        <f>'11月費用明細憑證'!E9</f>
        <v>0</v>
      </c>
      <c r="I9" s="53">
        <f t="shared" si="1"/>
        <v>0</v>
      </c>
      <c r="J9" s="55">
        <f>(B9-C9-D9-E9-G9)</f>
        <v>1864</v>
      </c>
      <c r="K9" s="31"/>
      <c r="L9" s="46" t="s">
        <v>22</v>
      </c>
      <c r="M9" s="57"/>
      <c r="N9" s="46"/>
      <c r="O9" s="46"/>
      <c r="P9" s="46"/>
    </row>
    <row r="10" spans="1:28">
      <c r="A10" s="29">
        <v>45604</v>
      </c>
      <c r="B10" s="32">
        <v>495</v>
      </c>
      <c r="C10" s="32"/>
      <c r="D10" s="32"/>
      <c r="E10" s="32"/>
      <c r="F10" s="32"/>
      <c r="G10" s="32"/>
      <c r="H10" s="30">
        <f>'11月費用明細憑證'!E10</f>
        <v>0</v>
      </c>
      <c r="I10" s="53">
        <f t="shared" si="1"/>
        <v>0</v>
      </c>
      <c r="J10" s="55">
        <f>(B10-C10-D10-E10-G10)</f>
        <v>495</v>
      </c>
      <c r="K10" s="31"/>
      <c r="L10" s="46" t="s">
        <v>23</v>
      </c>
      <c r="M10" s="57">
        <f>O3</f>
        <v>0</v>
      </c>
      <c r="N10" s="46"/>
      <c r="O10" s="46"/>
      <c r="P10" s="46"/>
    </row>
    <row r="11" spans="1:28">
      <c r="A11" s="29">
        <v>45605</v>
      </c>
      <c r="B11" s="32">
        <v>2143</v>
      </c>
      <c r="C11" s="32"/>
      <c r="D11" s="32"/>
      <c r="E11" s="32"/>
      <c r="F11" s="32"/>
      <c r="G11" s="32"/>
      <c r="H11" s="30">
        <f>'11月費用明細憑證'!E11</f>
        <v>0</v>
      </c>
      <c r="I11" s="53">
        <f t="shared" si="1"/>
        <v>0</v>
      </c>
      <c r="J11" s="55">
        <f>(B11-C11-D11-E11-F11)</f>
        <v>2143</v>
      </c>
      <c r="K11" s="31"/>
      <c r="L11" s="32" t="s">
        <v>24</v>
      </c>
      <c r="M11" s="58"/>
      <c r="N11" s="32"/>
      <c r="O11" s="32"/>
      <c r="P11" s="32"/>
    </row>
    <row r="12" spans="1:28">
      <c r="A12" s="29">
        <v>45606</v>
      </c>
      <c r="B12" s="32">
        <v>2956</v>
      </c>
      <c r="C12" s="32"/>
      <c r="D12" s="32"/>
      <c r="E12" s="32"/>
      <c r="F12" s="32"/>
      <c r="H12" s="30">
        <f>'11月費用明細憑證'!E12</f>
        <v>0</v>
      </c>
      <c r="I12" s="53">
        <f t="shared" si="1"/>
        <v>0</v>
      </c>
      <c r="J12" s="55">
        <f>(B12-C12-D12-E12-G11)</f>
        <v>2956</v>
      </c>
      <c r="K12" s="31"/>
      <c r="L12" s="32" t="s">
        <v>25</v>
      </c>
      <c r="M12" s="58">
        <f>M10-M11</f>
        <v>0</v>
      </c>
      <c r="N12" s="32"/>
      <c r="O12" s="32"/>
      <c r="P12" s="32"/>
    </row>
    <row r="13" spans="1:28">
      <c r="A13" s="29">
        <v>45607</v>
      </c>
      <c r="B13" s="32">
        <v>1528</v>
      </c>
      <c r="C13" s="32"/>
      <c r="D13" s="32"/>
      <c r="E13" s="32"/>
      <c r="F13" s="32"/>
      <c r="G13" s="32"/>
      <c r="H13" s="30">
        <f>'11月費用明細憑證'!E13</f>
        <v>0</v>
      </c>
      <c r="I13" s="53">
        <f t="shared" si="1"/>
        <v>0</v>
      </c>
      <c r="J13" s="55">
        <f t="shared" ref="J13:J33" si="2">(B13-C13-D13-E13-G13)</f>
        <v>1528</v>
      </c>
      <c r="K13" s="31"/>
    </row>
    <row r="14" spans="1:28">
      <c r="A14" s="29">
        <v>45608</v>
      </c>
      <c r="B14" s="32"/>
      <c r="C14" s="32"/>
      <c r="D14" s="32"/>
      <c r="E14" s="32"/>
      <c r="F14" s="32"/>
      <c r="G14" s="32"/>
      <c r="H14" s="30">
        <f>'11月費用明細憑證'!E14</f>
        <v>0</v>
      </c>
      <c r="I14" s="53">
        <f t="shared" si="1"/>
        <v>0</v>
      </c>
      <c r="J14" s="55">
        <f t="shared" si="2"/>
        <v>0</v>
      </c>
      <c r="K14" s="31"/>
    </row>
    <row r="15" spans="1:28">
      <c r="A15" s="29">
        <v>45609</v>
      </c>
      <c r="B15" s="32"/>
      <c r="C15" s="32"/>
      <c r="D15" s="32"/>
      <c r="E15" s="32"/>
      <c r="F15" s="32"/>
      <c r="G15" s="32"/>
      <c r="H15" s="30">
        <f>'11月費用明細憑證'!E15</f>
        <v>0</v>
      </c>
      <c r="I15" s="53">
        <f>H15+(F15*0.7)</f>
        <v>0</v>
      </c>
      <c r="J15" s="55">
        <f t="shared" si="2"/>
        <v>0</v>
      </c>
      <c r="K15" s="31"/>
    </row>
    <row r="16" spans="1:28">
      <c r="A16" s="29">
        <v>45610</v>
      </c>
      <c r="B16" s="32"/>
      <c r="C16" s="32"/>
      <c r="D16" s="32"/>
      <c r="E16" s="32"/>
      <c r="F16" s="32"/>
      <c r="G16" s="32"/>
      <c r="H16" s="30">
        <f>'11月費用明細憑證'!E16</f>
        <v>0</v>
      </c>
      <c r="I16" s="53">
        <f t="shared" si="1"/>
        <v>0</v>
      </c>
      <c r="J16" s="55">
        <f t="shared" si="2"/>
        <v>0</v>
      </c>
      <c r="K16" s="31"/>
      <c r="L16" s="59" t="s">
        <v>26</v>
      </c>
    </row>
    <row r="17" spans="1:12">
      <c r="A17" s="29">
        <v>45611</v>
      </c>
      <c r="B17" s="32"/>
      <c r="C17" s="30"/>
      <c r="D17" s="32"/>
      <c r="E17" s="32"/>
      <c r="F17" s="32"/>
      <c r="G17" s="32"/>
      <c r="H17" s="30">
        <f>'11月費用明細憑證'!E17</f>
        <v>0</v>
      </c>
      <c r="I17" s="53">
        <f t="shared" si="1"/>
        <v>0</v>
      </c>
      <c r="J17" s="55">
        <f t="shared" si="2"/>
        <v>0</v>
      </c>
      <c r="K17" s="31"/>
      <c r="L17" s="12" t="s">
        <v>27</v>
      </c>
    </row>
    <row r="18" spans="1:12">
      <c r="A18" s="29">
        <v>45612</v>
      </c>
      <c r="B18" s="32"/>
      <c r="C18" s="61"/>
      <c r="D18" s="32"/>
      <c r="E18" s="32"/>
      <c r="F18" s="32"/>
      <c r="G18" s="32"/>
      <c r="H18" s="30">
        <f>'11月費用明細憑證'!E18</f>
        <v>0</v>
      </c>
      <c r="I18" s="53">
        <f t="shared" si="1"/>
        <v>0</v>
      </c>
      <c r="J18" s="55">
        <f t="shared" si="2"/>
        <v>0</v>
      </c>
    </row>
    <row r="19" spans="1:12">
      <c r="A19" s="29">
        <v>45613</v>
      </c>
      <c r="B19" s="32"/>
      <c r="C19" s="32"/>
      <c r="D19" s="32"/>
      <c r="E19" s="32"/>
      <c r="F19" s="32"/>
      <c r="G19" s="32"/>
      <c r="H19" s="30">
        <f>'11月費用明細憑證'!E19</f>
        <v>0</v>
      </c>
      <c r="I19" s="53">
        <f>H19+(F19*0.7)</f>
        <v>0</v>
      </c>
      <c r="J19" s="55">
        <f t="shared" si="2"/>
        <v>0</v>
      </c>
    </row>
    <row r="20" spans="1:12">
      <c r="A20" s="29">
        <v>45614</v>
      </c>
      <c r="B20" s="32"/>
      <c r="C20" s="32"/>
      <c r="D20" s="32"/>
      <c r="E20" s="32"/>
      <c r="F20" s="32"/>
      <c r="G20" s="32"/>
      <c r="H20" s="30">
        <f>'11月費用明細憑證'!E20</f>
        <v>0</v>
      </c>
      <c r="I20" s="53">
        <f>H20+(F20*0.7)</f>
        <v>0</v>
      </c>
      <c r="J20" s="55">
        <f t="shared" si="2"/>
        <v>0</v>
      </c>
    </row>
    <row r="21" spans="1:12">
      <c r="A21" s="29">
        <v>45615</v>
      </c>
      <c r="B21" s="32"/>
      <c r="C21" s="32"/>
      <c r="D21" s="32"/>
      <c r="E21" s="32"/>
      <c r="F21" s="32"/>
      <c r="G21" s="32"/>
      <c r="H21" s="30">
        <f>'11月費用明細憑證'!E21</f>
        <v>0</v>
      </c>
      <c r="I21" s="53">
        <f t="shared" si="1"/>
        <v>0</v>
      </c>
      <c r="J21" s="55">
        <f t="shared" si="2"/>
        <v>0</v>
      </c>
    </row>
    <row r="22" spans="1:12">
      <c r="A22" s="29">
        <v>45616</v>
      </c>
      <c r="B22" s="32"/>
      <c r="C22" s="32"/>
      <c r="D22" s="32"/>
      <c r="E22" s="32"/>
      <c r="F22" s="32"/>
      <c r="G22" s="32"/>
      <c r="H22" s="30">
        <f>'11月費用明細憑證'!E22</f>
        <v>0</v>
      </c>
      <c r="I22" s="53">
        <f t="shared" si="1"/>
        <v>0</v>
      </c>
      <c r="J22" s="55">
        <f t="shared" si="2"/>
        <v>0</v>
      </c>
    </row>
    <row r="23" spans="1:12">
      <c r="A23" s="29">
        <v>45617</v>
      </c>
      <c r="B23" s="32"/>
      <c r="C23" s="32"/>
      <c r="D23" s="32"/>
      <c r="E23" s="32"/>
      <c r="F23" s="32"/>
      <c r="G23" s="32"/>
      <c r="H23" s="30">
        <f>'11月費用明細憑證'!E23</f>
        <v>0</v>
      </c>
      <c r="I23" s="53">
        <f t="shared" si="1"/>
        <v>0</v>
      </c>
      <c r="J23" s="55">
        <f t="shared" si="2"/>
        <v>0</v>
      </c>
    </row>
    <row r="24" spans="1:12">
      <c r="A24" s="29">
        <v>45618</v>
      </c>
      <c r="B24" s="32"/>
      <c r="C24" s="32"/>
      <c r="D24" s="32"/>
      <c r="E24" s="32"/>
      <c r="F24" s="32"/>
      <c r="G24" s="32"/>
      <c r="H24" s="30">
        <f>'11月費用明細憑證'!E24</f>
        <v>0</v>
      </c>
      <c r="I24" s="53">
        <f>H24+(F24*0.7)</f>
        <v>0</v>
      </c>
      <c r="J24" s="55">
        <f t="shared" si="2"/>
        <v>0</v>
      </c>
    </row>
    <row r="25" spans="1:12">
      <c r="A25" s="29">
        <v>45619</v>
      </c>
      <c r="B25" s="32"/>
      <c r="C25" s="32"/>
      <c r="D25" s="32"/>
      <c r="E25" s="32"/>
      <c r="F25" s="32"/>
      <c r="G25" s="32"/>
      <c r="H25" s="30">
        <f>'11月費用明細憑證'!E25</f>
        <v>0</v>
      </c>
      <c r="I25" s="53">
        <f t="shared" si="1"/>
        <v>0</v>
      </c>
      <c r="J25" s="55">
        <f t="shared" si="2"/>
        <v>0</v>
      </c>
    </row>
    <row r="26" spans="1:12">
      <c r="A26" s="29">
        <v>45620</v>
      </c>
      <c r="B26" s="32"/>
      <c r="C26" s="32"/>
      <c r="D26" s="32"/>
      <c r="E26" s="32"/>
      <c r="F26" s="32"/>
      <c r="G26" s="32"/>
      <c r="H26" s="30">
        <f>'11月費用明細憑證'!E26</f>
        <v>0</v>
      </c>
      <c r="I26" s="53">
        <f t="shared" si="1"/>
        <v>0</v>
      </c>
      <c r="J26" s="55">
        <f t="shared" si="2"/>
        <v>0</v>
      </c>
    </row>
    <row r="27" spans="1:12">
      <c r="A27" s="29">
        <v>45621</v>
      </c>
      <c r="B27" s="32"/>
      <c r="C27" s="32"/>
      <c r="D27" s="32"/>
      <c r="E27" s="32"/>
      <c r="F27" s="32"/>
      <c r="G27" s="32"/>
      <c r="H27" s="30">
        <f>'11月費用明細憑證'!E27</f>
        <v>0</v>
      </c>
      <c r="I27" s="53">
        <f t="shared" si="1"/>
        <v>0</v>
      </c>
      <c r="J27" s="55">
        <f t="shared" si="2"/>
        <v>0</v>
      </c>
    </row>
    <row r="28" spans="1:12">
      <c r="A28" s="29">
        <v>45622</v>
      </c>
      <c r="B28" s="32"/>
      <c r="C28" s="32"/>
      <c r="D28" s="32"/>
      <c r="E28" s="32"/>
      <c r="F28" s="32"/>
      <c r="G28" s="32"/>
      <c r="H28" s="30">
        <f>'11月費用明細憑證'!E28</f>
        <v>0</v>
      </c>
      <c r="I28" s="53">
        <f t="shared" si="1"/>
        <v>0</v>
      </c>
      <c r="J28" s="55">
        <f t="shared" si="2"/>
        <v>0</v>
      </c>
    </row>
    <row r="29" spans="1:12">
      <c r="A29" s="29">
        <v>45623</v>
      </c>
      <c r="B29" s="32"/>
      <c r="C29" s="32"/>
      <c r="D29" s="32"/>
      <c r="E29" s="32"/>
      <c r="F29" s="32"/>
      <c r="G29" s="32"/>
      <c r="H29" s="30">
        <f>'11月費用明細憑證'!E29</f>
        <v>0</v>
      </c>
      <c r="I29" s="53">
        <f t="shared" si="1"/>
        <v>0</v>
      </c>
      <c r="J29" s="55">
        <f t="shared" si="2"/>
        <v>0</v>
      </c>
    </row>
    <row r="30" spans="1:12">
      <c r="A30" s="29">
        <v>45624</v>
      </c>
      <c r="B30" s="32"/>
      <c r="C30" s="32"/>
      <c r="D30" s="32"/>
      <c r="E30" s="32"/>
      <c r="F30" s="32"/>
      <c r="G30" s="32"/>
      <c r="H30" s="30">
        <f>'11月費用明細憑證'!E30</f>
        <v>0</v>
      </c>
      <c r="I30" s="53">
        <f t="shared" si="1"/>
        <v>0</v>
      </c>
      <c r="J30" s="55">
        <f t="shared" si="2"/>
        <v>0</v>
      </c>
    </row>
    <row r="31" spans="1:12">
      <c r="A31" s="29">
        <v>45625</v>
      </c>
      <c r="B31" s="32"/>
      <c r="C31" s="32"/>
      <c r="D31" s="32"/>
      <c r="E31" s="32"/>
      <c r="F31" s="32"/>
      <c r="G31" s="32"/>
      <c r="H31" s="30">
        <f>'11月費用明細憑證'!E31</f>
        <v>0</v>
      </c>
      <c r="I31" s="53">
        <f t="shared" si="1"/>
        <v>0</v>
      </c>
      <c r="J31" s="55">
        <f t="shared" si="2"/>
        <v>0</v>
      </c>
    </row>
    <row r="32" spans="1:12">
      <c r="A32" s="29">
        <v>45626</v>
      </c>
      <c r="B32" s="32"/>
      <c r="C32" s="32"/>
      <c r="D32" s="32"/>
      <c r="E32" s="32"/>
      <c r="F32" s="32"/>
      <c r="G32" s="32"/>
      <c r="H32" s="30">
        <f>'11月費用明細憑證'!E32</f>
        <v>0</v>
      </c>
      <c r="I32" s="53">
        <f t="shared" si="1"/>
        <v>0</v>
      </c>
      <c r="J32" s="55">
        <f t="shared" si="2"/>
        <v>0</v>
      </c>
    </row>
    <row r="33" spans="1:11">
      <c r="A33" s="29">
        <v>45627</v>
      </c>
      <c r="B33" s="33"/>
      <c r="C33" s="33"/>
      <c r="D33" s="33"/>
      <c r="E33" s="51"/>
      <c r="F33" s="51"/>
      <c r="G33" s="33"/>
      <c r="H33" s="30">
        <f>'11月費用明細憑證'!E33</f>
        <v>0</v>
      </c>
      <c r="I33" s="53">
        <f t="shared" si="1"/>
        <v>0</v>
      </c>
      <c r="J33" s="55">
        <f t="shared" si="2"/>
        <v>0</v>
      </c>
    </row>
    <row r="34" spans="1:11" ht="16.5">
      <c r="A34" s="34" t="s">
        <v>28</v>
      </c>
      <c r="B34" s="35" t="s">
        <v>29</v>
      </c>
      <c r="C34" s="35" t="s">
        <v>30</v>
      </c>
      <c r="D34" s="35" t="s">
        <v>31</v>
      </c>
      <c r="E34" s="50"/>
      <c r="F34" s="52" t="s">
        <v>32</v>
      </c>
      <c r="G34" s="35" t="s">
        <v>33</v>
      </c>
      <c r="H34" s="70" t="s">
        <v>34</v>
      </c>
      <c r="I34" s="77"/>
      <c r="J34" s="78"/>
      <c r="K34" s="31"/>
    </row>
    <row r="35" spans="1:11" ht="16.5">
      <c r="A35" s="36" t="s">
        <v>35</v>
      </c>
      <c r="B35" s="37">
        <f>SUM(B3:B33)</f>
        <v>18849</v>
      </c>
      <c r="C35" s="37">
        <f>SUM(H3:H33)</f>
        <v>0</v>
      </c>
      <c r="D35" s="37">
        <f>B35-C35</f>
        <v>18849</v>
      </c>
      <c r="E35" s="49"/>
      <c r="F35" s="54">
        <f>SUM(F3:F33)*0.7</f>
        <v>0</v>
      </c>
      <c r="G35" s="56">
        <f>SUM(J3:J33)</f>
        <v>18849</v>
      </c>
      <c r="H35" s="72">
        <f>O8/3</f>
        <v>0</v>
      </c>
      <c r="I35" s="73"/>
      <c r="J35" s="74"/>
      <c r="K35" s="31"/>
    </row>
    <row r="36" spans="1:11">
      <c r="A36" s="24"/>
    </row>
    <row r="37" spans="1:11">
      <c r="A37" s="24"/>
    </row>
    <row r="38" spans="1:11">
      <c r="A38" s="24"/>
    </row>
    <row r="39" spans="1:11">
      <c r="A39" s="24"/>
    </row>
    <row r="40" spans="1:11">
      <c r="A40" s="24"/>
    </row>
    <row r="41" spans="1:11">
      <c r="A41" s="24"/>
    </row>
    <row r="42" spans="1:11">
      <c r="A42" s="24"/>
    </row>
    <row r="43" spans="1:11">
      <c r="A43" s="24"/>
    </row>
    <row r="44" spans="1:11">
      <c r="A44" s="24"/>
    </row>
    <row r="45" spans="1:11">
      <c r="A45" s="24"/>
    </row>
    <row r="46" spans="1:11">
      <c r="A46" s="24"/>
    </row>
    <row r="47" spans="1:11">
      <c r="A47" s="24"/>
    </row>
    <row r="48" spans="1:11">
      <c r="A48" s="24"/>
    </row>
    <row r="49" spans="1:1">
      <c r="A49" s="24"/>
    </row>
    <row r="50" spans="1:1">
      <c r="A50" s="24"/>
    </row>
    <row r="51" spans="1:1">
      <c r="A51" s="24"/>
    </row>
    <row r="52" spans="1:1">
      <c r="A52" s="24"/>
    </row>
    <row r="53" spans="1:1">
      <c r="A53" s="24"/>
    </row>
    <row r="54" spans="1:1">
      <c r="A54" s="24"/>
    </row>
    <row r="55" spans="1:1">
      <c r="A55" s="24"/>
    </row>
    <row r="56" spans="1:1">
      <c r="A56" s="24"/>
    </row>
    <row r="57" spans="1:1">
      <c r="A57" s="24"/>
    </row>
    <row r="58" spans="1:1">
      <c r="A58" s="24"/>
    </row>
    <row r="59" spans="1:1">
      <c r="A59" s="24"/>
    </row>
    <row r="60" spans="1:1">
      <c r="A60" s="24"/>
    </row>
    <row r="61" spans="1:1">
      <c r="A61" s="24"/>
    </row>
    <row r="62" spans="1:1">
      <c r="A62" s="24"/>
    </row>
    <row r="63" spans="1:1">
      <c r="A63" s="24"/>
    </row>
    <row r="64" spans="1:1">
      <c r="A64" s="24"/>
    </row>
    <row r="65" spans="1:1">
      <c r="A65" s="24"/>
    </row>
    <row r="66" spans="1:1">
      <c r="A66" s="24"/>
    </row>
    <row r="67" spans="1:1">
      <c r="A67" s="24"/>
    </row>
    <row r="68" spans="1:1">
      <c r="A68" s="24"/>
    </row>
    <row r="69" spans="1:1">
      <c r="A69" s="24"/>
    </row>
    <row r="70" spans="1:1">
      <c r="A70" s="24"/>
    </row>
    <row r="71" spans="1:1">
      <c r="A71" s="24"/>
    </row>
    <row r="72" spans="1:1">
      <c r="A72" s="24"/>
    </row>
    <row r="73" spans="1:1">
      <c r="A73" s="24"/>
    </row>
    <row r="74" spans="1:1">
      <c r="A74" s="24"/>
    </row>
    <row r="75" spans="1:1">
      <c r="A75" s="24"/>
    </row>
    <row r="76" spans="1:1">
      <c r="A76" s="24"/>
    </row>
    <row r="77" spans="1:1">
      <c r="A77" s="24"/>
    </row>
    <row r="78" spans="1:1">
      <c r="A78" s="24"/>
    </row>
    <row r="79" spans="1:1">
      <c r="A79" s="24"/>
    </row>
    <row r="80" spans="1:1">
      <c r="A80" s="24"/>
    </row>
    <row r="81" spans="1:1">
      <c r="A81" s="24"/>
    </row>
    <row r="82" spans="1:1">
      <c r="A82" s="24"/>
    </row>
    <row r="83" spans="1:1">
      <c r="A83" s="24"/>
    </row>
    <row r="84" spans="1:1">
      <c r="A84" s="24"/>
    </row>
    <row r="85" spans="1:1">
      <c r="A85" s="24"/>
    </row>
    <row r="86" spans="1:1">
      <c r="A86" s="24"/>
    </row>
    <row r="87" spans="1:1">
      <c r="A87" s="24"/>
    </row>
    <row r="88" spans="1:1">
      <c r="A88" s="24"/>
    </row>
    <row r="89" spans="1:1">
      <c r="A89" s="24"/>
    </row>
    <row r="90" spans="1:1">
      <c r="A90" s="24"/>
    </row>
    <row r="91" spans="1:1">
      <c r="A91" s="24"/>
    </row>
    <row r="92" spans="1:1">
      <c r="A92" s="24"/>
    </row>
    <row r="93" spans="1:1">
      <c r="A93" s="24"/>
    </row>
    <row r="94" spans="1:1">
      <c r="A94" s="24"/>
    </row>
    <row r="95" spans="1:1">
      <c r="A95" s="24"/>
    </row>
    <row r="96" spans="1:1">
      <c r="A96" s="24"/>
    </row>
    <row r="97" spans="1:1">
      <c r="A97" s="24"/>
    </row>
    <row r="98" spans="1:1">
      <c r="A98" s="24"/>
    </row>
    <row r="99" spans="1:1">
      <c r="A99" s="24"/>
    </row>
    <row r="100" spans="1:1">
      <c r="A100" s="24"/>
    </row>
    <row r="101" spans="1:1">
      <c r="A101" s="24"/>
    </row>
    <row r="102" spans="1:1">
      <c r="A102" s="24"/>
    </row>
    <row r="103" spans="1:1">
      <c r="A103" s="24"/>
    </row>
    <row r="104" spans="1:1">
      <c r="A104" s="24"/>
    </row>
    <row r="105" spans="1:1">
      <c r="A105" s="24"/>
    </row>
    <row r="106" spans="1:1">
      <c r="A106" s="24"/>
    </row>
    <row r="107" spans="1:1">
      <c r="A107" s="24"/>
    </row>
    <row r="108" spans="1:1">
      <c r="A108" s="24"/>
    </row>
    <row r="109" spans="1:1">
      <c r="A109" s="24"/>
    </row>
    <row r="110" spans="1:1">
      <c r="A110" s="24"/>
    </row>
    <row r="111" spans="1:1">
      <c r="A111" s="24"/>
    </row>
    <row r="112" spans="1:1">
      <c r="A112" s="24"/>
    </row>
    <row r="113" spans="1:1">
      <c r="A113" s="24"/>
    </row>
    <row r="114" spans="1:1">
      <c r="A114" s="24"/>
    </row>
    <row r="115" spans="1:1">
      <c r="A115" s="24"/>
    </row>
    <row r="116" spans="1:1">
      <c r="A116" s="24"/>
    </row>
    <row r="117" spans="1:1">
      <c r="A117" s="24"/>
    </row>
    <row r="118" spans="1:1">
      <c r="A118" s="24"/>
    </row>
    <row r="119" spans="1:1">
      <c r="A119" s="24"/>
    </row>
    <row r="120" spans="1:1">
      <c r="A120" s="24"/>
    </row>
    <row r="121" spans="1:1">
      <c r="A121" s="24"/>
    </row>
    <row r="122" spans="1:1">
      <c r="A122" s="24"/>
    </row>
    <row r="123" spans="1:1">
      <c r="A123" s="24"/>
    </row>
    <row r="124" spans="1:1">
      <c r="A124" s="24"/>
    </row>
    <row r="125" spans="1:1">
      <c r="A125" s="24"/>
    </row>
    <row r="126" spans="1:1">
      <c r="A126" s="24"/>
    </row>
    <row r="127" spans="1:1">
      <c r="A127" s="24"/>
    </row>
    <row r="128" spans="1:1">
      <c r="A128" s="24"/>
    </row>
    <row r="129" spans="1:1">
      <c r="A129" s="24"/>
    </row>
    <row r="130" spans="1:1">
      <c r="A130" s="24"/>
    </row>
    <row r="131" spans="1:1">
      <c r="A131" s="24"/>
    </row>
    <row r="132" spans="1:1">
      <c r="A132" s="24"/>
    </row>
    <row r="133" spans="1:1">
      <c r="A133" s="24"/>
    </row>
    <row r="134" spans="1:1">
      <c r="A134" s="24"/>
    </row>
    <row r="135" spans="1:1">
      <c r="A135" s="24"/>
    </row>
    <row r="136" spans="1:1">
      <c r="A136" s="24"/>
    </row>
    <row r="137" spans="1:1">
      <c r="A137" s="24"/>
    </row>
    <row r="138" spans="1:1">
      <c r="A138" s="24"/>
    </row>
    <row r="139" spans="1:1">
      <c r="A139" s="24"/>
    </row>
    <row r="140" spans="1:1">
      <c r="A140" s="24"/>
    </row>
    <row r="141" spans="1:1">
      <c r="A141" s="24"/>
    </row>
    <row r="142" spans="1:1">
      <c r="A142" s="24"/>
    </row>
    <row r="143" spans="1:1">
      <c r="A143" s="24"/>
    </row>
    <row r="144" spans="1:1">
      <c r="A144" s="24"/>
    </row>
    <row r="145" spans="1:1">
      <c r="A145" s="24"/>
    </row>
    <row r="146" spans="1:1">
      <c r="A146" s="24"/>
    </row>
    <row r="147" spans="1:1">
      <c r="A147" s="24"/>
    </row>
    <row r="148" spans="1:1">
      <c r="A148" s="24"/>
    </row>
    <row r="149" spans="1:1">
      <c r="A149" s="24"/>
    </row>
    <row r="150" spans="1:1">
      <c r="A150" s="24"/>
    </row>
    <row r="151" spans="1:1">
      <c r="A151" s="24"/>
    </row>
    <row r="152" spans="1:1">
      <c r="A152" s="24"/>
    </row>
    <row r="153" spans="1:1">
      <c r="A153" s="24"/>
    </row>
    <row r="154" spans="1:1">
      <c r="A154" s="24"/>
    </row>
    <row r="155" spans="1:1">
      <c r="A155" s="24"/>
    </row>
    <row r="156" spans="1:1">
      <c r="A156" s="24"/>
    </row>
    <row r="157" spans="1:1">
      <c r="A157" s="24"/>
    </row>
    <row r="158" spans="1:1">
      <c r="A158" s="24"/>
    </row>
    <row r="159" spans="1:1">
      <c r="A159" s="24"/>
    </row>
    <row r="160" spans="1:1">
      <c r="A160" s="24"/>
    </row>
    <row r="161" spans="1:1">
      <c r="A161" s="24"/>
    </row>
    <row r="162" spans="1:1">
      <c r="A162" s="24"/>
    </row>
    <row r="163" spans="1:1">
      <c r="A163" s="24"/>
    </row>
    <row r="164" spans="1:1">
      <c r="A164" s="24"/>
    </row>
    <row r="165" spans="1:1">
      <c r="A165" s="24"/>
    </row>
    <row r="166" spans="1:1">
      <c r="A166" s="24"/>
    </row>
    <row r="167" spans="1:1">
      <c r="A167" s="24"/>
    </row>
    <row r="168" spans="1:1">
      <c r="A168" s="24"/>
    </row>
    <row r="169" spans="1:1">
      <c r="A169" s="24"/>
    </row>
    <row r="170" spans="1:1">
      <c r="A170" s="24"/>
    </row>
    <row r="171" spans="1:1">
      <c r="A171" s="24"/>
    </row>
    <row r="172" spans="1:1">
      <c r="A172" s="24"/>
    </row>
    <row r="173" spans="1:1">
      <c r="A173" s="24"/>
    </row>
    <row r="174" spans="1:1">
      <c r="A174" s="24"/>
    </row>
    <row r="175" spans="1:1">
      <c r="A175" s="24"/>
    </row>
    <row r="176" spans="1:1">
      <c r="A176" s="24"/>
    </row>
    <row r="177" spans="1:1">
      <c r="A177" s="24"/>
    </row>
    <row r="178" spans="1:1">
      <c r="A178" s="24"/>
    </row>
    <row r="179" spans="1:1">
      <c r="A179" s="24"/>
    </row>
    <row r="180" spans="1:1">
      <c r="A180" s="24"/>
    </row>
    <row r="181" spans="1:1">
      <c r="A181" s="24"/>
    </row>
    <row r="182" spans="1:1">
      <c r="A182" s="24"/>
    </row>
    <row r="183" spans="1:1">
      <c r="A183" s="24"/>
    </row>
    <row r="184" spans="1:1">
      <c r="A184" s="24"/>
    </row>
    <row r="185" spans="1:1">
      <c r="A185" s="24"/>
    </row>
    <row r="186" spans="1:1">
      <c r="A186" s="24"/>
    </row>
    <row r="187" spans="1:1">
      <c r="A187" s="24"/>
    </row>
    <row r="188" spans="1:1">
      <c r="A188" s="24"/>
    </row>
    <row r="189" spans="1:1">
      <c r="A189" s="24"/>
    </row>
    <row r="190" spans="1:1">
      <c r="A190" s="24"/>
    </row>
    <row r="191" spans="1:1">
      <c r="A191" s="24"/>
    </row>
    <row r="192" spans="1:1">
      <c r="A192" s="24"/>
    </row>
    <row r="193" spans="1:1">
      <c r="A193" s="24"/>
    </row>
    <row r="194" spans="1:1">
      <c r="A194" s="24"/>
    </row>
    <row r="195" spans="1:1">
      <c r="A195" s="24"/>
    </row>
    <row r="196" spans="1:1">
      <c r="A196" s="24"/>
    </row>
    <row r="197" spans="1:1">
      <c r="A197" s="24"/>
    </row>
    <row r="198" spans="1:1">
      <c r="A198" s="24"/>
    </row>
    <row r="199" spans="1:1">
      <c r="A199" s="24"/>
    </row>
    <row r="200" spans="1:1">
      <c r="A200" s="24"/>
    </row>
    <row r="201" spans="1:1">
      <c r="A201" s="24"/>
    </row>
    <row r="202" spans="1:1">
      <c r="A202" s="24"/>
    </row>
    <row r="203" spans="1:1">
      <c r="A203" s="24"/>
    </row>
    <row r="204" spans="1:1">
      <c r="A204" s="24"/>
    </row>
    <row r="205" spans="1:1">
      <c r="A205" s="24"/>
    </row>
    <row r="206" spans="1:1">
      <c r="A206" s="24"/>
    </row>
    <row r="207" spans="1:1">
      <c r="A207" s="24"/>
    </row>
    <row r="208" spans="1:1">
      <c r="A208" s="24"/>
    </row>
    <row r="209" spans="1:1">
      <c r="A209" s="24"/>
    </row>
    <row r="210" spans="1:1">
      <c r="A210" s="24"/>
    </row>
    <row r="211" spans="1:1">
      <c r="A211" s="24"/>
    </row>
    <row r="212" spans="1:1">
      <c r="A212" s="24"/>
    </row>
    <row r="213" spans="1:1">
      <c r="A213" s="24"/>
    </row>
    <row r="214" spans="1:1">
      <c r="A214" s="24"/>
    </row>
    <row r="215" spans="1:1">
      <c r="A215" s="24"/>
    </row>
    <row r="216" spans="1:1">
      <c r="A216" s="24"/>
    </row>
    <row r="217" spans="1:1">
      <c r="A217" s="24"/>
    </row>
    <row r="218" spans="1:1">
      <c r="A218" s="24"/>
    </row>
    <row r="219" spans="1:1">
      <c r="A219" s="24"/>
    </row>
    <row r="220" spans="1:1">
      <c r="A220" s="24"/>
    </row>
    <row r="221" spans="1:1">
      <c r="A221" s="24"/>
    </row>
    <row r="222" spans="1:1">
      <c r="A222" s="24"/>
    </row>
    <row r="223" spans="1:1">
      <c r="A223" s="24"/>
    </row>
    <row r="224" spans="1:1">
      <c r="A224" s="24"/>
    </row>
    <row r="225" spans="1:1">
      <c r="A225" s="24"/>
    </row>
    <row r="226" spans="1:1">
      <c r="A226" s="24"/>
    </row>
    <row r="227" spans="1:1">
      <c r="A227" s="24"/>
    </row>
    <row r="228" spans="1:1">
      <c r="A228" s="24"/>
    </row>
    <row r="229" spans="1:1">
      <c r="A229" s="24"/>
    </row>
    <row r="230" spans="1:1">
      <c r="A230" s="24"/>
    </row>
    <row r="231" spans="1:1">
      <c r="A231" s="24"/>
    </row>
    <row r="232" spans="1:1">
      <c r="A232" s="24"/>
    </row>
    <row r="233" spans="1:1">
      <c r="A233" s="24"/>
    </row>
    <row r="234" spans="1:1">
      <c r="A234" s="24"/>
    </row>
    <row r="235" spans="1:1">
      <c r="A235" s="24"/>
    </row>
    <row r="236" spans="1:1">
      <c r="A236" s="24"/>
    </row>
    <row r="237" spans="1:1">
      <c r="A237" s="24"/>
    </row>
    <row r="238" spans="1:1">
      <c r="A238" s="24"/>
    </row>
    <row r="239" spans="1:1">
      <c r="A239" s="24"/>
    </row>
    <row r="240" spans="1:1">
      <c r="A240" s="24"/>
    </row>
    <row r="241" spans="1:1">
      <c r="A241" s="24"/>
    </row>
    <row r="242" spans="1:1">
      <c r="A242" s="24"/>
    </row>
    <row r="243" spans="1:1">
      <c r="A243" s="24"/>
    </row>
    <row r="244" spans="1:1">
      <c r="A244" s="24"/>
    </row>
    <row r="245" spans="1:1">
      <c r="A245" s="24"/>
    </row>
    <row r="246" spans="1:1">
      <c r="A246" s="24"/>
    </row>
    <row r="247" spans="1:1">
      <c r="A247" s="24"/>
    </row>
    <row r="248" spans="1:1">
      <c r="A248" s="24"/>
    </row>
    <row r="249" spans="1:1">
      <c r="A249" s="24"/>
    </row>
    <row r="250" spans="1:1">
      <c r="A250" s="24"/>
    </row>
    <row r="251" spans="1:1">
      <c r="A251" s="24"/>
    </row>
    <row r="252" spans="1:1">
      <c r="A252" s="24"/>
    </row>
    <row r="253" spans="1:1">
      <c r="A253" s="24"/>
    </row>
    <row r="254" spans="1:1">
      <c r="A254" s="24"/>
    </row>
    <row r="255" spans="1:1">
      <c r="A255" s="24"/>
    </row>
    <row r="256" spans="1:1">
      <c r="A256" s="24"/>
    </row>
    <row r="257" spans="1:1">
      <c r="A257" s="24"/>
    </row>
    <row r="258" spans="1:1">
      <c r="A258" s="24"/>
    </row>
    <row r="259" spans="1:1">
      <c r="A259" s="24"/>
    </row>
    <row r="260" spans="1:1">
      <c r="A260" s="24"/>
    </row>
    <row r="261" spans="1:1">
      <c r="A261" s="24"/>
    </row>
    <row r="262" spans="1:1">
      <c r="A262" s="24"/>
    </row>
    <row r="263" spans="1:1">
      <c r="A263" s="24"/>
    </row>
    <row r="264" spans="1:1">
      <c r="A264" s="24"/>
    </row>
    <row r="265" spans="1:1">
      <c r="A265" s="24"/>
    </row>
    <row r="266" spans="1:1">
      <c r="A266" s="24"/>
    </row>
    <row r="267" spans="1:1">
      <c r="A267" s="24"/>
    </row>
    <row r="268" spans="1:1">
      <c r="A268" s="24"/>
    </row>
    <row r="269" spans="1:1">
      <c r="A269" s="24"/>
    </row>
    <row r="270" spans="1:1">
      <c r="A270" s="24"/>
    </row>
    <row r="271" spans="1:1">
      <c r="A271" s="24"/>
    </row>
    <row r="272" spans="1:1">
      <c r="A272" s="24"/>
    </row>
    <row r="273" spans="1:1">
      <c r="A273" s="24"/>
    </row>
    <row r="274" spans="1:1">
      <c r="A274" s="24"/>
    </row>
    <row r="275" spans="1:1">
      <c r="A275" s="24"/>
    </row>
    <row r="276" spans="1:1">
      <c r="A276" s="24"/>
    </row>
    <row r="277" spans="1:1">
      <c r="A277" s="24"/>
    </row>
    <row r="278" spans="1:1">
      <c r="A278" s="24"/>
    </row>
    <row r="279" spans="1:1">
      <c r="A279" s="24"/>
    </row>
    <row r="280" spans="1:1">
      <c r="A280" s="24"/>
    </row>
    <row r="281" spans="1:1">
      <c r="A281" s="24"/>
    </row>
    <row r="282" spans="1:1">
      <c r="A282" s="24"/>
    </row>
    <row r="283" spans="1:1">
      <c r="A283" s="24"/>
    </row>
    <row r="284" spans="1:1">
      <c r="A284" s="24"/>
    </row>
    <row r="285" spans="1:1">
      <c r="A285" s="24"/>
    </row>
    <row r="286" spans="1:1">
      <c r="A286" s="24"/>
    </row>
    <row r="287" spans="1:1">
      <c r="A287" s="24"/>
    </row>
    <row r="288" spans="1:1">
      <c r="A288" s="24"/>
    </row>
    <row r="289" spans="1:1">
      <c r="A289" s="24"/>
    </row>
    <row r="290" spans="1:1">
      <c r="A290" s="24"/>
    </row>
    <row r="291" spans="1:1">
      <c r="A291" s="24"/>
    </row>
    <row r="292" spans="1:1">
      <c r="A292" s="24"/>
    </row>
    <row r="293" spans="1:1">
      <c r="A293" s="24"/>
    </row>
    <row r="294" spans="1:1">
      <c r="A294" s="24"/>
    </row>
    <row r="295" spans="1:1">
      <c r="A295" s="24"/>
    </row>
    <row r="296" spans="1:1">
      <c r="A296" s="24"/>
    </row>
    <row r="297" spans="1:1">
      <c r="A297" s="24"/>
    </row>
    <row r="298" spans="1:1">
      <c r="A298" s="24"/>
    </row>
    <row r="299" spans="1:1">
      <c r="A299" s="24"/>
    </row>
    <row r="300" spans="1:1">
      <c r="A300" s="24"/>
    </row>
    <row r="301" spans="1:1">
      <c r="A301" s="24"/>
    </row>
    <row r="302" spans="1:1">
      <c r="A302" s="24"/>
    </row>
    <row r="303" spans="1:1">
      <c r="A303" s="24"/>
    </row>
    <row r="304" spans="1:1">
      <c r="A304" s="24"/>
    </row>
    <row r="305" spans="1:1">
      <c r="A305" s="24"/>
    </row>
    <row r="306" spans="1:1">
      <c r="A306" s="24"/>
    </row>
    <row r="307" spans="1:1">
      <c r="A307" s="24"/>
    </row>
    <row r="308" spans="1:1">
      <c r="A308" s="24"/>
    </row>
    <row r="309" spans="1:1">
      <c r="A309" s="24"/>
    </row>
    <row r="310" spans="1:1">
      <c r="A310" s="24"/>
    </row>
    <row r="311" spans="1:1">
      <c r="A311" s="24"/>
    </row>
    <row r="312" spans="1:1">
      <c r="A312" s="24"/>
    </row>
    <row r="313" spans="1:1">
      <c r="A313" s="24"/>
    </row>
    <row r="314" spans="1:1">
      <c r="A314" s="24"/>
    </row>
    <row r="315" spans="1:1">
      <c r="A315" s="24"/>
    </row>
    <row r="316" spans="1:1">
      <c r="A316" s="24"/>
    </row>
    <row r="317" spans="1:1">
      <c r="A317" s="24"/>
    </row>
    <row r="318" spans="1:1">
      <c r="A318" s="24"/>
    </row>
    <row r="319" spans="1:1">
      <c r="A319" s="24"/>
    </row>
    <row r="320" spans="1:1">
      <c r="A320" s="24"/>
    </row>
    <row r="321" spans="1:1">
      <c r="A321" s="24"/>
    </row>
    <row r="322" spans="1:1">
      <c r="A322" s="24"/>
    </row>
    <row r="323" spans="1:1">
      <c r="A323" s="24"/>
    </row>
    <row r="324" spans="1:1">
      <c r="A324" s="24"/>
    </row>
    <row r="325" spans="1:1">
      <c r="A325" s="24"/>
    </row>
    <row r="326" spans="1:1">
      <c r="A326" s="24"/>
    </row>
    <row r="327" spans="1:1">
      <c r="A327" s="24"/>
    </row>
    <row r="328" spans="1:1">
      <c r="A328" s="24"/>
    </row>
    <row r="329" spans="1:1">
      <c r="A329" s="24"/>
    </row>
    <row r="330" spans="1:1">
      <c r="A330" s="24"/>
    </row>
    <row r="331" spans="1:1">
      <c r="A331" s="24"/>
    </row>
    <row r="332" spans="1:1">
      <c r="A332" s="24"/>
    </row>
    <row r="333" spans="1:1">
      <c r="A333" s="24"/>
    </row>
    <row r="334" spans="1:1">
      <c r="A334" s="24"/>
    </row>
    <row r="335" spans="1:1">
      <c r="A335" s="24"/>
    </row>
    <row r="336" spans="1:1">
      <c r="A336" s="24"/>
    </row>
    <row r="337" spans="1:1">
      <c r="A337" s="24"/>
    </row>
    <row r="338" spans="1:1">
      <c r="A338" s="24"/>
    </row>
    <row r="339" spans="1:1">
      <c r="A339" s="24"/>
    </row>
    <row r="340" spans="1:1">
      <c r="A340" s="24"/>
    </row>
    <row r="341" spans="1:1">
      <c r="A341" s="24"/>
    </row>
    <row r="342" spans="1:1">
      <c r="A342" s="24"/>
    </row>
    <row r="343" spans="1:1">
      <c r="A343" s="24"/>
    </row>
    <row r="344" spans="1:1">
      <c r="A344" s="24"/>
    </row>
    <row r="345" spans="1:1">
      <c r="A345" s="24"/>
    </row>
    <row r="346" spans="1:1">
      <c r="A346" s="24"/>
    </row>
    <row r="347" spans="1:1">
      <c r="A347" s="24"/>
    </row>
    <row r="348" spans="1:1">
      <c r="A348" s="24"/>
    </row>
    <row r="349" spans="1:1">
      <c r="A349" s="24"/>
    </row>
    <row r="350" spans="1:1">
      <c r="A350" s="24"/>
    </row>
    <row r="351" spans="1:1">
      <c r="A351" s="24"/>
    </row>
    <row r="352" spans="1:1">
      <c r="A352" s="24"/>
    </row>
    <row r="353" spans="1:1">
      <c r="A353" s="24"/>
    </row>
    <row r="354" spans="1:1">
      <c r="A354" s="24"/>
    </row>
    <row r="355" spans="1:1">
      <c r="A355" s="24"/>
    </row>
    <row r="356" spans="1:1">
      <c r="A356" s="24"/>
    </row>
    <row r="357" spans="1:1">
      <c r="A357" s="24"/>
    </row>
    <row r="358" spans="1:1">
      <c r="A358" s="24"/>
    </row>
    <row r="359" spans="1:1">
      <c r="A359" s="24"/>
    </row>
    <row r="360" spans="1:1">
      <c r="A360" s="24"/>
    </row>
    <row r="361" spans="1:1">
      <c r="A361" s="24"/>
    </row>
    <row r="362" spans="1:1">
      <c r="A362" s="24"/>
    </row>
    <row r="363" spans="1:1">
      <c r="A363" s="24"/>
    </row>
    <row r="364" spans="1:1">
      <c r="A364" s="24"/>
    </row>
    <row r="365" spans="1:1">
      <c r="A365" s="24"/>
    </row>
    <row r="366" spans="1:1">
      <c r="A366" s="24"/>
    </row>
    <row r="367" spans="1:1">
      <c r="A367" s="24"/>
    </row>
    <row r="368" spans="1:1">
      <c r="A368" s="24"/>
    </row>
    <row r="369" spans="1:1">
      <c r="A369" s="24"/>
    </row>
    <row r="370" spans="1:1">
      <c r="A370" s="24"/>
    </row>
    <row r="371" spans="1:1">
      <c r="A371" s="24"/>
    </row>
    <row r="372" spans="1:1">
      <c r="A372" s="24"/>
    </row>
    <row r="373" spans="1:1">
      <c r="A373" s="24"/>
    </row>
    <row r="374" spans="1:1">
      <c r="A374" s="24"/>
    </row>
    <row r="375" spans="1:1">
      <c r="A375" s="24"/>
    </row>
    <row r="376" spans="1:1">
      <c r="A376" s="24"/>
    </row>
    <row r="377" spans="1:1">
      <c r="A377" s="24"/>
    </row>
    <row r="378" spans="1:1">
      <c r="A378" s="24"/>
    </row>
    <row r="379" spans="1:1">
      <c r="A379" s="24"/>
    </row>
    <row r="380" spans="1:1">
      <c r="A380" s="24"/>
    </row>
    <row r="381" spans="1:1">
      <c r="A381" s="24"/>
    </row>
    <row r="382" spans="1:1">
      <c r="A382" s="24"/>
    </row>
    <row r="383" spans="1:1">
      <c r="A383" s="24"/>
    </row>
    <row r="384" spans="1:1">
      <c r="A384" s="24"/>
    </row>
    <row r="385" spans="1:1">
      <c r="A385" s="24"/>
    </row>
    <row r="386" spans="1:1">
      <c r="A386" s="24"/>
    </row>
    <row r="387" spans="1:1">
      <c r="A387" s="24"/>
    </row>
    <row r="388" spans="1:1">
      <c r="A388" s="24"/>
    </row>
    <row r="389" spans="1:1">
      <c r="A389" s="24"/>
    </row>
    <row r="390" spans="1:1">
      <c r="A390" s="24"/>
    </row>
    <row r="391" spans="1:1">
      <c r="A391" s="24"/>
    </row>
    <row r="392" spans="1:1">
      <c r="A392" s="24"/>
    </row>
    <row r="393" spans="1:1">
      <c r="A393" s="24"/>
    </row>
    <row r="394" spans="1:1">
      <c r="A394" s="24"/>
    </row>
    <row r="395" spans="1:1">
      <c r="A395" s="24"/>
    </row>
    <row r="396" spans="1:1">
      <c r="A396" s="24"/>
    </row>
    <row r="397" spans="1:1">
      <c r="A397" s="24"/>
    </row>
    <row r="398" spans="1:1">
      <c r="A398" s="24"/>
    </row>
    <row r="399" spans="1:1">
      <c r="A399" s="24"/>
    </row>
    <row r="400" spans="1:1">
      <c r="A400" s="24"/>
    </row>
    <row r="401" spans="1:1">
      <c r="A401" s="24"/>
    </row>
    <row r="402" spans="1:1">
      <c r="A402" s="24"/>
    </row>
    <row r="403" spans="1:1">
      <c r="A403" s="24"/>
    </row>
    <row r="404" spans="1:1">
      <c r="A404" s="24"/>
    </row>
    <row r="405" spans="1:1">
      <c r="A405" s="24"/>
    </row>
    <row r="406" spans="1:1">
      <c r="A406" s="24"/>
    </row>
    <row r="407" spans="1:1">
      <c r="A407" s="24"/>
    </row>
    <row r="408" spans="1:1">
      <c r="A408" s="24"/>
    </row>
    <row r="409" spans="1:1">
      <c r="A409" s="24"/>
    </row>
    <row r="410" spans="1:1">
      <c r="A410" s="24"/>
    </row>
    <row r="411" spans="1:1">
      <c r="A411" s="24"/>
    </row>
    <row r="412" spans="1:1">
      <c r="A412" s="24"/>
    </row>
    <row r="413" spans="1:1">
      <c r="A413" s="24"/>
    </row>
    <row r="414" spans="1:1">
      <c r="A414" s="24"/>
    </row>
    <row r="415" spans="1:1">
      <c r="A415" s="24"/>
    </row>
    <row r="416" spans="1:1">
      <c r="A416" s="24"/>
    </row>
    <row r="417" spans="1:1">
      <c r="A417" s="24"/>
    </row>
    <row r="418" spans="1:1">
      <c r="A418" s="24"/>
    </row>
    <row r="419" spans="1:1">
      <c r="A419" s="24"/>
    </row>
    <row r="420" spans="1:1">
      <c r="A420" s="24"/>
    </row>
    <row r="421" spans="1:1">
      <c r="A421" s="24"/>
    </row>
    <row r="422" spans="1:1">
      <c r="A422" s="24"/>
    </row>
    <row r="423" spans="1:1">
      <c r="A423" s="24"/>
    </row>
    <row r="424" spans="1:1">
      <c r="A424" s="24"/>
    </row>
    <row r="425" spans="1:1">
      <c r="A425" s="24"/>
    </row>
    <row r="426" spans="1:1">
      <c r="A426" s="24"/>
    </row>
    <row r="427" spans="1:1">
      <c r="A427" s="24"/>
    </row>
    <row r="428" spans="1:1">
      <c r="A428" s="24"/>
    </row>
    <row r="429" spans="1:1">
      <c r="A429" s="24"/>
    </row>
    <row r="430" spans="1:1">
      <c r="A430" s="24"/>
    </row>
    <row r="431" spans="1:1">
      <c r="A431" s="24"/>
    </row>
    <row r="432" spans="1:1">
      <c r="A432" s="24"/>
    </row>
    <row r="433" spans="1:1">
      <c r="A433" s="24"/>
    </row>
    <row r="434" spans="1:1">
      <c r="A434" s="24"/>
    </row>
    <row r="435" spans="1:1">
      <c r="A435" s="24"/>
    </row>
    <row r="436" spans="1:1">
      <c r="A436" s="24"/>
    </row>
    <row r="437" spans="1:1">
      <c r="A437" s="24"/>
    </row>
    <row r="438" spans="1:1">
      <c r="A438" s="24"/>
    </row>
    <row r="439" spans="1:1">
      <c r="A439" s="24"/>
    </row>
    <row r="440" spans="1:1">
      <c r="A440" s="24"/>
    </row>
    <row r="441" spans="1:1">
      <c r="A441" s="24"/>
    </row>
    <row r="442" spans="1:1">
      <c r="A442" s="24"/>
    </row>
    <row r="443" spans="1:1">
      <c r="A443" s="24"/>
    </row>
    <row r="444" spans="1:1">
      <c r="A444" s="24"/>
    </row>
    <row r="445" spans="1:1">
      <c r="A445" s="24"/>
    </row>
    <row r="446" spans="1:1">
      <c r="A446" s="24"/>
    </row>
    <row r="447" spans="1:1">
      <c r="A447" s="24"/>
    </row>
    <row r="448" spans="1:1">
      <c r="A448" s="24"/>
    </row>
    <row r="449" spans="1:1">
      <c r="A449" s="24"/>
    </row>
    <row r="450" spans="1:1">
      <c r="A450" s="24"/>
    </row>
    <row r="451" spans="1:1">
      <c r="A451" s="24"/>
    </row>
    <row r="452" spans="1:1">
      <c r="A452" s="24"/>
    </row>
    <row r="453" spans="1:1">
      <c r="A453" s="24"/>
    </row>
    <row r="454" spans="1:1">
      <c r="A454" s="24"/>
    </row>
    <row r="455" spans="1:1">
      <c r="A455" s="24"/>
    </row>
    <row r="456" spans="1:1">
      <c r="A456" s="24"/>
    </row>
    <row r="457" spans="1:1">
      <c r="A457" s="24"/>
    </row>
    <row r="458" spans="1:1">
      <c r="A458" s="24"/>
    </row>
    <row r="459" spans="1:1">
      <c r="A459" s="24"/>
    </row>
    <row r="460" spans="1:1">
      <c r="A460" s="24"/>
    </row>
    <row r="461" spans="1:1">
      <c r="A461" s="24"/>
    </row>
    <row r="462" spans="1:1">
      <c r="A462" s="24"/>
    </row>
    <row r="463" spans="1:1">
      <c r="A463" s="24"/>
    </row>
    <row r="464" spans="1:1">
      <c r="A464" s="24"/>
    </row>
    <row r="465" spans="1:1">
      <c r="A465" s="24"/>
    </row>
    <row r="466" spans="1:1">
      <c r="A466" s="24"/>
    </row>
    <row r="467" spans="1:1">
      <c r="A467" s="24"/>
    </row>
    <row r="468" spans="1:1">
      <c r="A468" s="24"/>
    </row>
    <row r="469" spans="1:1">
      <c r="A469" s="24"/>
    </row>
    <row r="470" spans="1:1">
      <c r="A470" s="24"/>
    </row>
    <row r="471" spans="1:1">
      <c r="A471" s="24"/>
    </row>
    <row r="472" spans="1:1">
      <c r="A472" s="24"/>
    </row>
    <row r="473" spans="1:1">
      <c r="A473" s="24"/>
    </row>
    <row r="474" spans="1:1">
      <c r="A474" s="24"/>
    </row>
    <row r="475" spans="1:1">
      <c r="A475" s="24"/>
    </row>
    <row r="476" spans="1:1">
      <c r="A476" s="24"/>
    </row>
    <row r="477" spans="1:1">
      <c r="A477" s="24"/>
    </row>
    <row r="478" spans="1:1">
      <c r="A478" s="24"/>
    </row>
    <row r="479" spans="1:1">
      <c r="A479" s="24"/>
    </row>
    <row r="480" spans="1:1">
      <c r="A480" s="24"/>
    </row>
    <row r="481" spans="1:1">
      <c r="A481" s="24"/>
    </row>
    <row r="482" spans="1:1">
      <c r="A482" s="24"/>
    </row>
    <row r="483" spans="1:1">
      <c r="A483" s="24"/>
    </row>
    <row r="484" spans="1:1">
      <c r="A484" s="24"/>
    </row>
    <row r="485" spans="1:1">
      <c r="A485" s="24"/>
    </row>
    <row r="486" spans="1:1">
      <c r="A486" s="24"/>
    </row>
    <row r="487" spans="1:1">
      <c r="A487" s="24"/>
    </row>
    <row r="488" spans="1:1">
      <c r="A488" s="24"/>
    </row>
    <row r="489" spans="1:1">
      <c r="A489" s="24"/>
    </row>
    <row r="490" spans="1:1">
      <c r="A490" s="24"/>
    </row>
    <row r="491" spans="1:1">
      <c r="A491" s="24"/>
    </row>
    <row r="492" spans="1:1">
      <c r="A492" s="24"/>
    </row>
    <row r="493" spans="1:1">
      <c r="A493" s="24"/>
    </row>
    <row r="494" spans="1:1">
      <c r="A494" s="24"/>
    </row>
    <row r="495" spans="1:1">
      <c r="A495" s="24"/>
    </row>
    <row r="496" spans="1:1">
      <c r="A496" s="24"/>
    </row>
    <row r="497" spans="1:1">
      <c r="A497" s="24"/>
    </row>
    <row r="498" spans="1:1">
      <c r="A498" s="24"/>
    </row>
    <row r="499" spans="1:1">
      <c r="A499" s="24"/>
    </row>
    <row r="500" spans="1:1">
      <c r="A500" s="24"/>
    </row>
    <row r="501" spans="1:1">
      <c r="A501" s="24"/>
    </row>
    <row r="502" spans="1:1">
      <c r="A502" s="24"/>
    </row>
    <row r="503" spans="1:1">
      <c r="A503" s="24"/>
    </row>
    <row r="504" spans="1:1">
      <c r="A504" s="24"/>
    </row>
    <row r="505" spans="1:1">
      <c r="A505" s="24"/>
    </row>
    <row r="506" spans="1:1">
      <c r="A506" s="24"/>
    </row>
    <row r="507" spans="1:1">
      <c r="A507" s="24"/>
    </row>
    <row r="508" spans="1:1">
      <c r="A508" s="24"/>
    </row>
    <row r="509" spans="1:1">
      <c r="A509" s="24"/>
    </row>
    <row r="510" spans="1:1">
      <c r="A510" s="24"/>
    </row>
    <row r="511" spans="1:1">
      <c r="A511" s="24"/>
    </row>
    <row r="512" spans="1:1">
      <c r="A512" s="24"/>
    </row>
    <row r="513" spans="1:1">
      <c r="A513" s="24"/>
    </row>
    <row r="514" spans="1:1">
      <c r="A514" s="24"/>
    </row>
    <row r="515" spans="1:1">
      <c r="A515" s="24"/>
    </row>
    <row r="516" spans="1:1">
      <c r="A516" s="24"/>
    </row>
    <row r="517" spans="1:1">
      <c r="A517" s="24"/>
    </row>
    <row r="518" spans="1:1">
      <c r="A518" s="24"/>
    </row>
    <row r="519" spans="1:1">
      <c r="A519" s="24"/>
    </row>
    <row r="520" spans="1:1">
      <c r="A520" s="24"/>
    </row>
    <row r="521" spans="1:1">
      <c r="A521" s="24"/>
    </row>
    <row r="522" spans="1:1">
      <c r="A522" s="24"/>
    </row>
    <row r="523" spans="1:1">
      <c r="A523" s="24"/>
    </row>
    <row r="524" spans="1:1">
      <c r="A524" s="24"/>
    </row>
    <row r="525" spans="1:1">
      <c r="A525" s="24"/>
    </row>
    <row r="526" spans="1:1">
      <c r="A526" s="24"/>
    </row>
    <row r="527" spans="1:1">
      <c r="A527" s="24"/>
    </row>
    <row r="528" spans="1:1">
      <c r="A528" s="24"/>
    </row>
    <row r="529" spans="1:1">
      <c r="A529" s="24"/>
    </row>
    <row r="530" spans="1:1">
      <c r="A530" s="24"/>
    </row>
    <row r="531" spans="1:1">
      <c r="A531" s="24"/>
    </row>
    <row r="532" spans="1:1">
      <c r="A532" s="24"/>
    </row>
    <row r="533" spans="1:1">
      <c r="A533" s="24"/>
    </row>
    <row r="534" spans="1:1">
      <c r="A534" s="24"/>
    </row>
    <row r="535" spans="1:1">
      <c r="A535" s="24"/>
    </row>
    <row r="536" spans="1:1">
      <c r="A536" s="24"/>
    </row>
    <row r="537" spans="1:1">
      <c r="A537" s="24"/>
    </row>
    <row r="538" spans="1:1">
      <c r="A538" s="24"/>
    </row>
    <row r="539" spans="1:1">
      <c r="A539" s="24"/>
    </row>
    <row r="540" spans="1:1">
      <c r="A540" s="24"/>
    </row>
    <row r="541" spans="1:1">
      <c r="A541" s="24"/>
    </row>
    <row r="542" spans="1:1">
      <c r="A542" s="24"/>
    </row>
    <row r="543" spans="1:1">
      <c r="A543" s="24"/>
    </row>
    <row r="544" spans="1:1">
      <c r="A544" s="24"/>
    </row>
    <row r="545" spans="1:1">
      <c r="A545" s="24"/>
    </row>
    <row r="546" spans="1:1">
      <c r="A546" s="24"/>
    </row>
    <row r="547" spans="1:1">
      <c r="A547" s="24"/>
    </row>
    <row r="548" spans="1:1">
      <c r="A548" s="24"/>
    </row>
    <row r="549" spans="1:1">
      <c r="A549" s="24"/>
    </row>
    <row r="550" spans="1:1">
      <c r="A550" s="24"/>
    </row>
    <row r="551" spans="1:1">
      <c r="A551" s="24"/>
    </row>
    <row r="552" spans="1:1">
      <c r="A552" s="24"/>
    </row>
    <row r="553" spans="1:1">
      <c r="A553" s="24"/>
    </row>
    <row r="554" spans="1:1">
      <c r="A554" s="24"/>
    </row>
    <row r="555" spans="1:1">
      <c r="A555" s="24"/>
    </row>
    <row r="556" spans="1:1">
      <c r="A556" s="24"/>
    </row>
    <row r="557" spans="1:1">
      <c r="A557" s="24"/>
    </row>
    <row r="558" spans="1:1">
      <c r="A558" s="24"/>
    </row>
    <row r="559" spans="1:1">
      <c r="A559" s="24"/>
    </row>
    <row r="560" spans="1:1">
      <c r="A560" s="24"/>
    </row>
    <row r="561" spans="1:1">
      <c r="A561" s="24"/>
    </row>
    <row r="562" spans="1:1">
      <c r="A562" s="24"/>
    </row>
    <row r="563" spans="1:1">
      <c r="A563" s="24"/>
    </row>
    <row r="564" spans="1:1">
      <c r="A564" s="24"/>
    </row>
    <row r="565" spans="1:1">
      <c r="A565" s="24"/>
    </row>
    <row r="566" spans="1:1">
      <c r="A566" s="24"/>
    </row>
    <row r="567" spans="1:1">
      <c r="A567" s="24"/>
    </row>
    <row r="568" spans="1:1">
      <c r="A568" s="24"/>
    </row>
    <row r="569" spans="1:1">
      <c r="A569" s="24"/>
    </row>
    <row r="570" spans="1:1">
      <c r="A570" s="24"/>
    </row>
    <row r="571" spans="1:1">
      <c r="A571" s="24"/>
    </row>
    <row r="572" spans="1:1">
      <c r="A572" s="24"/>
    </row>
    <row r="573" spans="1:1">
      <c r="A573" s="24"/>
    </row>
    <row r="574" spans="1:1">
      <c r="A574" s="24"/>
    </row>
    <row r="575" spans="1:1">
      <c r="A575" s="24"/>
    </row>
    <row r="576" spans="1:1">
      <c r="A576" s="24"/>
    </row>
    <row r="577" spans="1:1">
      <c r="A577" s="24"/>
    </row>
    <row r="578" spans="1:1">
      <c r="A578" s="24"/>
    </row>
    <row r="579" spans="1:1">
      <c r="A579" s="24"/>
    </row>
    <row r="580" spans="1:1">
      <c r="A580" s="24"/>
    </row>
    <row r="581" spans="1:1">
      <c r="A581" s="24"/>
    </row>
    <row r="582" spans="1:1">
      <c r="A582" s="24"/>
    </row>
    <row r="583" spans="1:1">
      <c r="A583" s="24"/>
    </row>
    <row r="584" spans="1:1">
      <c r="A584" s="24"/>
    </row>
    <row r="585" spans="1:1">
      <c r="A585" s="24"/>
    </row>
    <row r="586" spans="1:1">
      <c r="A586" s="24"/>
    </row>
    <row r="587" spans="1:1">
      <c r="A587" s="24"/>
    </row>
    <row r="588" spans="1:1">
      <c r="A588" s="24"/>
    </row>
    <row r="589" spans="1:1">
      <c r="A589" s="24"/>
    </row>
    <row r="590" spans="1:1">
      <c r="A590" s="24"/>
    </row>
    <row r="591" spans="1:1">
      <c r="A591" s="24"/>
    </row>
    <row r="592" spans="1:1">
      <c r="A592" s="24"/>
    </row>
    <row r="593" spans="1:1">
      <c r="A593" s="24"/>
    </row>
    <row r="594" spans="1:1">
      <c r="A594" s="24"/>
    </row>
    <row r="595" spans="1:1">
      <c r="A595" s="24"/>
    </row>
    <row r="596" spans="1:1">
      <c r="A596" s="24"/>
    </row>
    <row r="597" spans="1:1">
      <c r="A597" s="24"/>
    </row>
    <row r="598" spans="1:1">
      <c r="A598" s="24"/>
    </row>
    <row r="599" spans="1:1">
      <c r="A599" s="24"/>
    </row>
    <row r="600" spans="1:1">
      <c r="A600" s="24"/>
    </row>
    <row r="601" spans="1:1">
      <c r="A601" s="24"/>
    </row>
    <row r="602" spans="1:1">
      <c r="A602" s="24"/>
    </row>
    <row r="603" spans="1:1">
      <c r="A603" s="24"/>
    </row>
    <row r="604" spans="1:1">
      <c r="A604" s="24"/>
    </row>
    <row r="605" spans="1:1">
      <c r="A605" s="24"/>
    </row>
    <row r="606" spans="1:1">
      <c r="A606" s="24"/>
    </row>
    <row r="607" spans="1:1">
      <c r="A607" s="24"/>
    </row>
    <row r="608" spans="1:1">
      <c r="A608" s="24"/>
    </row>
    <row r="609" spans="1:1">
      <c r="A609" s="24"/>
    </row>
    <row r="610" spans="1:1">
      <c r="A610" s="24"/>
    </row>
    <row r="611" spans="1:1">
      <c r="A611" s="24"/>
    </row>
    <row r="612" spans="1:1">
      <c r="A612" s="24"/>
    </row>
    <row r="613" spans="1:1">
      <c r="A613" s="24"/>
    </row>
    <row r="614" spans="1:1">
      <c r="A614" s="24"/>
    </row>
    <row r="615" spans="1:1">
      <c r="A615" s="24"/>
    </row>
    <row r="616" spans="1:1">
      <c r="A616" s="24"/>
    </row>
    <row r="617" spans="1:1">
      <c r="A617" s="24"/>
    </row>
    <row r="618" spans="1:1">
      <c r="A618" s="24"/>
    </row>
    <row r="619" spans="1:1">
      <c r="A619" s="24"/>
    </row>
    <row r="620" spans="1:1">
      <c r="A620" s="24"/>
    </row>
    <row r="621" spans="1:1">
      <c r="A621" s="24"/>
    </row>
    <row r="622" spans="1:1">
      <c r="A622" s="24"/>
    </row>
    <row r="623" spans="1:1">
      <c r="A623" s="24"/>
    </row>
    <row r="624" spans="1:1">
      <c r="A624" s="24"/>
    </row>
    <row r="625" spans="1:1">
      <c r="A625" s="24"/>
    </row>
    <row r="626" spans="1:1">
      <c r="A626" s="24"/>
    </row>
    <row r="627" spans="1:1">
      <c r="A627" s="24"/>
    </row>
    <row r="628" spans="1:1">
      <c r="A628" s="24"/>
    </row>
    <row r="629" spans="1:1">
      <c r="A629" s="24"/>
    </row>
    <row r="630" spans="1:1">
      <c r="A630" s="24"/>
    </row>
    <row r="631" spans="1:1">
      <c r="A631" s="24"/>
    </row>
    <row r="632" spans="1:1">
      <c r="A632" s="24"/>
    </row>
    <row r="633" spans="1:1">
      <c r="A633" s="24"/>
    </row>
    <row r="634" spans="1:1">
      <c r="A634" s="24"/>
    </row>
    <row r="635" spans="1:1">
      <c r="A635" s="24"/>
    </row>
    <row r="636" spans="1:1">
      <c r="A636" s="24"/>
    </row>
    <row r="637" spans="1:1">
      <c r="A637" s="24"/>
    </row>
    <row r="638" spans="1:1">
      <c r="A638" s="24"/>
    </row>
    <row r="639" spans="1:1">
      <c r="A639" s="24"/>
    </row>
    <row r="640" spans="1:1">
      <c r="A640" s="24"/>
    </row>
    <row r="641" spans="1:1">
      <c r="A641" s="24"/>
    </row>
    <row r="642" spans="1:1">
      <c r="A642" s="24"/>
    </row>
    <row r="643" spans="1:1">
      <c r="A643" s="24"/>
    </row>
    <row r="644" spans="1:1">
      <c r="A644" s="24"/>
    </row>
    <row r="645" spans="1:1">
      <c r="A645" s="24"/>
    </row>
    <row r="646" spans="1:1">
      <c r="A646" s="24"/>
    </row>
    <row r="647" spans="1:1">
      <c r="A647" s="24"/>
    </row>
    <row r="648" spans="1:1">
      <c r="A648" s="24"/>
    </row>
    <row r="649" spans="1:1">
      <c r="A649" s="24"/>
    </row>
    <row r="650" spans="1:1">
      <c r="A650" s="24"/>
    </row>
    <row r="651" spans="1:1">
      <c r="A651" s="24"/>
    </row>
    <row r="652" spans="1:1">
      <c r="A652" s="24"/>
    </row>
    <row r="653" spans="1:1">
      <c r="A653" s="24"/>
    </row>
    <row r="654" spans="1:1">
      <c r="A654" s="24"/>
    </row>
    <row r="655" spans="1:1">
      <c r="A655" s="24"/>
    </row>
    <row r="656" spans="1:1">
      <c r="A656" s="24"/>
    </row>
    <row r="657" spans="1:1">
      <c r="A657" s="24"/>
    </row>
    <row r="658" spans="1:1">
      <c r="A658" s="24"/>
    </row>
    <row r="659" spans="1:1">
      <c r="A659" s="24"/>
    </row>
    <row r="660" spans="1:1">
      <c r="A660" s="24"/>
    </row>
    <row r="661" spans="1:1">
      <c r="A661" s="24"/>
    </row>
    <row r="662" spans="1:1">
      <c r="A662" s="24"/>
    </row>
    <row r="663" spans="1:1">
      <c r="A663" s="24"/>
    </row>
    <row r="664" spans="1:1">
      <c r="A664" s="24"/>
    </row>
    <row r="665" spans="1:1">
      <c r="A665" s="24"/>
    </row>
    <row r="666" spans="1:1">
      <c r="A666" s="24"/>
    </row>
    <row r="667" spans="1:1">
      <c r="A667" s="24"/>
    </row>
    <row r="668" spans="1:1">
      <c r="A668" s="24"/>
    </row>
    <row r="669" spans="1:1">
      <c r="A669" s="24"/>
    </row>
    <row r="670" spans="1:1">
      <c r="A670" s="24"/>
    </row>
    <row r="671" spans="1:1">
      <c r="A671" s="24"/>
    </row>
    <row r="672" spans="1:1">
      <c r="A672" s="24"/>
    </row>
    <row r="673" spans="1:1">
      <c r="A673" s="24"/>
    </row>
    <row r="674" spans="1:1">
      <c r="A674" s="24"/>
    </row>
    <row r="675" spans="1:1">
      <c r="A675" s="24"/>
    </row>
    <row r="676" spans="1:1">
      <c r="A676" s="24"/>
    </row>
    <row r="677" spans="1:1">
      <c r="A677" s="24"/>
    </row>
    <row r="678" spans="1:1">
      <c r="A678" s="24"/>
    </row>
    <row r="679" spans="1:1">
      <c r="A679" s="24"/>
    </row>
    <row r="680" spans="1:1">
      <c r="A680" s="24"/>
    </row>
    <row r="681" spans="1:1">
      <c r="A681" s="24"/>
    </row>
    <row r="682" spans="1:1">
      <c r="A682" s="24"/>
    </row>
    <row r="683" spans="1:1">
      <c r="A683" s="24"/>
    </row>
    <row r="684" spans="1:1">
      <c r="A684" s="24"/>
    </row>
    <row r="685" spans="1:1">
      <c r="A685" s="24"/>
    </row>
    <row r="686" spans="1:1">
      <c r="A686" s="24"/>
    </row>
    <row r="687" spans="1:1">
      <c r="A687" s="24"/>
    </row>
    <row r="688" spans="1:1">
      <c r="A688" s="24"/>
    </row>
    <row r="689" spans="1:1">
      <c r="A689" s="24"/>
    </row>
    <row r="690" spans="1:1">
      <c r="A690" s="24"/>
    </row>
    <row r="691" spans="1:1">
      <c r="A691" s="24"/>
    </row>
    <row r="692" spans="1:1">
      <c r="A692" s="24"/>
    </row>
    <row r="693" spans="1:1">
      <c r="A693" s="24"/>
    </row>
    <row r="694" spans="1:1">
      <c r="A694" s="24"/>
    </row>
    <row r="695" spans="1:1">
      <c r="A695" s="24"/>
    </row>
    <row r="696" spans="1:1">
      <c r="A696" s="24"/>
    </row>
    <row r="697" spans="1:1">
      <c r="A697" s="24"/>
    </row>
    <row r="698" spans="1:1">
      <c r="A698" s="24"/>
    </row>
    <row r="699" spans="1:1">
      <c r="A699" s="24"/>
    </row>
    <row r="700" spans="1:1">
      <c r="A700" s="24"/>
    </row>
    <row r="701" spans="1:1">
      <c r="A701" s="24"/>
    </row>
    <row r="702" spans="1:1">
      <c r="A702" s="24"/>
    </row>
    <row r="703" spans="1:1">
      <c r="A703" s="24"/>
    </row>
    <row r="704" spans="1:1">
      <c r="A704" s="24"/>
    </row>
    <row r="705" spans="1:1">
      <c r="A705" s="24"/>
    </row>
    <row r="706" spans="1:1">
      <c r="A706" s="24"/>
    </row>
    <row r="707" spans="1:1">
      <c r="A707" s="24"/>
    </row>
    <row r="708" spans="1:1">
      <c r="A708" s="24"/>
    </row>
    <row r="709" spans="1:1">
      <c r="A709" s="24"/>
    </row>
    <row r="710" spans="1:1">
      <c r="A710" s="24"/>
    </row>
    <row r="711" spans="1:1">
      <c r="A711" s="24"/>
    </row>
    <row r="712" spans="1:1">
      <c r="A712" s="24"/>
    </row>
    <row r="713" spans="1:1">
      <c r="A713" s="24"/>
    </row>
    <row r="714" spans="1:1">
      <c r="A714" s="24"/>
    </row>
    <row r="715" spans="1:1">
      <c r="A715" s="24"/>
    </row>
    <row r="716" spans="1:1">
      <c r="A716" s="24"/>
    </row>
    <row r="717" spans="1:1">
      <c r="A717" s="24"/>
    </row>
    <row r="718" spans="1:1">
      <c r="A718" s="24"/>
    </row>
    <row r="719" spans="1:1">
      <c r="A719" s="24"/>
    </row>
    <row r="720" spans="1:1">
      <c r="A720" s="24"/>
    </row>
    <row r="721" spans="1:1">
      <c r="A721" s="24"/>
    </row>
    <row r="722" spans="1:1">
      <c r="A722" s="24"/>
    </row>
    <row r="723" spans="1:1">
      <c r="A723" s="24"/>
    </row>
    <row r="724" spans="1:1">
      <c r="A724" s="24"/>
    </row>
    <row r="725" spans="1:1">
      <c r="A725" s="24"/>
    </row>
    <row r="726" spans="1:1">
      <c r="A726" s="24"/>
    </row>
    <row r="727" spans="1:1">
      <c r="A727" s="24"/>
    </row>
    <row r="728" spans="1:1">
      <c r="A728" s="24"/>
    </row>
    <row r="729" spans="1:1">
      <c r="A729" s="24"/>
    </row>
    <row r="730" spans="1:1">
      <c r="A730" s="24"/>
    </row>
    <row r="731" spans="1:1">
      <c r="A731" s="24"/>
    </row>
    <row r="732" spans="1:1">
      <c r="A732" s="24"/>
    </row>
    <row r="733" spans="1:1">
      <c r="A733" s="24"/>
    </row>
    <row r="734" spans="1:1">
      <c r="A734" s="24"/>
    </row>
    <row r="735" spans="1:1">
      <c r="A735" s="24"/>
    </row>
    <row r="736" spans="1:1">
      <c r="A736" s="24"/>
    </row>
    <row r="737" spans="1:1">
      <c r="A737" s="24"/>
    </row>
    <row r="738" spans="1:1">
      <c r="A738" s="24"/>
    </row>
    <row r="739" spans="1:1">
      <c r="A739" s="24"/>
    </row>
    <row r="740" spans="1:1">
      <c r="A740" s="24"/>
    </row>
    <row r="741" spans="1:1">
      <c r="A741" s="24"/>
    </row>
    <row r="742" spans="1:1">
      <c r="A742" s="24"/>
    </row>
    <row r="743" spans="1:1">
      <c r="A743" s="24"/>
    </row>
    <row r="744" spans="1:1">
      <c r="A744" s="24"/>
    </row>
    <row r="745" spans="1:1">
      <c r="A745" s="24"/>
    </row>
    <row r="746" spans="1:1">
      <c r="A746" s="24"/>
    </row>
    <row r="747" spans="1:1">
      <c r="A747" s="24"/>
    </row>
    <row r="748" spans="1:1">
      <c r="A748" s="24"/>
    </row>
    <row r="749" spans="1:1">
      <c r="A749" s="24"/>
    </row>
    <row r="750" spans="1:1">
      <c r="A750" s="24"/>
    </row>
    <row r="751" spans="1:1">
      <c r="A751" s="24"/>
    </row>
    <row r="752" spans="1:1">
      <c r="A752" s="24"/>
    </row>
    <row r="753" spans="1:1">
      <c r="A753" s="24"/>
    </row>
    <row r="754" spans="1:1">
      <c r="A754" s="24"/>
    </row>
    <row r="755" spans="1:1">
      <c r="A755" s="24"/>
    </row>
    <row r="756" spans="1:1">
      <c r="A756" s="24"/>
    </row>
    <row r="757" spans="1:1">
      <c r="A757" s="24"/>
    </row>
    <row r="758" spans="1:1">
      <c r="A758" s="24"/>
    </row>
    <row r="759" spans="1:1">
      <c r="A759" s="24"/>
    </row>
    <row r="760" spans="1:1">
      <c r="A760" s="24"/>
    </row>
    <row r="761" spans="1:1">
      <c r="A761" s="24"/>
    </row>
    <row r="762" spans="1:1">
      <c r="A762" s="24"/>
    </row>
    <row r="763" spans="1:1">
      <c r="A763" s="24"/>
    </row>
    <row r="764" spans="1:1">
      <c r="A764" s="24"/>
    </row>
    <row r="765" spans="1:1">
      <c r="A765" s="24"/>
    </row>
    <row r="766" spans="1:1">
      <c r="A766" s="24"/>
    </row>
    <row r="767" spans="1:1">
      <c r="A767" s="24"/>
    </row>
    <row r="768" spans="1:1">
      <c r="A768" s="24"/>
    </row>
    <row r="769" spans="1:1">
      <c r="A769" s="24"/>
    </row>
    <row r="770" spans="1:1">
      <c r="A770" s="24"/>
    </row>
    <row r="771" spans="1:1">
      <c r="A771" s="24"/>
    </row>
    <row r="772" spans="1:1">
      <c r="A772" s="24"/>
    </row>
    <row r="773" spans="1:1">
      <c r="A773" s="24"/>
    </row>
    <row r="774" spans="1:1">
      <c r="A774" s="24"/>
    </row>
    <row r="775" spans="1:1">
      <c r="A775" s="24"/>
    </row>
    <row r="776" spans="1:1">
      <c r="A776" s="24"/>
    </row>
    <row r="777" spans="1:1">
      <c r="A777" s="24"/>
    </row>
    <row r="778" spans="1:1">
      <c r="A778" s="24"/>
    </row>
    <row r="779" spans="1:1">
      <c r="A779" s="24"/>
    </row>
    <row r="780" spans="1:1">
      <c r="A780" s="24"/>
    </row>
    <row r="781" spans="1:1">
      <c r="A781" s="24"/>
    </row>
    <row r="782" spans="1:1">
      <c r="A782" s="24"/>
    </row>
    <row r="783" spans="1:1">
      <c r="A783" s="24"/>
    </row>
    <row r="784" spans="1:1">
      <c r="A784" s="24"/>
    </row>
    <row r="785" spans="1:1">
      <c r="A785" s="24"/>
    </row>
    <row r="786" spans="1:1">
      <c r="A786" s="24"/>
    </row>
    <row r="787" spans="1:1">
      <c r="A787" s="24"/>
    </row>
    <row r="788" spans="1:1">
      <c r="A788" s="24"/>
    </row>
    <row r="789" spans="1:1">
      <c r="A789" s="24"/>
    </row>
    <row r="790" spans="1:1">
      <c r="A790" s="24"/>
    </row>
    <row r="791" spans="1:1">
      <c r="A791" s="24"/>
    </row>
    <row r="792" spans="1:1">
      <c r="A792" s="24"/>
    </row>
    <row r="793" spans="1:1">
      <c r="A793" s="24"/>
    </row>
    <row r="794" spans="1:1">
      <c r="A794" s="24"/>
    </row>
    <row r="795" spans="1:1">
      <c r="A795" s="24"/>
    </row>
    <row r="796" spans="1:1">
      <c r="A796" s="24"/>
    </row>
    <row r="797" spans="1:1">
      <c r="A797" s="24"/>
    </row>
    <row r="798" spans="1:1">
      <c r="A798" s="24"/>
    </row>
    <row r="799" spans="1:1">
      <c r="A799" s="24"/>
    </row>
    <row r="800" spans="1:1">
      <c r="A800" s="24"/>
    </row>
    <row r="801" spans="1:1">
      <c r="A801" s="24"/>
    </row>
    <row r="802" spans="1:1">
      <c r="A802" s="24"/>
    </row>
    <row r="803" spans="1:1">
      <c r="A803" s="24"/>
    </row>
    <row r="804" spans="1:1">
      <c r="A804" s="24"/>
    </row>
    <row r="805" spans="1:1">
      <c r="A805" s="24"/>
    </row>
    <row r="806" spans="1:1">
      <c r="A806" s="24"/>
    </row>
    <row r="807" spans="1:1">
      <c r="A807" s="24"/>
    </row>
    <row r="808" spans="1:1">
      <c r="A808" s="24"/>
    </row>
    <row r="809" spans="1:1">
      <c r="A809" s="24"/>
    </row>
    <row r="810" spans="1:1">
      <c r="A810" s="24"/>
    </row>
    <row r="811" spans="1:1">
      <c r="A811" s="24"/>
    </row>
    <row r="812" spans="1:1">
      <c r="A812" s="24"/>
    </row>
    <row r="813" spans="1:1">
      <c r="A813" s="24"/>
    </row>
    <row r="814" spans="1:1">
      <c r="A814" s="24"/>
    </row>
    <row r="815" spans="1:1">
      <c r="A815" s="24"/>
    </row>
    <row r="816" spans="1:1">
      <c r="A816" s="24"/>
    </row>
    <row r="817" spans="1:1">
      <c r="A817" s="24"/>
    </row>
    <row r="818" spans="1:1">
      <c r="A818" s="24"/>
    </row>
    <row r="819" spans="1:1">
      <c r="A819" s="24"/>
    </row>
    <row r="820" spans="1:1">
      <c r="A820" s="24"/>
    </row>
    <row r="821" spans="1:1">
      <c r="A821" s="24"/>
    </row>
    <row r="822" spans="1:1">
      <c r="A822" s="24"/>
    </row>
    <row r="823" spans="1:1">
      <c r="A823" s="24"/>
    </row>
    <row r="824" spans="1:1">
      <c r="A824" s="24"/>
    </row>
    <row r="825" spans="1:1">
      <c r="A825" s="24"/>
    </row>
    <row r="826" spans="1:1">
      <c r="A826" s="24"/>
    </row>
    <row r="827" spans="1:1">
      <c r="A827" s="24"/>
    </row>
    <row r="828" spans="1:1">
      <c r="A828" s="24"/>
    </row>
    <row r="829" spans="1:1">
      <c r="A829" s="24"/>
    </row>
    <row r="830" spans="1:1">
      <c r="A830" s="24"/>
    </row>
    <row r="831" spans="1:1">
      <c r="A831" s="24"/>
    </row>
    <row r="832" spans="1:1">
      <c r="A832" s="24"/>
    </row>
    <row r="833" spans="1:1">
      <c r="A833" s="24"/>
    </row>
    <row r="834" spans="1:1">
      <c r="A834" s="24"/>
    </row>
    <row r="835" spans="1:1">
      <c r="A835" s="24"/>
    </row>
    <row r="836" spans="1:1">
      <c r="A836" s="24"/>
    </row>
    <row r="837" spans="1:1">
      <c r="A837" s="24"/>
    </row>
    <row r="838" spans="1:1">
      <c r="A838" s="24"/>
    </row>
    <row r="839" spans="1:1">
      <c r="A839" s="24"/>
    </row>
    <row r="840" spans="1:1">
      <c r="A840" s="24"/>
    </row>
    <row r="841" spans="1:1">
      <c r="A841" s="24"/>
    </row>
    <row r="842" spans="1:1">
      <c r="A842" s="24"/>
    </row>
    <row r="843" spans="1:1">
      <c r="A843" s="24"/>
    </row>
    <row r="844" spans="1:1">
      <c r="A844" s="24"/>
    </row>
    <row r="845" spans="1:1">
      <c r="A845" s="24"/>
    </row>
    <row r="846" spans="1:1">
      <c r="A846" s="24"/>
    </row>
    <row r="847" spans="1:1">
      <c r="A847" s="24"/>
    </row>
    <row r="848" spans="1:1">
      <c r="A848" s="24"/>
    </row>
    <row r="849" spans="1:1">
      <c r="A849" s="24"/>
    </row>
    <row r="850" spans="1:1">
      <c r="A850" s="24"/>
    </row>
    <row r="851" spans="1:1">
      <c r="A851" s="24"/>
    </row>
    <row r="852" spans="1:1">
      <c r="A852" s="24"/>
    </row>
    <row r="853" spans="1:1">
      <c r="A853" s="24"/>
    </row>
    <row r="854" spans="1:1">
      <c r="A854" s="24"/>
    </row>
    <row r="855" spans="1:1">
      <c r="A855" s="24"/>
    </row>
    <row r="856" spans="1:1">
      <c r="A856" s="24"/>
    </row>
    <row r="857" spans="1:1">
      <c r="A857" s="24"/>
    </row>
    <row r="858" spans="1:1">
      <c r="A858" s="24"/>
    </row>
    <row r="859" spans="1:1">
      <c r="A859" s="24"/>
    </row>
    <row r="860" spans="1:1">
      <c r="A860" s="24"/>
    </row>
    <row r="861" spans="1:1">
      <c r="A861" s="24"/>
    </row>
    <row r="862" spans="1:1">
      <c r="A862" s="24"/>
    </row>
    <row r="863" spans="1:1">
      <c r="A863" s="24"/>
    </row>
    <row r="864" spans="1:1">
      <c r="A864" s="24"/>
    </row>
    <row r="865" spans="1:1">
      <c r="A865" s="24"/>
    </row>
    <row r="866" spans="1:1">
      <c r="A866" s="24"/>
    </row>
    <row r="867" spans="1:1">
      <c r="A867" s="24"/>
    </row>
    <row r="868" spans="1:1">
      <c r="A868" s="24"/>
    </row>
    <row r="869" spans="1:1">
      <c r="A869" s="24"/>
    </row>
    <row r="870" spans="1:1">
      <c r="A870" s="24"/>
    </row>
    <row r="871" spans="1:1">
      <c r="A871" s="24"/>
    </row>
    <row r="872" spans="1:1">
      <c r="A872" s="24"/>
    </row>
    <row r="873" spans="1:1">
      <c r="A873" s="24"/>
    </row>
    <row r="874" spans="1:1">
      <c r="A874" s="24"/>
    </row>
    <row r="875" spans="1:1">
      <c r="A875" s="24"/>
    </row>
    <row r="876" spans="1:1">
      <c r="A876" s="24"/>
    </row>
    <row r="877" spans="1:1">
      <c r="A877" s="24"/>
    </row>
    <row r="878" spans="1:1">
      <c r="A878" s="24"/>
    </row>
    <row r="879" spans="1:1">
      <c r="A879" s="24"/>
    </row>
    <row r="880" spans="1:1">
      <c r="A880" s="24"/>
    </row>
    <row r="881" spans="1:1">
      <c r="A881" s="24"/>
    </row>
    <row r="882" spans="1:1">
      <c r="A882" s="24"/>
    </row>
    <row r="883" spans="1:1">
      <c r="A883" s="24"/>
    </row>
    <row r="884" spans="1:1">
      <c r="A884" s="24"/>
    </row>
    <row r="885" spans="1:1">
      <c r="A885" s="24"/>
    </row>
    <row r="886" spans="1:1">
      <c r="A886" s="24"/>
    </row>
    <row r="887" spans="1:1">
      <c r="A887" s="24"/>
    </row>
    <row r="888" spans="1:1">
      <c r="A888" s="24"/>
    </row>
    <row r="889" spans="1:1">
      <c r="A889" s="24"/>
    </row>
    <row r="890" spans="1:1">
      <c r="A890" s="24"/>
    </row>
    <row r="891" spans="1:1">
      <c r="A891" s="24"/>
    </row>
    <row r="892" spans="1:1">
      <c r="A892" s="24"/>
    </row>
    <row r="893" spans="1:1">
      <c r="A893" s="24"/>
    </row>
    <row r="894" spans="1:1">
      <c r="A894" s="24"/>
    </row>
    <row r="895" spans="1:1">
      <c r="A895" s="24"/>
    </row>
    <row r="896" spans="1:1">
      <c r="A896" s="24"/>
    </row>
    <row r="897" spans="1:1">
      <c r="A897" s="24"/>
    </row>
    <row r="898" spans="1:1">
      <c r="A898" s="24"/>
    </row>
    <row r="899" spans="1:1">
      <c r="A899" s="24"/>
    </row>
    <row r="900" spans="1:1">
      <c r="A900" s="24"/>
    </row>
    <row r="901" spans="1:1">
      <c r="A901" s="24"/>
    </row>
    <row r="902" spans="1:1">
      <c r="A902" s="24"/>
    </row>
    <row r="903" spans="1:1">
      <c r="A903" s="24"/>
    </row>
    <row r="904" spans="1:1">
      <c r="A904" s="24"/>
    </row>
    <row r="905" spans="1:1">
      <c r="A905" s="24"/>
    </row>
    <row r="906" spans="1:1">
      <c r="A906" s="24"/>
    </row>
    <row r="907" spans="1:1">
      <c r="A907" s="24"/>
    </row>
    <row r="908" spans="1:1">
      <c r="A908" s="24"/>
    </row>
    <row r="909" spans="1:1">
      <c r="A909" s="24"/>
    </row>
    <row r="910" spans="1:1">
      <c r="A910" s="24"/>
    </row>
    <row r="911" spans="1:1">
      <c r="A911" s="24"/>
    </row>
    <row r="912" spans="1:1">
      <c r="A912" s="24"/>
    </row>
    <row r="913" spans="1:1">
      <c r="A913" s="24"/>
    </row>
    <row r="914" spans="1:1">
      <c r="A914" s="24"/>
    </row>
    <row r="915" spans="1:1">
      <c r="A915" s="24"/>
    </row>
    <row r="916" spans="1:1">
      <c r="A916" s="24"/>
    </row>
    <row r="917" spans="1:1">
      <c r="A917" s="24"/>
    </row>
    <row r="918" spans="1:1">
      <c r="A918" s="24"/>
    </row>
    <row r="919" spans="1:1">
      <c r="A919" s="24"/>
    </row>
    <row r="920" spans="1:1">
      <c r="A920" s="24"/>
    </row>
    <row r="921" spans="1:1">
      <c r="A921" s="24"/>
    </row>
    <row r="922" spans="1:1">
      <c r="A922" s="24"/>
    </row>
    <row r="923" spans="1:1">
      <c r="A923" s="24"/>
    </row>
    <row r="924" spans="1:1">
      <c r="A924" s="24"/>
    </row>
    <row r="925" spans="1:1">
      <c r="A925" s="24"/>
    </row>
    <row r="926" spans="1:1">
      <c r="A926" s="24"/>
    </row>
    <row r="927" spans="1:1">
      <c r="A927" s="24"/>
    </row>
    <row r="928" spans="1:1">
      <c r="A928" s="24"/>
    </row>
    <row r="929" spans="1:1">
      <c r="A929" s="24"/>
    </row>
    <row r="930" spans="1:1">
      <c r="A930" s="24"/>
    </row>
    <row r="931" spans="1:1">
      <c r="A931" s="24"/>
    </row>
    <row r="932" spans="1:1">
      <c r="A932" s="24"/>
    </row>
    <row r="933" spans="1:1">
      <c r="A933" s="24"/>
    </row>
    <row r="934" spans="1:1">
      <c r="A934" s="24"/>
    </row>
    <row r="935" spans="1:1">
      <c r="A935" s="24"/>
    </row>
    <row r="936" spans="1:1">
      <c r="A936" s="24"/>
    </row>
    <row r="937" spans="1:1">
      <c r="A937" s="24"/>
    </row>
    <row r="938" spans="1:1">
      <c r="A938" s="24"/>
    </row>
    <row r="939" spans="1:1">
      <c r="A939" s="24"/>
    </row>
    <row r="940" spans="1:1">
      <c r="A940" s="24"/>
    </row>
    <row r="941" spans="1:1">
      <c r="A941" s="24"/>
    </row>
    <row r="942" spans="1:1">
      <c r="A942" s="24"/>
    </row>
    <row r="943" spans="1:1">
      <c r="A943" s="24"/>
    </row>
    <row r="944" spans="1:1">
      <c r="A944" s="24"/>
    </row>
    <row r="945" spans="1:1">
      <c r="A945" s="24"/>
    </row>
    <row r="946" spans="1:1">
      <c r="A946" s="24"/>
    </row>
    <row r="947" spans="1:1">
      <c r="A947" s="24"/>
    </row>
    <row r="948" spans="1:1">
      <c r="A948" s="24"/>
    </row>
    <row r="949" spans="1:1">
      <c r="A949" s="24"/>
    </row>
    <row r="950" spans="1:1">
      <c r="A950" s="24"/>
    </row>
    <row r="951" spans="1:1">
      <c r="A951" s="24"/>
    </row>
    <row r="952" spans="1:1">
      <c r="A952" s="24"/>
    </row>
    <row r="953" spans="1:1">
      <c r="A953" s="24"/>
    </row>
    <row r="954" spans="1:1">
      <c r="A954" s="24"/>
    </row>
    <row r="955" spans="1:1">
      <c r="A955" s="24"/>
    </row>
    <row r="956" spans="1:1">
      <c r="A956" s="24"/>
    </row>
    <row r="957" spans="1:1">
      <c r="A957" s="24"/>
    </row>
    <row r="958" spans="1:1">
      <c r="A958" s="24"/>
    </row>
    <row r="959" spans="1:1">
      <c r="A959" s="24"/>
    </row>
    <row r="960" spans="1:1">
      <c r="A960" s="24"/>
    </row>
    <row r="961" spans="1:1">
      <c r="A961" s="24"/>
    </row>
    <row r="962" spans="1:1">
      <c r="A962" s="24"/>
    </row>
    <row r="963" spans="1:1">
      <c r="A963" s="24"/>
    </row>
    <row r="964" spans="1:1">
      <c r="A964" s="24"/>
    </row>
    <row r="965" spans="1:1">
      <c r="A965" s="24"/>
    </row>
    <row r="966" spans="1:1">
      <c r="A966" s="24"/>
    </row>
    <row r="967" spans="1:1">
      <c r="A967" s="24"/>
    </row>
    <row r="968" spans="1:1">
      <c r="A968" s="24"/>
    </row>
    <row r="969" spans="1:1">
      <c r="A969" s="24"/>
    </row>
    <row r="970" spans="1:1">
      <c r="A970" s="24"/>
    </row>
    <row r="971" spans="1:1">
      <c r="A971" s="24"/>
    </row>
    <row r="972" spans="1:1">
      <c r="A972" s="24"/>
    </row>
    <row r="973" spans="1:1">
      <c r="A973" s="24"/>
    </row>
    <row r="974" spans="1:1">
      <c r="A974" s="24"/>
    </row>
    <row r="975" spans="1:1">
      <c r="A975" s="24"/>
    </row>
    <row r="976" spans="1:1">
      <c r="A976" s="24"/>
    </row>
    <row r="977" spans="1:1">
      <c r="A977" s="24"/>
    </row>
    <row r="978" spans="1:1">
      <c r="A978" s="24"/>
    </row>
    <row r="979" spans="1:1">
      <c r="A979" s="24"/>
    </row>
    <row r="980" spans="1:1">
      <c r="A980" s="24"/>
    </row>
    <row r="981" spans="1:1">
      <c r="A981" s="24"/>
    </row>
    <row r="982" spans="1:1">
      <c r="A982" s="24"/>
    </row>
    <row r="983" spans="1:1">
      <c r="A983" s="24"/>
    </row>
    <row r="984" spans="1:1">
      <c r="A984" s="24"/>
    </row>
    <row r="985" spans="1:1">
      <c r="A985" s="24"/>
    </row>
    <row r="986" spans="1:1">
      <c r="A986" s="24"/>
    </row>
    <row r="987" spans="1:1">
      <c r="A987" s="24"/>
    </row>
    <row r="988" spans="1:1">
      <c r="A988" s="24"/>
    </row>
    <row r="989" spans="1:1">
      <c r="A989" s="24"/>
    </row>
    <row r="990" spans="1:1">
      <c r="A990" s="24"/>
    </row>
    <row r="991" spans="1:1">
      <c r="A991" s="24"/>
    </row>
    <row r="992" spans="1:1">
      <c r="A992" s="24"/>
    </row>
    <row r="993" spans="1:1">
      <c r="A993" s="24"/>
    </row>
    <row r="994" spans="1:1">
      <c r="A994" s="24"/>
    </row>
    <row r="995" spans="1:1">
      <c r="A995" s="24"/>
    </row>
    <row r="996" spans="1:1">
      <c r="A996" s="24"/>
    </row>
    <row r="997" spans="1:1">
      <c r="A997" s="24"/>
    </row>
    <row r="998" spans="1:1">
      <c r="A998" s="24"/>
    </row>
    <row r="999" spans="1:1">
      <c r="A999" s="24"/>
    </row>
    <row r="1000" spans="1:1">
      <c r="A1000" s="24"/>
    </row>
    <row r="1001" spans="1:1">
      <c r="A1001" s="24"/>
    </row>
    <row r="1002" spans="1:1">
      <c r="A1002" s="24"/>
    </row>
    <row r="1003" spans="1:1">
      <c r="A1003" s="24"/>
    </row>
  </sheetData>
  <mergeCells count="4">
    <mergeCell ref="A1:J1"/>
    <mergeCell ref="L1:P1"/>
    <mergeCell ref="H34:J34"/>
    <mergeCell ref="H35:J35"/>
  </mergeCells>
  <phoneticPr fontId="5" type="noConversion"/>
  <dataValidations count="1">
    <dataValidation type="list" allowBlank="1" showErrorMessage="1" sqref="L2" xr:uid="{334AD3F3-E54A-4699-82E7-A1510FE98FD9}">
      <formula1>"江政隆,吳献堂,林權松"</formula1>
    </dataValidation>
  </dataValidations>
  <pageMargins left="0" right="0" top="0" bottom="0" header="0" footer="0"/>
  <pageSetup paperSize="9" scale="7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094E-8857-AC49-9829-4495B35B9170}">
  <sheetPr>
    <outlinePr summaryBelow="0" summaryRight="0"/>
  </sheetPr>
  <dimension ref="A1:AB1003"/>
  <sheetViews>
    <sheetView zoomScale="120" zoomScaleNormal="120" zoomScaleSheetLayoutView="100" workbookViewId="0">
      <pane ySplit="2" topLeftCell="A11" activePane="bottomLeft" state="frozen"/>
      <selection pane="bottomLeft" activeCell="C33" sqref="C33"/>
      <selection activeCell="B1" sqref="B1"/>
    </sheetView>
  </sheetViews>
  <sheetFormatPr defaultColWidth="12.42578125" defaultRowHeight="18"/>
  <cols>
    <col min="1" max="1" width="8.28515625" style="12" bestFit="1" customWidth="1"/>
    <col min="2" max="3" width="10.42578125" style="12" bestFit="1" customWidth="1"/>
    <col min="4" max="4" width="9.42578125" style="12" bestFit="1" customWidth="1"/>
    <col min="5" max="5" width="10.42578125" style="12" bestFit="1" customWidth="1"/>
    <col min="6" max="6" width="13.85546875" style="12" customWidth="1"/>
    <col min="7" max="7" width="11.85546875" style="12" customWidth="1"/>
    <col min="8" max="9" width="10.85546875" style="12" customWidth="1"/>
    <col min="10" max="10" width="12.140625" style="12" customWidth="1"/>
    <col min="11" max="11" width="8.28515625" style="12" customWidth="1"/>
    <col min="12" max="12" width="12.140625" style="12" customWidth="1"/>
    <col min="13" max="13" width="11.42578125" style="12" bestFit="1" customWidth="1"/>
    <col min="14" max="14" width="15.28515625" style="12" bestFit="1" customWidth="1"/>
    <col min="15" max="15" width="15.140625" style="12" customWidth="1"/>
    <col min="16" max="16384" width="12.42578125" style="12"/>
  </cols>
  <sheetData>
    <row r="1" spans="1:28" ht="28.35" customHeight="1" thickBot="1">
      <c r="A1" s="63" t="s">
        <v>0</v>
      </c>
      <c r="B1" s="64"/>
      <c r="C1" s="64"/>
      <c r="D1" s="64"/>
      <c r="E1" s="64"/>
      <c r="F1" s="64"/>
      <c r="G1" s="64"/>
      <c r="H1" s="64"/>
      <c r="I1" s="65"/>
      <c r="J1" s="66"/>
      <c r="L1" s="67" t="s">
        <v>1</v>
      </c>
      <c r="M1" s="68"/>
      <c r="N1" s="68"/>
      <c r="O1" s="68"/>
      <c r="P1" s="68"/>
    </row>
    <row r="2" spans="1:28">
      <c r="A2" s="25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41" t="s">
        <v>10</v>
      </c>
      <c r="J2" s="27" t="s">
        <v>11</v>
      </c>
      <c r="K2" s="28"/>
      <c r="L2" s="42"/>
      <c r="M2" s="43" t="s">
        <v>12</v>
      </c>
      <c r="N2" s="44" t="s">
        <v>13</v>
      </c>
      <c r="O2" s="44" t="s">
        <v>14</v>
      </c>
      <c r="P2" s="45" t="s">
        <v>15</v>
      </c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>
      <c r="A3" s="29">
        <v>45566</v>
      </c>
      <c r="B3" s="30">
        <v>1997</v>
      </c>
      <c r="C3" s="30">
        <v>2176</v>
      </c>
      <c r="D3" s="30"/>
      <c r="E3" s="30"/>
      <c r="F3" s="30">
        <f>260+50</f>
        <v>310</v>
      </c>
      <c r="G3" s="30"/>
      <c r="H3" s="30">
        <f>'10月費用明細憑證'!E3</f>
        <v>0</v>
      </c>
      <c r="I3" s="53">
        <f>H3+(F3*0.7)</f>
        <v>217</v>
      </c>
      <c r="J3" s="55">
        <f t="shared" ref="J3:J10" si="0">(B3-C3-D3-E3-G3)</f>
        <v>-179</v>
      </c>
      <c r="K3" s="31"/>
      <c r="L3" s="46" t="s">
        <v>16</v>
      </c>
      <c r="M3" s="57">
        <f>SUM(C3:C32)</f>
        <v>50741</v>
      </c>
      <c r="N3" s="60">
        <f>N4</f>
        <v>76530.5</v>
      </c>
      <c r="O3" s="46">
        <f>M3-N3</f>
        <v>-25789.5</v>
      </c>
      <c r="P3" s="47">
        <f>N3</f>
        <v>76530.5</v>
      </c>
    </row>
    <row r="4" spans="1:28">
      <c r="A4" s="29">
        <v>45567</v>
      </c>
      <c r="B4" s="30">
        <v>2699</v>
      </c>
      <c r="C4" s="30">
        <v>2275</v>
      </c>
      <c r="D4" s="30"/>
      <c r="E4" s="30"/>
      <c r="F4" s="30">
        <f>385</f>
        <v>385</v>
      </c>
      <c r="G4" s="30"/>
      <c r="H4" s="30">
        <f>'10月費用明細憑證'!E4</f>
        <v>0</v>
      </c>
      <c r="I4" s="53">
        <f t="shared" ref="I4:I33" si="1">H4+(F4*0.7)</f>
        <v>269.5</v>
      </c>
      <c r="J4" s="55">
        <f t="shared" si="0"/>
        <v>424</v>
      </c>
      <c r="K4" s="31"/>
      <c r="L4" s="46" t="s">
        <v>17</v>
      </c>
      <c r="M4" s="57">
        <f>SUM(C3:C33)+M9</f>
        <v>123707</v>
      </c>
      <c r="N4" s="60">
        <f>M7+O7</f>
        <v>76530.5</v>
      </c>
      <c r="O4" s="57">
        <f>M4-N4</f>
        <v>47176.5</v>
      </c>
      <c r="P4" s="47"/>
    </row>
    <row r="5" spans="1:28">
      <c r="A5" s="29">
        <v>45568</v>
      </c>
      <c r="B5" s="30">
        <v>920</v>
      </c>
      <c r="C5" s="30">
        <v>1000</v>
      </c>
      <c r="D5" s="30"/>
      <c r="E5" s="30"/>
      <c r="F5" s="30">
        <v>0</v>
      </c>
      <c r="G5" s="30"/>
      <c r="H5" s="30">
        <f>'10月費用明細憑證'!E5</f>
        <v>290</v>
      </c>
      <c r="I5" s="53">
        <f t="shared" si="1"/>
        <v>290</v>
      </c>
      <c r="J5" s="55">
        <f t="shared" si="0"/>
        <v>-80</v>
      </c>
      <c r="K5" s="31"/>
      <c r="L5" s="46" t="s">
        <v>18</v>
      </c>
      <c r="M5" s="57">
        <f>76+36000</f>
        <v>36076</v>
      </c>
      <c r="N5" s="46">
        <f>36000</f>
        <v>36000</v>
      </c>
      <c r="O5" s="46">
        <f>M5-N5</f>
        <v>76</v>
      </c>
      <c r="P5" s="48">
        <f>M5-N5</f>
        <v>76</v>
      </c>
    </row>
    <row r="6" spans="1:28">
      <c r="A6" s="29">
        <v>45569</v>
      </c>
      <c r="B6" s="30">
        <f>1345+360</f>
        <v>1705</v>
      </c>
      <c r="C6" s="30">
        <f>1730+360</f>
        <v>2090</v>
      </c>
      <c r="D6" s="30"/>
      <c r="E6" s="30"/>
      <c r="F6" s="30">
        <f>60+80+100</f>
        <v>240</v>
      </c>
      <c r="G6" s="30"/>
      <c r="H6" s="30">
        <f>'10月費用明細憑證'!E6</f>
        <v>37042</v>
      </c>
      <c r="I6" s="53">
        <f t="shared" si="1"/>
        <v>37210</v>
      </c>
      <c r="J6" s="55">
        <f t="shared" si="0"/>
        <v>-385</v>
      </c>
      <c r="K6" s="31"/>
      <c r="L6" s="46" t="s">
        <v>19</v>
      </c>
      <c r="M6" s="57">
        <f>M9+M10-M11+O7</f>
        <v>51226</v>
      </c>
      <c r="N6" s="46"/>
      <c r="O6" s="46">
        <f>M6-N6</f>
        <v>51226</v>
      </c>
      <c r="P6" s="46"/>
    </row>
    <row r="7" spans="1:28">
      <c r="A7" s="29">
        <v>45570</v>
      </c>
      <c r="B7" s="30">
        <f>1214-360</f>
        <v>854</v>
      </c>
      <c r="C7" s="30">
        <v>930</v>
      </c>
      <c r="D7" s="30"/>
      <c r="E7" s="30"/>
      <c r="F7" s="30">
        <v>110</v>
      </c>
      <c r="G7" s="30"/>
      <c r="H7" s="30">
        <f>'10月費用明細憑證'!E7</f>
        <v>2550</v>
      </c>
      <c r="I7" s="53">
        <f t="shared" si="1"/>
        <v>2627</v>
      </c>
      <c r="J7" s="55">
        <f t="shared" si="0"/>
        <v>-76</v>
      </c>
      <c r="K7" s="31"/>
      <c r="L7" s="32" t="s">
        <v>20</v>
      </c>
      <c r="M7" s="58">
        <f>C35</f>
        <v>72481</v>
      </c>
      <c r="N7" s="32" t="s">
        <v>21</v>
      </c>
      <c r="O7" s="58">
        <f>F35</f>
        <v>4049.4999999999995</v>
      </c>
      <c r="P7" s="32"/>
    </row>
    <row r="8" spans="1:28">
      <c r="A8" s="29">
        <v>45571</v>
      </c>
      <c r="B8" s="30">
        <v>2118</v>
      </c>
      <c r="C8" s="30">
        <v>2070</v>
      </c>
      <c r="D8" s="30"/>
      <c r="E8" s="30"/>
      <c r="F8" s="30">
        <v>0</v>
      </c>
      <c r="G8" s="30"/>
      <c r="H8" s="30">
        <f>'10月費用明細憑證'!E8</f>
        <v>3552</v>
      </c>
      <c r="I8" s="53">
        <f t="shared" si="1"/>
        <v>3552</v>
      </c>
      <c r="J8" s="55">
        <f t="shared" si="0"/>
        <v>48</v>
      </c>
      <c r="K8" s="31"/>
      <c r="L8" s="46"/>
      <c r="M8" s="57"/>
      <c r="N8" s="46"/>
      <c r="O8" s="46"/>
      <c r="P8" s="46"/>
    </row>
    <row r="9" spans="1:28">
      <c r="A9" s="29">
        <v>45572</v>
      </c>
      <c r="B9" s="30">
        <v>2275</v>
      </c>
      <c r="C9" s="30">
        <v>2280</v>
      </c>
      <c r="D9" s="30"/>
      <c r="E9" s="30"/>
      <c r="F9" s="30">
        <f>60+580</f>
        <v>640</v>
      </c>
      <c r="G9" s="30"/>
      <c r="H9" s="30">
        <f>'10月費用明細憑證'!E9</f>
        <v>0</v>
      </c>
      <c r="I9" s="53">
        <f t="shared" si="1"/>
        <v>448</v>
      </c>
      <c r="J9" s="55">
        <f t="shared" si="0"/>
        <v>-5</v>
      </c>
      <c r="K9" s="31"/>
      <c r="L9" s="46" t="s">
        <v>22</v>
      </c>
      <c r="M9" s="57">
        <f>25927+30000+17039</f>
        <v>72966</v>
      </c>
      <c r="N9" s="46"/>
      <c r="O9" s="46"/>
      <c r="P9" s="46"/>
    </row>
    <row r="10" spans="1:28">
      <c r="A10" s="29">
        <v>45573</v>
      </c>
      <c r="B10" s="32">
        <v>1855</v>
      </c>
      <c r="C10" s="32">
        <v>1870</v>
      </c>
      <c r="D10" s="32"/>
      <c r="E10" s="32"/>
      <c r="F10" s="32">
        <v>110</v>
      </c>
      <c r="G10" s="32"/>
      <c r="H10" s="30">
        <f>'10月費用明細憑證'!E10</f>
        <v>1110</v>
      </c>
      <c r="I10" s="53">
        <f t="shared" si="1"/>
        <v>1187</v>
      </c>
      <c r="J10" s="55">
        <f t="shared" si="0"/>
        <v>-15</v>
      </c>
      <c r="K10" s="31"/>
      <c r="L10" s="46" t="s">
        <v>23</v>
      </c>
      <c r="M10" s="57">
        <f>O3</f>
        <v>-25789.5</v>
      </c>
      <c r="N10" s="46"/>
      <c r="O10" s="46"/>
      <c r="P10" s="46"/>
    </row>
    <row r="11" spans="1:28">
      <c r="A11" s="29">
        <v>45574</v>
      </c>
      <c r="B11" s="32">
        <v>2061</v>
      </c>
      <c r="C11" s="32">
        <v>2100</v>
      </c>
      <c r="D11" s="32"/>
      <c r="E11" s="32"/>
      <c r="F11" s="32">
        <v>0</v>
      </c>
      <c r="G11" s="32"/>
      <c r="H11" s="30">
        <f>'10月費用明細憑證'!E11</f>
        <v>500</v>
      </c>
      <c r="I11" s="53">
        <f t="shared" si="1"/>
        <v>500</v>
      </c>
      <c r="J11" s="55">
        <f>(B11-C11-D11-E11-F11)</f>
        <v>-39</v>
      </c>
      <c r="K11" s="31"/>
      <c r="L11" s="32" t="s">
        <v>24</v>
      </c>
      <c r="M11" s="58"/>
      <c r="N11" s="32"/>
      <c r="O11" s="32"/>
      <c r="P11" s="32"/>
    </row>
    <row r="12" spans="1:28">
      <c r="A12" s="29">
        <v>45575</v>
      </c>
      <c r="B12" s="32">
        <v>2356</v>
      </c>
      <c r="C12" s="32">
        <v>2110</v>
      </c>
      <c r="D12" s="32"/>
      <c r="E12" s="32"/>
      <c r="F12" s="32">
        <v>315</v>
      </c>
      <c r="H12" s="30">
        <f>'10月費用明細憑證'!E12</f>
        <v>0</v>
      </c>
      <c r="I12" s="53">
        <f t="shared" si="1"/>
        <v>220.5</v>
      </c>
      <c r="J12" s="55">
        <f>(B12-C12-D12-E12-G11)</f>
        <v>246</v>
      </c>
      <c r="K12" s="31"/>
      <c r="L12" s="32" t="s">
        <v>25</v>
      </c>
      <c r="M12" s="58">
        <f>M10-M11</f>
        <v>-25789.5</v>
      </c>
      <c r="N12" s="32"/>
      <c r="O12" s="32"/>
      <c r="P12" s="32"/>
    </row>
    <row r="13" spans="1:28">
      <c r="A13" s="29">
        <v>45576</v>
      </c>
      <c r="B13" s="32">
        <v>1259</v>
      </c>
      <c r="C13" s="32">
        <v>1715</v>
      </c>
      <c r="D13" s="32"/>
      <c r="E13" s="32"/>
      <c r="F13" s="32">
        <v>220</v>
      </c>
      <c r="G13" s="32"/>
      <c r="H13" s="30">
        <f>'10月費用明細憑證'!E13</f>
        <v>0</v>
      </c>
      <c r="I13" s="53">
        <f t="shared" si="1"/>
        <v>154</v>
      </c>
      <c r="J13" s="55">
        <f t="shared" ref="J13:J33" si="2">(B13-C13-D13-E13-G13)</f>
        <v>-456</v>
      </c>
      <c r="K13" s="31"/>
    </row>
    <row r="14" spans="1:28">
      <c r="A14" s="29">
        <v>45577</v>
      </c>
      <c r="B14" s="32">
        <v>1786</v>
      </c>
      <c r="C14" s="32">
        <v>2140</v>
      </c>
      <c r="D14" s="32"/>
      <c r="E14" s="32"/>
      <c r="F14" s="32">
        <f>40</f>
        <v>40</v>
      </c>
      <c r="G14" s="32"/>
      <c r="H14" s="30">
        <f>'10月費用明細憑證'!E14</f>
        <v>0</v>
      </c>
      <c r="I14" s="53">
        <f t="shared" si="1"/>
        <v>28</v>
      </c>
      <c r="J14" s="55">
        <f t="shared" si="2"/>
        <v>-354</v>
      </c>
      <c r="K14" s="31"/>
    </row>
    <row r="15" spans="1:28">
      <c r="A15" s="29">
        <v>45578</v>
      </c>
      <c r="B15" s="32">
        <v>4502</v>
      </c>
      <c r="C15" s="32">
        <v>4310</v>
      </c>
      <c r="D15" s="32"/>
      <c r="E15" s="32"/>
      <c r="F15" s="32">
        <v>60</v>
      </c>
      <c r="G15" s="32">
        <v>130</v>
      </c>
      <c r="H15" s="30">
        <f>'10月費用明細憑證'!E15</f>
        <v>0</v>
      </c>
      <c r="I15" s="53">
        <f t="shared" si="1"/>
        <v>42</v>
      </c>
      <c r="J15" s="55">
        <f t="shared" si="2"/>
        <v>62</v>
      </c>
      <c r="K15" s="31"/>
    </row>
    <row r="16" spans="1:28">
      <c r="A16" s="29">
        <v>45579</v>
      </c>
      <c r="B16" s="32">
        <v>1162</v>
      </c>
      <c r="C16" s="32">
        <v>1230</v>
      </c>
      <c r="D16" s="32"/>
      <c r="E16" s="32"/>
      <c r="F16" s="32">
        <v>0</v>
      </c>
      <c r="G16" s="32"/>
      <c r="H16" s="30">
        <f>'10月費用明細憑證'!E16</f>
        <v>235</v>
      </c>
      <c r="I16" s="53">
        <f t="shared" si="1"/>
        <v>235</v>
      </c>
      <c r="J16" s="55">
        <f t="shared" si="2"/>
        <v>-68</v>
      </c>
      <c r="K16" s="31"/>
      <c r="L16" s="59" t="s">
        <v>26</v>
      </c>
    </row>
    <row r="17" spans="1:12">
      <c r="A17" s="29">
        <v>45580</v>
      </c>
      <c r="B17" s="32">
        <v>1640</v>
      </c>
      <c r="C17" s="30">
        <v>1710</v>
      </c>
      <c r="D17" s="32"/>
      <c r="E17" s="32"/>
      <c r="F17" s="32">
        <v>140</v>
      </c>
      <c r="G17" s="32"/>
      <c r="H17" s="30">
        <f>'10月費用明細憑證'!E17</f>
        <v>3535</v>
      </c>
      <c r="I17" s="53">
        <f t="shared" si="1"/>
        <v>3633</v>
      </c>
      <c r="J17" s="55">
        <f t="shared" si="2"/>
        <v>-70</v>
      </c>
      <c r="K17" s="31"/>
      <c r="L17" s="12" t="s">
        <v>27</v>
      </c>
    </row>
    <row r="18" spans="1:12">
      <c r="A18" s="29">
        <v>45581</v>
      </c>
      <c r="B18" s="32">
        <v>1430</v>
      </c>
      <c r="C18" s="61">
        <v>1355</v>
      </c>
      <c r="D18" s="32"/>
      <c r="E18" s="32"/>
      <c r="F18" s="32">
        <f>360+55</f>
        <v>415</v>
      </c>
      <c r="G18" s="32"/>
      <c r="H18" s="30">
        <f>'10月費用明細憑證'!E18</f>
        <v>6070</v>
      </c>
      <c r="I18" s="53">
        <f t="shared" si="1"/>
        <v>6360.5</v>
      </c>
      <c r="J18" s="55">
        <f t="shared" si="2"/>
        <v>75</v>
      </c>
    </row>
    <row r="19" spans="1:12">
      <c r="A19" s="29">
        <v>45582</v>
      </c>
      <c r="B19" s="32">
        <v>1260</v>
      </c>
      <c r="C19" s="32">
        <v>600</v>
      </c>
      <c r="D19" s="32"/>
      <c r="E19" s="32"/>
      <c r="F19" s="32">
        <f>180+220</f>
        <v>400</v>
      </c>
      <c r="G19" s="32"/>
      <c r="H19" s="30">
        <f>'10月費用明細憑證'!E19</f>
        <v>0</v>
      </c>
      <c r="I19" s="53">
        <f>H19+(F19*0.7)</f>
        <v>280</v>
      </c>
      <c r="J19" s="55">
        <f t="shared" si="2"/>
        <v>660</v>
      </c>
    </row>
    <row r="20" spans="1:12">
      <c r="A20" s="29">
        <v>45583</v>
      </c>
      <c r="B20" s="32">
        <v>1936</v>
      </c>
      <c r="C20" s="32">
        <v>2131</v>
      </c>
      <c r="D20" s="32"/>
      <c r="E20" s="32"/>
      <c r="F20" s="32">
        <f>120+190+50</f>
        <v>360</v>
      </c>
      <c r="G20" s="32"/>
      <c r="H20" s="30">
        <f>'10月費用明細憑證'!E20</f>
        <v>0</v>
      </c>
      <c r="I20" s="53">
        <f>H20+(F20*0.7)</f>
        <v>251.99999999999997</v>
      </c>
      <c r="J20" s="55">
        <f t="shared" si="2"/>
        <v>-195</v>
      </c>
    </row>
    <row r="21" spans="1:12">
      <c r="A21" s="29">
        <v>45584</v>
      </c>
      <c r="B21" s="32">
        <v>2253</v>
      </c>
      <c r="C21" s="32">
        <v>2201</v>
      </c>
      <c r="D21" s="32"/>
      <c r="E21" s="32"/>
      <c r="F21" s="32">
        <f>550+60</f>
        <v>610</v>
      </c>
      <c r="G21" s="32"/>
      <c r="H21" s="30">
        <f>'10月費用明細憑證'!E21</f>
        <v>0</v>
      </c>
      <c r="I21" s="53">
        <f t="shared" si="1"/>
        <v>427</v>
      </c>
      <c r="J21" s="55">
        <f t="shared" si="2"/>
        <v>52</v>
      </c>
    </row>
    <row r="22" spans="1:12">
      <c r="A22" s="29">
        <v>45585</v>
      </c>
      <c r="B22" s="32">
        <v>964</v>
      </c>
      <c r="C22" s="32">
        <v>400</v>
      </c>
      <c r="D22" s="32"/>
      <c r="E22" s="32"/>
      <c r="F22" s="32">
        <v>0</v>
      </c>
      <c r="G22" s="32"/>
      <c r="H22" s="30">
        <f>'10月費用明細憑證'!E22</f>
        <v>300</v>
      </c>
      <c r="I22" s="53">
        <f t="shared" si="1"/>
        <v>300</v>
      </c>
      <c r="J22" s="55">
        <f t="shared" si="2"/>
        <v>564</v>
      </c>
    </row>
    <row r="23" spans="1:12">
      <c r="A23" s="29">
        <v>45586</v>
      </c>
      <c r="B23" s="32">
        <v>1690</v>
      </c>
      <c r="C23" s="32">
        <v>1700</v>
      </c>
      <c r="D23" s="32"/>
      <c r="E23" s="32"/>
      <c r="F23" s="32">
        <f>120+250</f>
        <v>370</v>
      </c>
      <c r="G23" s="32"/>
      <c r="H23" s="30">
        <f>'10月費用明細憑證'!E23</f>
        <v>1570</v>
      </c>
      <c r="I23" s="53">
        <f t="shared" si="1"/>
        <v>1829</v>
      </c>
      <c r="J23" s="55">
        <f t="shared" si="2"/>
        <v>-10</v>
      </c>
    </row>
    <row r="24" spans="1:12">
      <c r="A24" s="29">
        <v>45587</v>
      </c>
      <c r="B24" s="32">
        <v>1829</v>
      </c>
      <c r="C24" s="32">
        <v>1753</v>
      </c>
      <c r="D24" s="32"/>
      <c r="E24" s="32"/>
      <c r="F24" s="32">
        <f>120+220</f>
        <v>340</v>
      </c>
      <c r="G24" s="32">
        <v>80</v>
      </c>
      <c r="H24" s="30">
        <f>'10月費用明細憑證'!E24</f>
        <v>0</v>
      </c>
      <c r="I24" s="53">
        <f>H24+(F24*0.7)</f>
        <v>237.99999999999997</v>
      </c>
      <c r="J24" s="55">
        <f t="shared" si="2"/>
        <v>-4</v>
      </c>
    </row>
    <row r="25" spans="1:12">
      <c r="A25" s="29">
        <v>45588</v>
      </c>
      <c r="B25" s="32">
        <v>2233</v>
      </c>
      <c r="C25" s="32">
        <v>2133</v>
      </c>
      <c r="D25" s="32"/>
      <c r="E25" s="32"/>
      <c r="F25" s="32">
        <f>220</f>
        <v>220</v>
      </c>
      <c r="G25" s="32"/>
      <c r="H25" s="30">
        <f>'10月費用明細憑證'!E25</f>
        <v>0</v>
      </c>
      <c r="I25" s="53">
        <f t="shared" si="1"/>
        <v>154</v>
      </c>
      <c r="J25" s="55">
        <f t="shared" si="2"/>
        <v>100</v>
      </c>
    </row>
    <row r="26" spans="1:12">
      <c r="A26" s="29">
        <v>45589</v>
      </c>
      <c r="B26" s="32">
        <v>341</v>
      </c>
      <c r="C26" s="32">
        <v>370</v>
      </c>
      <c r="D26" s="32"/>
      <c r="E26" s="32"/>
      <c r="F26" s="32">
        <v>0</v>
      </c>
      <c r="G26" s="32"/>
      <c r="H26" s="30">
        <f>'10月費用明細憑證'!E26</f>
        <v>0</v>
      </c>
      <c r="I26" s="53">
        <f t="shared" si="1"/>
        <v>0</v>
      </c>
      <c r="J26" s="55">
        <f t="shared" si="2"/>
        <v>-29</v>
      </c>
    </row>
    <row r="27" spans="1:12">
      <c r="A27" s="29">
        <v>45590</v>
      </c>
      <c r="B27" s="32">
        <v>1441</v>
      </c>
      <c r="C27" s="32">
        <v>1100</v>
      </c>
      <c r="D27" s="32"/>
      <c r="E27" s="32"/>
      <c r="F27" s="32">
        <v>0</v>
      </c>
      <c r="G27" s="32"/>
      <c r="H27" s="30">
        <f>'10月費用明細憑證'!E27</f>
        <v>11700</v>
      </c>
      <c r="I27" s="53">
        <f t="shared" si="1"/>
        <v>11700</v>
      </c>
      <c r="J27" s="55">
        <f t="shared" si="2"/>
        <v>341</v>
      </c>
    </row>
    <row r="28" spans="1:12">
      <c r="A28" s="29">
        <v>45591</v>
      </c>
      <c r="B28" s="32">
        <v>2481</v>
      </c>
      <c r="C28" s="32">
        <v>2500</v>
      </c>
      <c r="D28" s="32"/>
      <c r="E28" s="32"/>
      <c r="F28" s="32">
        <f>230+100+60</f>
        <v>390</v>
      </c>
      <c r="G28" s="32"/>
      <c r="H28" s="30">
        <f>'10月費用明細憑證'!E28</f>
        <v>0</v>
      </c>
      <c r="I28" s="53">
        <f t="shared" si="1"/>
        <v>273</v>
      </c>
      <c r="J28" s="55">
        <f t="shared" si="2"/>
        <v>-19</v>
      </c>
    </row>
    <row r="29" spans="1:12">
      <c r="A29" s="29">
        <v>45592</v>
      </c>
      <c r="B29" s="32">
        <v>2362</v>
      </c>
      <c r="C29" s="32">
        <v>2400</v>
      </c>
      <c r="D29" s="32"/>
      <c r="E29" s="32"/>
      <c r="F29" s="32">
        <v>0</v>
      </c>
      <c r="G29" s="32"/>
      <c r="H29" s="30">
        <f>'10月費用明細憑證'!E29</f>
        <v>712</v>
      </c>
      <c r="I29" s="53">
        <f t="shared" si="1"/>
        <v>712</v>
      </c>
      <c r="J29" s="55">
        <f t="shared" si="2"/>
        <v>-38</v>
      </c>
    </row>
    <row r="30" spans="1:12">
      <c r="A30" s="29">
        <v>45593</v>
      </c>
      <c r="B30" s="32">
        <v>955</v>
      </c>
      <c r="C30" s="32">
        <v>1000</v>
      </c>
      <c r="D30" s="32"/>
      <c r="E30" s="32"/>
      <c r="F30" s="32">
        <v>0</v>
      </c>
      <c r="G30" s="32"/>
      <c r="H30" s="30">
        <f>'10月費用明細憑證'!E30</f>
        <v>0</v>
      </c>
      <c r="I30" s="53">
        <f t="shared" si="1"/>
        <v>0</v>
      </c>
      <c r="J30" s="55">
        <f t="shared" si="2"/>
        <v>-45</v>
      </c>
    </row>
    <row r="31" spans="1:12">
      <c r="A31" s="29">
        <v>45594</v>
      </c>
      <c r="B31" s="32">
        <v>2719</v>
      </c>
      <c r="C31" s="32">
        <v>400</v>
      </c>
      <c r="D31" s="32"/>
      <c r="E31" s="32"/>
      <c r="F31" s="32">
        <v>0</v>
      </c>
      <c r="G31" s="32"/>
      <c r="H31" s="30">
        <f>'10月費用明細憑證'!E31</f>
        <v>2400</v>
      </c>
      <c r="I31" s="53">
        <f t="shared" si="1"/>
        <v>2400</v>
      </c>
      <c r="J31" s="55">
        <f t="shared" si="2"/>
        <v>2319</v>
      </c>
    </row>
    <row r="32" spans="1:12">
      <c r="A32" s="29">
        <v>45595</v>
      </c>
      <c r="B32" s="32">
        <v>692</v>
      </c>
      <c r="C32" s="32">
        <v>692</v>
      </c>
      <c r="D32" s="32"/>
      <c r="E32" s="32"/>
      <c r="F32" s="32">
        <v>110</v>
      </c>
      <c r="G32" s="32"/>
      <c r="H32" s="30">
        <f>'10月費用明細憑證'!E32</f>
        <v>915</v>
      </c>
      <c r="I32" s="53">
        <f t="shared" si="1"/>
        <v>992</v>
      </c>
      <c r="J32" s="55">
        <f t="shared" si="2"/>
        <v>0</v>
      </c>
    </row>
    <row r="33" spans="1:11" ht="18.95" thickBot="1">
      <c r="A33" s="29">
        <v>45596</v>
      </c>
      <c r="B33" s="33">
        <v>0</v>
      </c>
      <c r="C33" s="33">
        <v>0</v>
      </c>
      <c r="D33" s="33"/>
      <c r="E33" s="51"/>
      <c r="F33" s="51">
        <v>0</v>
      </c>
      <c r="G33" s="33"/>
      <c r="H33" s="30">
        <f>'10月費用明細憑證'!E34</f>
        <v>0</v>
      </c>
      <c r="I33" s="53">
        <f t="shared" si="1"/>
        <v>0</v>
      </c>
      <c r="J33" s="55">
        <f t="shared" si="2"/>
        <v>0</v>
      </c>
    </row>
    <row r="34" spans="1:11">
      <c r="A34" s="34" t="s">
        <v>28</v>
      </c>
      <c r="B34" s="35" t="s">
        <v>29</v>
      </c>
      <c r="C34" s="35" t="s">
        <v>30</v>
      </c>
      <c r="D34" s="35" t="s">
        <v>31</v>
      </c>
      <c r="E34" s="50"/>
      <c r="F34" s="52" t="s">
        <v>32</v>
      </c>
      <c r="G34" s="35" t="s">
        <v>33</v>
      </c>
      <c r="H34" s="69" t="s">
        <v>34</v>
      </c>
      <c r="I34" s="70"/>
      <c r="J34" s="71"/>
      <c r="K34" s="31"/>
    </row>
    <row r="35" spans="1:11" ht="18.95" thickBot="1">
      <c r="A35" s="36" t="s">
        <v>35</v>
      </c>
      <c r="B35" s="37">
        <f>SUM(B3:B33)</f>
        <v>53775</v>
      </c>
      <c r="C35" s="37">
        <f>SUM(H3:H33)</f>
        <v>72481</v>
      </c>
      <c r="D35" s="37">
        <f>B35-C35</f>
        <v>-18706</v>
      </c>
      <c r="E35" s="49"/>
      <c r="F35" s="54">
        <f>SUM(F3:F33)*0.7</f>
        <v>4049.4999999999995</v>
      </c>
      <c r="G35" s="56">
        <f>SUM(J3:J33)</f>
        <v>2824</v>
      </c>
      <c r="H35" s="72">
        <f>O8/3</f>
        <v>0</v>
      </c>
      <c r="I35" s="73"/>
      <c r="J35" s="74"/>
      <c r="K35" s="31"/>
    </row>
    <row r="36" spans="1:11">
      <c r="A36" s="24"/>
    </row>
    <row r="37" spans="1:11">
      <c r="A37" s="24"/>
    </row>
    <row r="38" spans="1:11">
      <c r="A38" s="24"/>
    </row>
    <row r="39" spans="1:11">
      <c r="A39" s="24"/>
    </row>
    <row r="40" spans="1:11">
      <c r="A40" s="24"/>
    </row>
    <row r="41" spans="1:11">
      <c r="A41" s="24"/>
    </row>
    <row r="42" spans="1:11">
      <c r="A42" s="24"/>
    </row>
    <row r="43" spans="1:11">
      <c r="A43" s="24"/>
    </row>
    <row r="44" spans="1:11">
      <c r="A44" s="24"/>
    </row>
    <row r="45" spans="1:11">
      <c r="A45" s="24"/>
    </row>
    <row r="46" spans="1:11">
      <c r="A46" s="24"/>
    </row>
    <row r="47" spans="1:11">
      <c r="A47" s="24"/>
    </row>
    <row r="48" spans="1:11">
      <c r="A48" s="24"/>
    </row>
    <row r="49" spans="1:1">
      <c r="A49" s="24"/>
    </row>
    <row r="50" spans="1:1">
      <c r="A50" s="24"/>
    </row>
    <row r="51" spans="1:1">
      <c r="A51" s="24"/>
    </row>
    <row r="52" spans="1:1">
      <c r="A52" s="24"/>
    </row>
    <row r="53" spans="1:1">
      <c r="A53" s="24"/>
    </row>
    <row r="54" spans="1:1">
      <c r="A54" s="24"/>
    </row>
    <row r="55" spans="1:1">
      <c r="A55" s="24"/>
    </row>
    <row r="56" spans="1:1">
      <c r="A56" s="24"/>
    </row>
    <row r="57" spans="1:1">
      <c r="A57" s="24"/>
    </row>
    <row r="58" spans="1:1">
      <c r="A58" s="24"/>
    </row>
    <row r="59" spans="1:1">
      <c r="A59" s="24"/>
    </row>
    <row r="60" spans="1:1">
      <c r="A60" s="24"/>
    </row>
    <row r="61" spans="1:1">
      <c r="A61" s="24"/>
    </row>
    <row r="62" spans="1:1">
      <c r="A62" s="24"/>
    </row>
    <row r="63" spans="1:1">
      <c r="A63" s="24"/>
    </row>
    <row r="64" spans="1:1">
      <c r="A64" s="24"/>
    </row>
    <row r="65" spans="1:1">
      <c r="A65" s="24"/>
    </row>
    <row r="66" spans="1:1">
      <c r="A66" s="24"/>
    </row>
    <row r="67" spans="1:1">
      <c r="A67" s="24"/>
    </row>
    <row r="68" spans="1:1">
      <c r="A68" s="24"/>
    </row>
    <row r="69" spans="1:1">
      <c r="A69" s="24"/>
    </row>
    <row r="70" spans="1:1">
      <c r="A70" s="24"/>
    </row>
    <row r="71" spans="1:1">
      <c r="A71" s="24"/>
    </row>
    <row r="72" spans="1:1">
      <c r="A72" s="24"/>
    </row>
    <row r="73" spans="1:1">
      <c r="A73" s="24"/>
    </row>
    <row r="74" spans="1:1">
      <c r="A74" s="24"/>
    </row>
    <row r="75" spans="1:1">
      <c r="A75" s="24"/>
    </row>
    <row r="76" spans="1:1">
      <c r="A76" s="24"/>
    </row>
    <row r="77" spans="1:1">
      <c r="A77" s="24"/>
    </row>
    <row r="78" spans="1:1">
      <c r="A78" s="24"/>
    </row>
    <row r="79" spans="1:1">
      <c r="A79" s="24"/>
    </row>
    <row r="80" spans="1:1">
      <c r="A80" s="24"/>
    </row>
    <row r="81" spans="1:1">
      <c r="A81" s="24"/>
    </row>
    <row r="82" spans="1:1">
      <c r="A82" s="24"/>
    </row>
    <row r="83" spans="1:1">
      <c r="A83" s="24"/>
    </row>
    <row r="84" spans="1:1">
      <c r="A84" s="24"/>
    </row>
    <row r="85" spans="1:1">
      <c r="A85" s="24"/>
    </row>
    <row r="86" spans="1:1">
      <c r="A86" s="24"/>
    </row>
    <row r="87" spans="1:1">
      <c r="A87" s="24"/>
    </row>
    <row r="88" spans="1:1">
      <c r="A88" s="24"/>
    </row>
    <row r="89" spans="1:1">
      <c r="A89" s="24"/>
    </row>
    <row r="90" spans="1:1">
      <c r="A90" s="24"/>
    </row>
    <row r="91" spans="1:1">
      <c r="A91" s="24"/>
    </row>
    <row r="92" spans="1:1">
      <c r="A92" s="24"/>
    </row>
    <row r="93" spans="1:1">
      <c r="A93" s="24"/>
    </row>
    <row r="94" spans="1:1">
      <c r="A94" s="24"/>
    </row>
    <row r="95" spans="1:1">
      <c r="A95" s="24"/>
    </row>
    <row r="96" spans="1:1">
      <c r="A96" s="24"/>
    </row>
    <row r="97" spans="1:1">
      <c r="A97" s="24"/>
    </row>
    <row r="98" spans="1:1">
      <c r="A98" s="24"/>
    </row>
    <row r="99" spans="1:1">
      <c r="A99" s="24"/>
    </row>
    <row r="100" spans="1:1">
      <c r="A100" s="24"/>
    </row>
    <row r="101" spans="1:1">
      <c r="A101" s="24"/>
    </row>
    <row r="102" spans="1:1">
      <c r="A102" s="24"/>
    </row>
    <row r="103" spans="1:1">
      <c r="A103" s="24"/>
    </row>
    <row r="104" spans="1:1">
      <c r="A104" s="24"/>
    </row>
    <row r="105" spans="1:1">
      <c r="A105" s="24"/>
    </row>
    <row r="106" spans="1:1">
      <c r="A106" s="24"/>
    </row>
    <row r="107" spans="1:1">
      <c r="A107" s="24"/>
    </row>
    <row r="108" spans="1:1">
      <c r="A108" s="24"/>
    </row>
    <row r="109" spans="1:1">
      <c r="A109" s="24"/>
    </row>
    <row r="110" spans="1:1">
      <c r="A110" s="24"/>
    </row>
    <row r="111" spans="1:1">
      <c r="A111" s="24"/>
    </row>
    <row r="112" spans="1:1">
      <c r="A112" s="24"/>
    </row>
    <row r="113" spans="1:1">
      <c r="A113" s="24"/>
    </row>
    <row r="114" spans="1:1">
      <c r="A114" s="24"/>
    </row>
    <row r="115" spans="1:1">
      <c r="A115" s="24"/>
    </row>
    <row r="116" spans="1:1">
      <c r="A116" s="24"/>
    </row>
    <row r="117" spans="1:1">
      <c r="A117" s="24"/>
    </row>
    <row r="118" spans="1:1">
      <c r="A118" s="24"/>
    </row>
    <row r="119" spans="1:1">
      <c r="A119" s="24"/>
    </row>
    <row r="120" spans="1:1">
      <c r="A120" s="24"/>
    </row>
    <row r="121" spans="1:1">
      <c r="A121" s="24"/>
    </row>
    <row r="122" spans="1:1">
      <c r="A122" s="24"/>
    </row>
    <row r="123" spans="1:1">
      <c r="A123" s="24"/>
    </row>
    <row r="124" spans="1:1">
      <c r="A124" s="24"/>
    </row>
    <row r="125" spans="1:1">
      <c r="A125" s="24"/>
    </row>
    <row r="126" spans="1:1">
      <c r="A126" s="24"/>
    </row>
    <row r="127" spans="1:1">
      <c r="A127" s="24"/>
    </row>
    <row r="128" spans="1:1">
      <c r="A128" s="24"/>
    </row>
    <row r="129" spans="1:1">
      <c r="A129" s="24"/>
    </row>
    <row r="130" spans="1:1">
      <c r="A130" s="24"/>
    </row>
    <row r="131" spans="1:1">
      <c r="A131" s="24"/>
    </row>
    <row r="132" spans="1:1">
      <c r="A132" s="24"/>
    </row>
    <row r="133" spans="1:1">
      <c r="A133" s="24"/>
    </row>
    <row r="134" spans="1:1">
      <c r="A134" s="24"/>
    </row>
    <row r="135" spans="1:1">
      <c r="A135" s="24"/>
    </row>
    <row r="136" spans="1:1">
      <c r="A136" s="24"/>
    </row>
    <row r="137" spans="1:1">
      <c r="A137" s="24"/>
    </row>
    <row r="138" spans="1:1">
      <c r="A138" s="24"/>
    </row>
    <row r="139" spans="1:1">
      <c r="A139" s="24"/>
    </row>
    <row r="140" spans="1:1">
      <c r="A140" s="24"/>
    </row>
    <row r="141" spans="1:1">
      <c r="A141" s="24"/>
    </row>
    <row r="142" spans="1:1">
      <c r="A142" s="24"/>
    </row>
    <row r="143" spans="1:1">
      <c r="A143" s="24"/>
    </row>
    <row r="144" spans="1:1">
      <c r="A144" s="24"/>
    </row>
    <row r="145" spans="1:1">
      <c r="A145" s="24"/>
    </row>
    <row r="146" spans="1:1">
      <c r="A146" s="24"/>
    </row>
    <row r="147" spans="1:1">
      <c r="A147" s="24"/>
    </row>
    <row r="148" spans="1:1">
      <c r="A148" s="24"/>
    </row>
    <row r="149" spans="1:1">
      <c r="A149" s="24"/>
    </row>
    <row r="150" spans="1:1">
      <c r="A150" s="24"/>
    </row>
    <row r="151" spans="1:1">
      <c r="A151" s="24"/>
    </row>
    <row r="152" spans="1:1">
      <c r="A152" s="24"/>
    </row>
    <row r="153" spans="1:1">
      <c r="A153" s="24"/>
    </row>
    <row r="154" spans="1:1">
      <c r="A154" s="24"/>
    </row>
    <row r="155" spans="1:1">
      <c r="A155" s="24"/>
    </row>
    <row r="156" spans="1:1">
      <c r="A156" s="24"/>
    </row>
    <row r="157" spans="1:1">
      <c r="A157" s="24"/>
    </row>
    <row r="158" spans="1:1">
      <c r="A158" s="24"/>
    </row>
    <row r="159" spans="1:1">
      <c r="A159" s="24"/>
    </row>
    <row r="160" spans="1:1">
      <c r="A160" s="24"/>
    </row>
    <row r="161" spans="1:1">
      <c r="A161" s="24"/>
    </row>
    <row r="162" spans="1:1">
      <c r="A162" s="24"/>
    </row>
    <row r="163" spans="1:1">
      <c r="A163" s="24"/>
    </row>
    <row r="164" spans="1:1">
      <c r="A164" s="24"/>
    </row>
    <row r="165" spans="1:1">
      <c r="A165" s="24"/>
    </row>
    <row r="166" spans="1:1">
      <c r="A166" s="24"/>
    </row>
    <row r="167" spans="1:1">
      <c r="A167" s="24"/>
    </row>
    <row r="168" spans="1:1">
      <c r="A168" s="24"/>
    </row>
    <row r="169" spans="1:1">
      <c r="A169" s="24"/>
    </row>
    <row r="170" spans="1:1">
      <c r="A170" s="24"/>
    </row>
    <row r="171" spans="1:1">
      <c r="A171" s="24"/>
    </row>
    <row r="172" spans="1:1">
      <c r="A172" s="24"/>
    </row>
    <row r="173" spans="1:1">
      <c r="A173" s="24"/>
    </row>
    <row r="174" spans="1:1">
      <c r="A174" s="24"/>
    </row>
    <row r="175" spans="1:1">
      <c r="A175" s="24"/>
    </row>
    <row r="176" spans="1:1">
      <c r="A176" s="24"/>
    </row>
    <row r="177" spans="1:1">
      <c r="A177" s="24"/>
    </row>
    <row r="178" spans="1:1">
      <c r="A178" s="24"/>
    </row>
    <row r="179" spans="1:1">
      <c r="A179" s="24"/>
    </row>
    <row r="180" spans="1:1">
      <c r="A180" s="24"/>
    </row>
    <row r="181" spans="1:1">
      <c r="A181" s="24"/>
    </row>
    <row r="182" spans="1:1">
      <c r="A182" s="24"/>
    </row>
    <row r="183" spans="1:1">
      <c r="A183" s="24"/>
    </row>
    <row r="184" spans="1:1">
      <c r="A184" s="24"/>
    </row>
    <row r="185" spans="1:1">
      <c r="A185" s="24"/>
    </row>
    <row r="186" spans="1:1">
      <c r="A186" s="24"/>
    </row>
    <row r="187" spans="1:1">
      <c r="A187" s="24"/>
    </row>
    <row r="188" spans="1:1">
      <c r="A188" s="24"/>
    </row>
    <row r="189" spans="1:1">
      <c r="A189" s="24"/>
    </row>
    <row r="190" spans="1:1">
      <c r="A190" s="24"/>
    </row>
    <row r="191" spans="1:1">
      <c r="A191" s="24"/>
    </row>
    <row r="192" spans="1:1">
      <c r="A192" s="24"/>
    </row>
    <row r="193" spans="1:1">
      <c r="A193" s="24"/>
    </row>
    <row r="194" spans="1:1">
      <c r="A194" s="24"/>
    </row>
    <row r="195" spans="1:1">
      <c r="A195" s="24"/>
    </row>
    <row r="196" spans="1:1">
      <c r="A196" s="24"/>
    </row>
    <row r="197" spans="1:1">
      <c r="A197" s="24"/>
    </row>
    <row r="198" spans="1:1">
      <c r="A198" s="24"/>
    </row>
    <row r="199" spans="1:1">
      <c r="A199" s="24"/>
    </row>
    <row r="200" spans="1:1">
      <c r="A200" s="24"/>
    </row>
    <row r="201" spans="1:1">
      <c r="A201" s="24"/>
    </row>
    <row r="202" spans="1:1">
      <c r="A202" s="24"/>
    </row>
    <row r="203" spans="1:1">
      <c r="A203" s="24"/>
    </row>
    <row r="204" spans="1:1">
      <c r="A204" s="24"/>
    </row>
    <row r="205" spans="1:1">
      <c r="A205" s="24"/>
    </row>
    <row r="206" spans="1:1">
      <c r="A206" s="24"/>
    </row>
    <row r="207" spans="1:1">
      <c r="A207" s="24"/>
    </row>
    <row r="208" spans="1:1">
      <c r="A208" s="24"/>
    </row>
    <row r="209" spans="1:1">
      <c r="A209" s="24"/>
    </row>
    <row r="210" spans="1:1">
      <c r="A210" s="24"/>
    </row>
    <row r="211" spans="1:1">
      <c r="A211" s="24"/>
    </row>
    <row r="212" spans="1:1">
      <c r="A212" s="24"/>
    </row>
    <row r="213" spans="1:1">
      <c r="A213" s="24"/>
    </row>
    <row r="214" spans="1:1">
      <c r="A214" s="24"/>
    </row>
    <row r="215" spans="1:1">
      <c r="A215" s="24"/>
    </row>
    <row r="216" spans="1:1">
      <c r="A216" s="24"/>
    </row>
    <row r="217" spans="1:1">
      <c r="A217" s="24"/>
    </row>
    <row r="218" spans="1:1">
      <c r="A218" s="24"/>
    </row>
    <row r="219" spans="1:1">
      <c r="A219" s="24"/>
    </row>
    <row r="220" spans="1:1">
      <c r="A220" s="24"/>
    </row>
    <row r="221" spans="1:1">
      <c r="A221" s="24"/>
    </row>
    <row r="222" spans="1:1">
      <c r="A222" s="24"/>
    </row>
    <row r="223" spans="1:1">
      <c r="A223" s="24"/>
    </row>
    <row r="224" spans="1:1">
      <c r="A224" s="24"/>
    </row>
    <row r="225" spans="1:1">
      <c r="A225" s="24"/>
    </row>
    <row r="226" spans="1:1">
      <c r="A226" s="24"/>
    </row>
    <row r="227" spans="1:1">
      <c r="A227" s="24"/>
    </row>
    <row r="228" spans="1:1">
      <c r="A228" s="24"/>
    </row>
    <row r="229" spans="1:1">
      <c r="A229" s="24"/>
    </row>
    <row r="230" spans="1:1">
      <c r="A230" s="24"/>
    </row>
    <row r="231" spans="1:1">
      <c r="A231" s="24"/>
    </row>
    <row r="232" spans="1:1">
      <c r="A232" s="24"/>
    </row>
    <row r="233" spans="1:1">
      <c r="A233" s="24"/>
    </row>
    <row r="234" spans="1:1">
      <c r="A234" s="24"/>
    </row>
    <row r="235" spans="1:1">
      <c r="A235" s="24"/>
    </row>
    <row r="236" spans="1:1">
      <c r="A236" s="24"/>
    </row>
    <row r="237" spans="1:1">
      <c r="A237" s="24"/>
    </row>
    <row r="238" spans="1:1">
      <c r="A238" s="24"/>
    </row>
    <row r="239" spans="1:1">
      <c r="A239" s="24"/>
    </row>
    <row r="240" spans="1:1">
      <c r="A240" s="24"/>
    </row>
    <row r="241" spans="1:1">
      <c r="A241" s="24"/>
    </row>
    <row r="242" spans="1:1">
      <c r="A242" s="24"/>
    </row>
    <row r="243" spans="1:1">
      <c r="A243" s="24"/>
    </row>
    <row r="244" spans="1:1">
      <c r="A244" s="24"/>
    </row>
    <row r="245" spans="1:1">
      <c r="A245" s="24"/>
    </row>
    <row r="246" spans="1:1">
      <c r="A246" s="24"/>
    </row>
    <row r="247" spans="1:1">
      <c r="A247" s="24"/>
    </row>
    <row r="248" spans="1:1">
      <c r="A248" s="24"/>
    </row>
    <row r="249" spans="1:1">
      <c r="A249" s="24"/>
    </row>
    <row r="250" spans="1:1">
      <c r="A250" s="24"/>
    </row>
    <row r="251" spans="1:1">
      <c r="A251" s="24"/>
    </row>
    <row r="252" spans="1:1">
      <c r="A252" s="24"/>
    </row>
    <row r="253" spans="1:1">
      <c r="A253" s="24"/>
    </row>
    <row r="254" spans="1:1">
      <c r="A254" s="24"/>
    </row>
    <row r="255" spans="1:1">
      <c r="A255" s="24"/>
    </row>
    <row r="256" spans="1:1">
      <c r="A256" s="24"/>
    </row>
    <row r="257" spans="1:1">
      <c r="A257" s="24"/>
    </row>
    <row r="258" spans="1:1">
      <c r="A258" s="24"/>
    </row>
    <row r="259" spans="1:1">
      <c r="A259" s="24"/>
    </row>
    <row r="260" spans="1:1">
      <c r="A260" s="24"/>
    </row>
    <row r="261" spans="1:1">
      <c r="A261" s="24"/>
    </row>
    <row r="262" spans="1:1">
      <c r="A262" s="24"/>
    </row>
    <row r="263" spans="1:1">
      <c r="A263" s="24"/>
    </row>
    <row r="264" spans="1:1">
      <c r="A264" s="24"/>
    </row>
    <row r="265" spans="1:1">
      <c r="A265" s="24"/>
    </row>
    <row r="266" spans="1:1">
      <c r="A266" s="24"/>
    </row>
    <row r="267" spans="1:1">
      <c r="A267" s="24"/>
    </row>
    <row r="268" spans="1:1">
      <c r="A268" s="24"/>
    </row>
    <row r="269" spans="1:1">
      <c r="A269" s="24"/>
    </row>
    <row r="270" spans="1:1">
      <c r="A270" s="24"/>
    </row>
    <row r="271" spans="1:1">
      <c r="A271" s="24"/>
    </row>
    <row r="272" spans="1:1">
      <c r="A272" s="24"/>
    </row>
    <row r="273" spans="1:1">
      <c r="A273" s="24"/>
    </row>
    <row r="274" spans="1:1">
      <c r="A274" s="24"/>
    </row>
    <row r="275" spans="1:1">
      <c r="A275" s="24"/>
    </row>
    <row r="276" spans="1:1">
      <c r="A276" s="24"/>
    </row>
    <row r="277" spans="1:1">
      <c r="A277" s="24"/>
    </row>
    <row r="278" spans="1:1">
      <c r="A278" s="24"/>
    </row>
    <row r="279" spans="1:1">
      <c r="A279" s="24"/>
    </row>
    <row r="280" spans="1:1">
      <c r="A280" s="24"/>
    </row>
    <row r="281" spans="1:1">
      <c r="A281" s="24"/>
    </row>
    <row r="282" spans="1:1">
      <c r="A282" s="24"/>
    </row>
    <row r="283" spans="1:1">
      <c r="A283" s="24"/>
    </row>
    <row r="284" spans="1:1">
      <c r="A284" s="24"/>
    </row>
    <row r="285" spans="1:1">
      <c r="A285" s="24"/>
    </row>
    <row r="286" spans="1:1">
      <c r="A286" s="24"/>
    </row>
    <row r="287" spans="1:1">
      <c r="A287" s="24"/>
    </row>
    <row r="288" spans="1:1">
      <c r="A288" s="24"/>
    </row>
    <row r="289" spans="1:1">
      <c r="A289" s="24"/>
    </row>
    <row r="290" spans="1:1">
      <c r="A290" s="24"/>
    </row>
    <row r="291" spans="1:1">
      <c r="A291" s="24"/>
    </row>
    <row r="292" spans="1:1">
      <c r="A292" s="24"/>
    </row>
    <row r="293" spans="1:1">
      <c r="A293" s="24"/>
    </row>
    <row r="294" spans="1:1">
      <c r="A294" s="24"/>
    </row>
    <row r="295" spans="1:1">
      <c r="A295" s="24"/>
    </row>
    <row r="296" spans="1:1">
      <c r="A296" s="24"/>
    </row>
    <row r="297" spans="1:1">
      <c r="A297" s="24"/>
    </row>
    <row r="298" spans="1:1">
      <c r="A298" s="24"/>
    </row>
    <row r="299" spans="1:1">
      <c r="A299" s="24"/>
    </row>
    <row r="300" spans="1:1">
      <c r="A300" s="24"/>
    </row>
    <row r="301" spans="1:1">
      <c r="A301" s="24"/>
    </row>
    <row r="302" spans="1:1">
      <c r="A302" s="24"/>
    </row>
    <row r="303" spans="1:1">
      <c r="A303" s="24"/>
    </row>
    <row r="304" spans="1:1">
      <c r="A304" s="24"/>
    </row>
    <row r="305" spans="1:1">
      <c r="A305" s="24"/>
    </row>
    <row r="306" spans="1:1">
      <c r="A306" s="24"/>
    </row>
    <row r="307" spans="1:1">
      <c r="A307" s="24"/>
    </row>
    <row r="308" spans="1:1">
      <c r="A308" s="24"/>
    </row>
    <row r="309" spans="1:1">
      <c r="A309" s="24"/>
    </row>
    <row r="310" spans="1:1">
      <c r="A310" s="24"/>
    </row>
    <row r="311" spans="1:1">
      <c r="A311" s="24"/>
    </row>
    <row r="312" spans="1:1">
      <c r="A312" s="24"/>
    </row>
    <row r="313" spans="1:1">
      <c r="A313" s="24"/>
    </row>
    <row r="314" spans="1:1">
      <c r="A314" s="24"/>
    </row>
    <row r="315" spans="1:1">
      <c r="A315" s="24"/>
    </row>
    <row r="316" spans="1:1">
      <c r="A316" s="24"/>
    </row>
    <row r="317" spans="1:1">
      <c r="A317" s="24"/>
    </row>
    <row r="318" spans="1:1">
      <c r="A318" s="24"/>
    </row>
    <row r="319" spans="1:1">
      <c r="A319" s="24"/>
    </row>
    <row r="320" spans="1:1">
      <c r="A320" s="24"/>
    </row>
    <row r="321" spans="1:1">
      <c r="A321" s="24"/>
    </row>
    <row r="322" spans="1:1">
      <c r="A322" s="24"/>
    </row>
    <row r="323" spans="1:1">
      <c r="A323" s="24"/>
    </row>
    <row r="324" spans="1:1">
      <c r="A324" s="24"/>
    </row>
    <row r="325" spans="1:1">
      <c r="A325" s="24"/>
    </row>
    <row r="326" spans="1:1">
      <c r="A326" s="24"/>
    </row>
    <row r="327" spans="1:1">
      <c r="A327" s="24"/>
    </row>
    <row r="328" spans="1:1">
      <c r="A328" s="24"/>
    </row>
    <row r="329" spans="1:1">
      <c r="A329" s="24"/>
    </row>
    <row r="330" spans="1:1">
      <c r="A330" s="24"/>
    </row>
    <row r="331" spans="1:1">
      <c r="A331" s="24"/>
    </row>
    <row r="332" spans="1:1">
      <c r="A332" s="24"/>
    </row>
    <row r="333" spans="1:1">
      <c r="A333" s="24"/>
    </row>
    <row r="334" spans="1:1">
      <c r="A334" s="24"/>
    </row>
    <row r="335" spans="1:1">
      <c r="A335" s="24"/>
    </row>
    <row r="336" spans="1:1">
      <c r="A336" s="24"/>
    </row>
    <row r="337" spans="1:1">
      <c r="A337" s="24"/>
    </row>
    <row r="338" spans="1:1">
      <c r="A338" s="24"/>
    </row>
    <row r="339" spans="1:1">
      <c r="A339" s="24"/>
    </row>
    <row r="340" spans="1:1">
      <c r="A340" s="24"/>
    </row>
    <row r="341" spans="1:1">
      <c r="A341" s="24"/>
    </row>
    <row r="342" spans="1:1">
      <c r="A342" s="24"/>
    </row>
    <row r="343" spans="1:1">
      <c r="A343" s="24"/>
    </row>
    <row r="344" spans="1:1">
      <c r="A344" s="24"/>
    </row>
    <row r="345" spans="1:1">
      <c r="A345" s="24"/>
    </row>
    <row r="346" spans="1:1">
      <c r="A346" s="24"/>
    </row>
    <row r="347" spans="1:1">
      <c r="A347" s="24"/>
    </row>
    <row r="348" spans="1:1">
      <c r="A348" s="24"/>
    </row>
    <row r="349" spans="1:1">
      <c r="A349" s="24"/>
    </row>
    <row r="350" spans="1:1">
      <c r="A350" s="24"/>
    </row>
    <row r="351" spans="1:1">
      <c r="A351" s="24"/>
    </row>
    <row r="352" spans="1:1">
      <c r="A352" s="24"/>
    </row>
    <row r="353" spans="1:1">
      <c r="A353" s="24"/>
    </row>
    <row r="354" spans="1:1">
      <c r="A354" s="24"/>
    </row>
    <row r="355" spans="1:1">
      <c r="A355" s="24"/>
    </row>
    <row r="356" spans="1:1">
      <c r="A356" s="24"/>
    </row>
    <row r="357" spans="1:1">
      <c r="A357" s="24"/>
    </row>
    <row r="358" spans="1:1">
      <c r="A358" s="24"/>
    </row>
    <row r="359" spans="1:1">
      <c r="A359" s="24"/>
    </row>
    <row r="360" spans="1:1">
      <c r="A360" s="24"/>
    </row>
    <row r="361" spans="1:1">
      <c r="A361" s="24"/>
    </row>
    <row r="362" spans="1:1">
      <c r="A362" s="24"/>
    </row>
    <row r="363" spans="1:1">
      <c r="A363" s="24"/>
    </row>
    <row r="364" spans="1:1">
      <c r="A364" s="24"/>
    </row>
    <row r="365" spans="1:1">
      <c r="A365" s="24"/>
    </row>
    <row r="366" spans="1:1">
      <c r="A366" s="24"/>
    </row>
    <row r="367" spans="1:1">
      <c r="A367" s="24"/>
    </row>
    <row r="368" spans="1:1">
      <c r="A368" s="24"/>
    </row>
    <row r="369" spans="1:1">
      <c r="A369" s="24"/>
    </row>
    <row r="370" spans="1:1">
      <c r="A370" s="24"/>
    </row>
    <row r="371" spans="1:1">
      <c r="A371" s="24"/>
    </row>
    <row r="372" spans="1:1">
      <c r="A372" s="24"/>
    </row>
    <row r="373" spans="1:1">
      <c r="A373" s="24"/>
    </row>
    <row r="374" spans="1:1">
      <c r="A374" s="24"/>
    </row>
    <row r="375" spans="1:1">
      <c r="A375" s="24"/>
    </row>
    <row r="376" spans="1:1">
      <c r="A376" s="24"/>
    </row>
    <row r="377" spans="1:1">
      <c r="A377" s="24"/>
    </row>
    <row r="378" spans="1:1">
      <c r="A378" s="24"/>
    </row>
    <row r="379" spans="1:1">
      <c r="A379" s="24"/>
    </row>
    <row r="380" spans="1:1">
      <c r="A380" s="24"/>
    </row>
    <row r="381" spans="1:1">
      <c r="A381" s="24"/>
    </row>
    <row r="382" spans="1:1">
      <c r="A382" s="24"/>
    </row>
    <row r="383" spans="1:1">
      <c r="A383" s="24"/>
    </row>
    <row r="384" spans="1:1">
      <c r="A384" s="24"/>
    </row>
    <row r="385" spans="1:1">
      <c r="A385" s="24"/>
    </row>
    <row r="386" spans="1:1">
      <c r="A386" s="24"/>
    </row>
    <row r="387" spans="1:1">
      <c r="A387" s="24"/>
    </row>
    <row r="388" spans="1:1">
      <c r="A388" s="24"/>
    </row>
    <row r="389" spans="1:1">
      <c r="A389" s="24"/>
    </row>
    <row r="390" spans="1:1">
      <c r="A390" s="24"/>
    </row>
    <row r="391" spans="1:1">
      <c r="A391" s="24"/>
    </row>
    <row r="392" spans="1:1">
      <c r="A392" s="24"/>
    </row>
    <row r="393" spans="1:1">
      <c r="A393" s="24"/>
    </row>
    <row r="394" spans="1:1">
      <c r="A394" s="24"/>
    </row>
    <row r="395" spans="1:1">
      <c r="A395" s="24"/>
    </row>
    <row r="396" spans="1:1">
      <c r="A396" s="24"/>
    </row>
    <row r="397" spans="1:1">
      <c r="A397" s="24"/>
    </row>
    <row r="398" spans="1:1">
      <c r="A398" s="24"/>
    </row>
    <row r="399" spans="1:1">
      <c r="A399" s="24"/>
    </row>
    <row r="400" spans="1:1">
      <c r="A400" s="24"/>
    </row>
    <row r="401" spans="1:1">
      <c r="A401" s="24"/>
    </row>
    <row r="402" spans="1:1">
      <c r="A402" s="24"/>
    </row>
    <row r="403" spans="1:1">
      <c r="A403" s="24"/>
    </row>
    <row r="404" spans="1:1">
      <c r="A404" s="24"/>
    </row>
    <row r="405" spans="1:1">
      <c r="A405" s="24"/>
    </row>
    <row r="406" spans="1:1">
      <c r="A406" s="24"/>
    </row>
    <row r="407" spans="1:1">
      <c r="A407" s="24"/>
    </row>
    <row r="408" spans="1:1">
      <c r="A408" s="24"/>
    </row>
    <row r="409" spans="1:1">
      <c r="A409" s="24"/>
    </row>
    <row r="410" spans="1:1">
      <c r="A410" s="24"/>
    </row>
    <row r="411" spans="1:1">
      <c r="A411" s="24"/>
    </row>
    <row r="412" spans="1:1">
      <c r="A412" s="24"/>
    </row>
    <row r="413" spans="1:1">
      <c r="A413" s="24"/>
    </row>
    <row r="414" spans="1:1">
      <c r="A414" s="24"/>
    </row>
    <row r="415" spans="1:1">
      <c r="A415" s="24"/>
    </row>
    <row r="416" spans="1:1">
      <c r="A416" s="24"/>
    </row>
    <row r="417" spans="1:1">
      <c r="A417" s="24"/>
    </row>
    <row r="418" spans="1:1">
      <c r="A418" s="24"/>
    </row>
    <row r="419" spans="1:1">
      <c r="A419" s="24"/>
    </row>
    <row r="420" spans="1:1">
      <c r="A420" s="24"/>
    </row>
    <row r="421" spans="1:1">
      <c r="A421" s="24"/>
    </row>
    <row r="422" spans="1:1">
      <c r="A422" s="24"/>
    </row>
    <row r="423" spans="1:1">
      <c r="A423" s="24"/>
    </row>
    <row r="424" spans="1:1">
      <c r="A424" s="24"/>
    </row>
    <row r="425" spans="1:1">
      <c r="A425" s="24"/>
    </row>
    <row r="426" spans="1:1">
      <c r="A426" s="24"/>
    </row>
    <row r="427" spans="1:1">
      <c r="A427" s="24"/>
    </row>
    <row r="428" spans="1:1">
      <c r="A428" s="24"/>
    </row>
    <row r="429" spans="1:1">
      <c r="A429" s="24"/>
    </row>
    <row r="430" spans="1:1">
      <c r="A430" s="24"/>
    </row>
    <row r="431" spans="1:1">
      <c r="A431" s="24"/>
    </row>
    <row r="432" spans="1:1">
      <c r="A432" s="24"/>
    </row>
    <row r="433" spans="1:1">
      <c r="A433" s="24"/>
    </row>
    <row r="434" spans="1:1">
      <c r="A434" s="24"/>
    </row>
    <row r="435" spans="1:1">
      <c r="A435" s="24"/>
    </row>
    <row r="436" spans="1:1">
      <c r="A436" s="24"/>
    </row>
    <row r="437" spans="1:1">
      <c r="A437" s="24"/>
    </row>
    <row r="438" spans="1:1">
      <c r="A438" s="24"/>
    </row>
    <row r="439" spans="1:1">
      <c r="A439" s="24"/>
    </row>
    <row r="440" spans="1:1">
      <c r="A440" s="24"/>
    </row>
    <row r="441" spans="1:1">
      <c r="A441" s="24"/>
    </row>
    <row r="442" spans="1:1">
      <c r="A442" s="24"/>
    </row>
    <row r="443" spans="1:1">
      <c r="A443" s="24"/>
    </row>
    <row r="444" spans="1:1">
      <c r="A444" s="24"/>
    </row>
    <row r="445" spans="1:1">
      <c r="A445" s="24"/>
    </row>
    <row r="446" spans="1:1">
      <c r="A446" s="24"/>
    </row>
    <row r="447" spans="1:1">
      <c r="A447" s="24"/>
    </row>
    <row r="448" spans="1:1">
      <c r="A448" s="24"/>
    </row>
    <row r="449" spans="1:1">
      <c r="A449" s="24"/>
    </row>
    <row r="450" spans="1:1">
      <c r="A450" s="24"/>
    </row>
    <row r="451" spans="1:1">
      <c r="A451" s="24"/>
    </row>
    <row r="452" spans="1:1">
      <c r="A452" s="24"/>
    </row>
    <row r="453" spans="1:1">
      <c r="A453" s="24"/>
    </row>
    <row r="454" spans="1:1">
      <c r="A454" s="24"/>
    </row>
    <row r="455" spans="1:1">
      <c r="A455" s="24"/>
    </row>
    <row r="456" spans="1:1">
      <c r="A456" s="24"/>
    </row>
    <row r="457" spans="1:1">
      <c r="A457" s="24"/>
    </row>
    <row r="458" spans="1:1">
      <c r="A458" s="24"/>
    </row>
    <row r="459" spans="1:1">
      <c r="A459" s="24"/>
    </row>
    <row r="460" spans="1:1">
      <c r="A460" s="24"/>
    </row>
    <row r="461" spans="1:1">
      <c r="A461" s="24"/>
    </row>
    <row r="462" spans="1:1">
      <c r="A462" s="24"/>
    </row>
    <row r="463" spans="1:1">
      <c r="A463" s="24"/>
    </row>
    <row r="464" spans="1:1">
      <c r="A464" s="24"/>
    </row>
    <row r="465" spans="1:1">
      <c r="A465" s="24"/>
    </row>
    <row r="466" spans="1:1">
      <c r="A466" s="24"/>
    </row>
    <row r="467" spans="1:1">
      <c r="A467" s="24"/>
    </row>
    <row r="468" spans="1:1">
      <c r="A468" s="24"/>
    </row>
    <row r="469" spans="1:1">
      <c r="A469" s="24"/>
    </row>
    <row r="470" spans="1:1">
      <c r="A470" s="24"/>
    </row>
    <row r="471" spans="1:1">
      <c r="A471" s="24"/>
    </row>
    <row r="472" spans="1:1">
      <c r="A472" s="24"/>
    </row>
    <row r="473" spans="1:1">
      <c r="A473" s="24"/>
    </row>
    <row r="474" spans="1:1">
      <c r="A474" s="24"/>
    </row>
    <row r="475" spans="1:1">
      <c r="A475" s="24"/>
    </row>
    <row r="476" spans="1:1">
      <c r="A476" s="24"/>
    </row>
    <row r="477" spans="1:1">
      <c r="A477" s="24"/>
    </row>
    <row r="478" spans="1:1">
      <c r="A478" s="24"/>
    </row>
    <row r="479" spans="1:1">
      <c r="A479" s="24"/>
    </row>
    <row r="480" spans="1:1">
      <c r="A480" s="24"/>
    </row>
    <row r="481" spans="1:1">
      <c r="A481" s="24"/>
    </row>
    <row r="482" spans="1:1">
      <c r="A482" s="24"/>
    </row>
    <row r="483" spans="1:1">
      <c r="A483" s="24"/>
    </row>
    <row r="484" spans="1:1">
      <c r="A484" s="24"/>
    </row>
    <row r="485" spans="1:1">
      <c r="A485" s="24"/>
    </row>
    <row r="486" spans="1:1">
      <c r="A486" s="24"/>
    </row>
    <row r="487" spans="1:1">
      <c r="A487" s="24"/>
    </row>
    <row r="488" spans="1:1">
      <c r="A488" s="24"/>
    </row>
    <row r="489" spans="1:1">
      <c r="A489" s="24"/>
    </row>
    <row r="490" spans="1:1">
      <c r="A490" s="24"/>
    </row>
    <row r="491" spans="1:1">
      <c r="A491" s="24"/>
    </row>
    <row r="492" spans="1:1">
      <c r="A492" s="24"/>
    </row>
    <row r="493" spans="1:1">
      <c r="A493" s="24"/>
    </row>
    <row r="494" spans="1:1">
      <c r="A494" s="24"/>
    </row>
    <row r="495" spans="1:1">
      <c r="A495" s="24"/>
    </row>
    <row r="496" spans="1:1">
      <c r="A496" s="24"/>
    </row>
    <row r="497" spans="1:1">
      <c r="A497" s="24"/>
    </row>
    <row r="498" spans="1:1">
      <c r="A498" s="24"/>
    </row>
    <row r="499" spans="1:1">
      <c r="A499" s="24"/>
    </row>
    <row r="500" spans="1:1">
      <c r="A500" s="24"/>
    </row>
    <row r="501" spans="1:1">
      <c r="A501" s="24"/>
    </row>
    <row r="502" spans="1:1">
      <c r="A502" s="24"/>
    </row>
    <row r="503" spans="1:1">
      <c r="A503" s="24"/>
    </row>
    <row r="504" spans="1:1">
      <c r="A504" s="24"/>
    </row>
    <row r="505" spans="1:1">
      <c r="A505" s="24"/>
    </row>
    <row r="506" spans="1:1">
      <c r="A506" s="24"/>
    </row>
    <row r="507" spans="1:1">
      <c r="A507" s="24"/>
    </row>
    <row r="508" spans="1:1">
      <c r="A508" s="24"/>
    </row>
    <row r="509" spans="1:1">
      <c r="A509" s="24"/>
    </row>
    <row r="510" spans="1:1">
      <c r="A510" s="24"/>
    </row>
    <row r="511" spans="1:1">
      <c r="A511" s="24"/>
    </row>
    <row r="512" spans="1:1">
      <c r="A512" s="24"/>
    </row>
    <row r="513" spans="1:1">
      <c r="A513" s="24"/>
    </row>
    <row r="514" spans="1:1">
      <c r="A514" s="24"/>
    </row>
    <row r="515" spans="1:1">
      <c r="A515" s="24"/>
    </row>
    <row r="516" spans="1:1">
      <c r="A516" s="24"/>
    </row>
    <row r="517" spans="1:1">
      <c r="A517" s="24"/>
    </row>
    <row r="518" spans="1:1">
      <c r="A518" s="24"/>
    </row>
    <row r="519" spans="1:1">
      <c r="A519" s="24"/>
    </row>
    <row r="520" spans="1:1">
      <c r="A520" s="24"/>
    </row>
    <row r="521" spans="1:1">
      <c r="A521" s="24"/>
    </row>
    <row r="522" spans="1:1">
      <c r="A522" s="24"/>
    </row>
    <row r="523" spans="1:1">
      <c r="A523" s="24"/>
    </row>
    <row r="524" spans="1:1">
      <c r="A524" s="24"/>
    </row>
    <row r="525" spans="1:1">
      <c r="A525" s="24"/>
    </row>
    <row r="526" spans="1:1">
      <c r="A526" s="24"/>
    </row>
    <row r="527" spans="1:1">
      <c r="A527" s="24"/>
    </row>
    <row r="528" spans="1:1">
      <c r="A528" s="24"/>
    </row>
    <row r="529" spans="1:1">
      <c r="A529" s="24"/>
    </row>
    <row r="530" spans="1:1">
      <c r="A530" s="24"/>
    </row>
    <row r="531" spans="1:1">
      <c r="A531" s="24"/>
    </row>
    <row r="532" spans="1:1">
      <c r="A532" s="24"/>
    </row>
    <row r="533" spans="1:1">
      <c r="A533" s="24"/>
    </row>
    <row r="534" spans="1:1">
      <c r="A534" s="24"/>
    </row>
    <row r="535" spans="1:1">
      <c r="A535" s="24"/>
    </row>
    <row r="536" spans="1:1">
      <c r="A536" s="24"/>
    </row>
    <row r="537" spans="1:1">
      <c r="A537" s="24"/>
    </row>
    <row r="538" spans="1:1">
      <c r="A538" s="24"/>
    </row>
    <row r="539" spans="1:1">
      <c r="A539" s="24"/>
    </row>
    <row r="540" spans="1:1">
      <c r="A540" s="24"/>
    </row>
    <row r="541" spans="1:1">
      <c r="A541" s="24"/>
    </row>
    <row r="542" spans="1:1">
      <c r="A542" s="24"/>
    </row>
    <row r="543" spans="1:1">
      <c r="A543" s="24"/>
    </row>
    <row r="544" spans="1:1">
      <c r="A544" s="24"/>
    </row>
    <row r="545" spans="1:1">
      <c r="A545" s="24"/>
    </row>
    <row r="546" spans="1:1">
      <c r="A546" s="24"/>
    </row>
    <row r="547" spans="1:1">
      <c r="A547" s="24"/>
    </row>
    <row r="548" spans="1:1">
      <c r="A548" s="24"/>
    </row>
    <row r="549" spans="1:1">
      <c r="A549" s="24"/>
    </row>
    <row r="550" spans="1:1">
      <c r="A550" s="24"/>
    </row>
    <row r="551" spans="1:1">
      <c r="A551" s="24"/>
    </row>
    <row r="552" spans="1:1">
      <c r="A552" s="24"/>
    </row>
    <row r="553" spans="1:1">
      <c r="A553" s="24"/>
    </row>
    <row r="554" spans="1:1">
      <c r="A554" s="24"/>
    </row>
    <row r="555" spans="1:1">
      <c r="A555" s="24"/>
    </row>
    <row r="556" spans="1:1">
      <c r="A556" s="24"/>
    </row>
    <row r="557" spans="1:1">
      <c r="A557" s="24"/>
    </row>
    <row r="558" spans="1:1">
      <c r="A558" s="24"/>
    </row>
    <row r="559" spans="1:1">
      <c r="A559" s="24"/>
    </row>
    <row r="560" spans="1:1">
      <c r="A560" s="24"/>
    </row>
    <row r="561" spans="1:1">
      <c r="A561" s="24"/>
    </row>
    <row r="562" spans="1:1">
      <c r="A562" s="24"/>
    </row>
    <row r="563" spans="1:1">
      <c r="A563" s="24"/>
    </row>
    <row r="564" spans="1:1">
      <c r="A564" s="24"/>
    </row>
    <row r="565" spans="1:1">
      <c r="A565" s="24"/>
    </row>
    <row r="566" spans="1:1">
      <c r="A566" s="24"/>
    </row>
    <row r="567" spans="1:1">
      <c r="A567" s="24"/>
    </row>
    <row r="568" spans="1:1">
      <c r="A568" s="24"/>
    </row>
    <row r="569" spans="1:1">
      <c r="A569" s="24"/>
    </row>
    <row r="570" spans="1:1">
      <c r="A570" s="24"/>
    </row>
    <row r="571" spans="1:1">
      <c r="A571" s="24"/>
    </row>
    <row r="572" spans="1:1">
      <c r="A572" s="24"/>
    </row>
    <row r="573" spans="1:1">
      <c r="A573" s="24"/>
    </row>
    <row r="574" spans="1:1">
      <c r="A574" s="24"/>
    </row>
    <row r="575" spans="1:1">
      <c r="A575" s="24"/>
    </row>
    <row r="576" spans="1:1">
      <c r="A576" s="24"/>
    </row>
    <row r="577" spans="1:1">
      <c r="A577" s="24"/>
    </row>
    <row r="578" spans="1:1">
      <c r="A578" s="24"/>
    </row>
    <row r="579" spans="1:1">
      <c r="A579" s="24"/>
    </row>
    <row r="580" spans="1:1">
      <c r="A580" s="24"/>
    </row>
    <row r="581" spans="1:1">
      <c r="A581" s="24"/>
    </row>
    <row r="582" spans="1:1">
      <c r="A582" s="24"/>
    </row>
    <row r="583" spans="1:1">
      <c r="A583" s="24"/>
    </row>
    <row r="584" spans="1:1">
      <c r="A584" s="24"/>
    </row>
    <row r="585" spans="1:1">
      <c r="A585" s="24"/>
    </row>
    <row r="586" spans="1:1">
      <c r="A586" s="24"/>
    </row>
    <row r="587" spans="1:1">
      <c r="A587" s="24"/>
    </row>
    <row r="588" spans="1:1">
      <c r="A588" s="24"/>
    </row>
    <row r="589" spans="1:1">
      <c r="A589" s="24"/>
    </row>
    <row r="590" spans="1:1">
      <c r="A590" s="24"/>
    </row>
    <row r="591" spans="1:1">
      <c r="A591" s="24"/>
    </row>
    <row r="592" spans="1:1">
      <c r="A592" s="24"/>
    </row>
    <row r="593" spans="1:1">
      <c r="A593" s="24"/>
    </row>
    <row r="594" spans="1:1">
      <c r="A594" s="24"/>
    </row>
    <row r="595" spans="1:1">
      <c r="A595" s="24"/>
    </row>
    <row r="596" spans="1:1">
      <c r="A596" s="24"/>
    </row>
    <row r="597" spans="1:1">
      <c r="A597" s="24"/>
    </row>
    <row r="598" spans="1:1">
      <c r="A598" s="24"/>
    </row>
    <row r="599" spans="1:1">
      <c r="A599" s="24"/>
    </row>
    <row r="600" spans="1:1">
      <c r="A600" s="24"/>
    </row>
    <row r="601" spans="1:1">
      <c r="A601" s="24"/>
    </row>
    <row r="602" spans="1:1">
      <c r="A602" s="24"/>
    </row>
    <row r="603" spans="1:1">
      <c r="A603" s="24"/>
    </row>
    <row r="604" spans="1:1">
      <c r="A604" s="24"/>
    </row>
    <row r="605" spans="1:1">
      <c r="A605" s="24"/>
    </row>
    <row r="606" spans="1:1">
      <c r="A606" s="24"/>
    </row>
    <row r="607" spans="1:1">
      <c r="A607" s="24"/>
    </row>
    <row r="608" spans="1:1">
      <c r="A608" s="24"/>
    </row>
    <row r="609" spans="1:1">
      <c r="A609" s="24"/>
    </row>
    <row r="610" spans="1:1">
      <c r="A610" s="24"/>
    </row>
    <row r="611" spans="1:1">
      <c r="A611" s="24"/>
    </row>
    <row r="612" spans="1:1">
      <c r="A612" s="24"/>
    </row>
    <row r="613" spans="1:1">
      <c r="A613" s="24"/>
    </row>
    <row r="614" spans="1:1">
      <c r="A614" s="24"/>
    </row>
    <row r="615" spans="1:1">
      <c r="A615" s="24"/>
    </row>
    <row r="616" spans="1:1">
      <c r="A616" s="24"/>
    </row>
    <row r="617" spans="1:1">
      <c r="A617" s="24"/>
    </row>
    <row r="618" spans="1:1">
      <c r="A618" s="24"/>
    </row>
    <row r="619" spans="1:1">
      <c r="A619" s="24"/>
    </row>
    <row r="620" spans="1:1">
      <c r="A620" s="24"/>
    </row>
    <row r="621" spans="1:1">
      <c r="A621" s="24"/>
    </row>
    <row r="622" spans="1:1">
      <c r="A622" s="24"/>
    </row>
    <row r="623" spans="1:1">
      <c r="A623" s="24"/>
    </row>
    <row r="624" spans="1:1">
      <c r="A624" s="24"/>
    </row>
    <row r="625" spans="1:1">
      <c r="A625" s="24"/>
    </row>
    <row r="626" spans="1:1">
      <c r="A626" s="24"/>
    </row>
    <row r="627" spans="1:1">
      <c r="A627" s="24"/>
    </row>
    <row r="628" spans="1:1">
      <c r="A628" s="24"/>
    </row>
    <row r="629" spans="1:1">
      <c r="A629" s="24"/>
    </row>
    <row r="630" spans="1:1">
      <c r="A630" s="24"/>
    </row>
    <row r="631" spans="1:1">
      <c r="A631" s="24"/>
    </row>
    <row r="632" spans="1:1">
      <c r="A632" s="24"/>
    </row>
    <row r="633" spans="1:1">
      <c r="A633" s="24"/>
    </row>
    <row r="634" spans="1:1">
      <c r="A634" s="24"/>
    </row>
    <row r="635" spans="1:1">
      <c r="A635" s="24"/>
    </row>
    <row r="636" spans="1:1">
      <c r="A636" s="24"/>
    </row>
    <row r="637" spans="1:1">
      <c r="A637" s="24"/>
    </row>
    <row r="638" spans="1:1">
      <c r="A638" s="24"/>
    </row>
    <row r="639" spans="1:1">
      <c r="A639" s="24"/>
    </row>
    <row r="640" spans="1:1">
      <c r="A640" s="24"/>
    </row>
    <row r="641" spans="1:1">
      <c r="A641" s="24"/>
    </row>
    <row r="642" spans="1:1">
      <c r="A642" s="24"/>
    </row>
    <row r="643" spans="1:1">
      <c r="A643" s="24"/>
    </row>
    <row r="644" spans="1:1">
      <c r="A644" s="24"/>
    </row>
    <row r="645" spans="1:1">
      <c r="A645" s="24"/>
    </row>
    <row r="646" spans="1:1">
      <c r="A646" s="24"/>
    </row>
    <row r="647" spans="1:1">
      <c r="A647" s="24"/>
    </row>
    <row r="648" spans="1:1">
      <c r="A648" s="24"/>
    </row>
    <row r="649" spans="1:1">
      <c r="A649" s="24"/>
    </row>
    <row r="650" spans="1:1">
      <c r="A650" s="24"/>
    </row>
    <row r="651" spans="1:1">
      <c r="A651" s="24"/>
    </row>
    <row r="652" spans="1:1">
      <c r="A652" s="24"/>
    </row>
    <row r="653" spans="1:1">
      <c r="A653" s="24"/>
    </row>
    <row r="654" spans="1:1">
      <c r="A654" s="24"/>
    </row>
    <row r="655" spans="1:1">
      <c r="A655" s="24"/>
    </row>
    <row r="656" spans="1:1">
      <c r="A656" s="24"/>
    </row>
    <row r="657" spans="1:1">
      <c r="A657" s="24"/>
    </row>
    <row r="658" spans="1:1">
      <c r="A658" s="24"/>
    </row>
    <row r="659" spans="1:1">
      <c r="A659" s="24"/>
    </row>
    <row r="660" spans="1:1">
      <c r="A660" s="24"/>
    </row>
    <row r="661" spans="1:1">
      <c r="A661" s="24"/>
    </row>
    <row r="662" spans="1:1">
      <c r="A662" s="24"/>
    </row>
    <row r="663" spans="1:1">
      <c r="A663" s="24"/>
    </row>
    <row r="664" spans="1:1">
      <c r="A664" s="24"/>
    </row>
    <row r="665" spans="1:1">
      <c r="A665" s="24"/>
    </row>
    <row r="666" spans="1:1">
      <c r="A666" s="24"/>
    </row>
    <row r="667" spans="1:1">
      <c r="A667" s="24"/>
    </row>
    <row r="668" spans="1:1">
      <c r="A668" s="24"/>
    </row>
    <row r="669" spans="1:1">
      <c r="A669" s="24"/>
    </row>
    <row r="670" spans="1:1">
      <c r="A670" s="24"/>
    </row>
    <row r="671" spans="1:1">
      <c r="A671" s="24"/>
    </row>
    <row r="672" spans="1:1">
      <c r="A672" s="24"/>
    </row>
    <row r="673" spans="1:1">
      <c r="A673" s="24"/>
    </row>
    <row r="674" spans="1:1">
      <c r="A674" s="24"/>
    </row>
    <row r="675" spans="1:1">
      <c r="A675" s="24"/>
    </row>
    <row r="676" spans="1:1">
      <c r="A676" s="24"/>
    </row>
    <row r="677" spans="1:1">
      <c r="A677" s="24"/>
    </row>
    <row r="678" spans="1:1">
      <c r="A678" s="24"/>
    </row>
    <row r="679" spans="1:1">
      <c r="A679" s="24"/>
    </row>
    <row r="680" spans="1:1">
      <c r="A680" s="24"/>
    </row>
    <row r="681" spans="1:1">
      <c r="A681" s="24"/>
    </row>
    <row r="682" spans="1:1">
      <c r="A682" s="24"/>
    </row>
    <row r="683" spans="1:1">
      <c r="A683" s="24"/>
    </row>
    <row r="684" spans="1:1">
      <c r="A684" s="24"/>
    </row>
    <row r="685" spans="1:1">
      <c r="A685" s="24"/>
    </row>
    <row r="686" spans="1:1">
      <c r="A686" s="24"/>
    </row>
    <row r="687" spans="1:1">
      <c r="A687" s="24"/>
    </row>
    <row r="688" spans="1:1">
      <c r="A688" s="24"/>
    </row>
    <row r="689" spans="1:1">
      <c r="A689" s="24"/>
    </row>
    <row r="690" spans="1:1">
      <c r="A690" s="24"/>
    </row>
    <row r="691" spans="1:1">
      <c r="A691" s="24"/>
    </row>
    <row r="692" spans="1:1">
      <c r="A692" s="24"/>
    </row>
    <row r="693" spans="1:1">
      <c r="A693" s="24"/>
    </row>
    <row r="694" spans="1:1">
      <c r="A694" s="24"/>
    </row>
    <row r="695" spans="1:1">
      <c r="A695" s="24"/>
    </row>
    <row r="696" spans="1:1">
      <c r="A696" s="24"/>
    </row>
    <row r="697" spans="1:1">
      <c r="A697" s="24"/>
    </row>
    <row r="698" spans="1:1">
      <c r="A698" s="24"/>
    </row>
    <row r="699" spans="1:1">
      <c r="A699" s="24"/>
    </row>
    <row r="700" spans="1:1">
      <c r="A700" s="24"/>
    </row>
    <row r="701" spans="1:1">
      <c r="A701" s="24"/>
    </row>
    <row r="702" spans="1:1">
      <c r="A702" s="24"/>
    </row>
    <row r="703" spans="1:1">
      <c r="A703" s="24"/>
    </row>
    <row r="704" spans="1:1">
      <c r="A704" s="24"/>
    </row>
    <row r="705" spans="1:1">
      <c r="A705" s="24"/>
    </row>
    <row r="706" spans="1:1">
      <c r="A706" s="24"/>
    </row>
    <row r="707" spans="1:1">
      <c r="A707" s="24"/>
    </row>
    <row r="708" spans="1:1">
      <c r="A708" s="24"/>
    </row>
    <row r="709" spans="1:1">
      <c r="A709" s="24"/>
    </row>
    <row r="710" spans="1:1">
      <c r="A710" s="24"/>
    </row>
    <row r="711" spans="1:1">
      <c r="A711" s="24"/>
    </row>
    <row r="712" spans="1:1">
      <c r="A712" s="24"/>
    </row>
    <row r="713" spans="1:1">
      <c r="A713" s="24"/>
    </row>
    <row r="714" spans="1:1">
      <c r="A714" s="24"/>
    </row>
    <row r="715" spans="1:1">
      <c r="A715" s="24"/>
    </row>
    <row r="716" spans="1:1">
      <c r="A716" s="24"/>
    </row>
    <row r="717" spans="1:1">
      <c r="A717" s="24"/>
    </row>
    <row r="718" spans="1:1">
      <c r="A718" s="24"/>
    </row>
    <row r="719" spans="1:1">
      <c r="A719" s="24"/>
    </row>
    <row r="720" spans="1:1">
      <c r="A720" s="24"/>
    </row>
    <row r="721" spans="1:1">
      <c r="A721" s="24"/>
    </row>
    <row r="722" spans="1:1">
      <c r="A722" s="24"/>
    </row>
    <row r="723" spans="1:1">
      <c r="A723" s="24"/>
    </row>
    <row r="724" spans="1:1">
      <c r="A724" s="24"/>
    </row>
    <row r="725" spans="1:1">
      <c r="A725" s="24"/>
    </row>
    <row r="726" spans="1:1">
      <c r="A726" s="24"/>
    </row>
    <row r="727" spans="1:1">
      <c r="A727" s="24"/>
    </row>
    <row r="728" spans="1:1">
      <c r="A728" s="24"/>
    </row>
    <row r="729" spans="1:1">
      <c r="A729" s="24"/>
    </row>
    <row r="730" spans="1:1">
      <c r="A730" s="24"/>
    </row>
    <row r="731" spans="1:1">
      <c r="A731" s="24"/>
    </row>
    <row r="732" spans="1:1">
      <c r="A732" s="24"/>
    </row>
    <row r="733" spans="1:1">
      <c r="A733" s="24"/>
    </row>
    <row r="734" spans="1:1">
      <c r="A734" s="24"/>
    </row>
    <row r="735" spans="1:1">
      <c r="A735" s="24"/>
    </row>
    <row r="736" spans="1:1">
      <c r="A736" s="24"/>
    </row>
    <row r="737" spans="1:1">
      <c r="A737" s="24"/>
    </row>
    <row r="738" spans="1:1">
      <c r="A738" s="24"/>
    </row>
    <row r="739" spans="1:1">
      <c r="A739" s="24"/>
    </row>
    <row r="740" spans="1:1">
      <c r="A740" s="24"/>
    </row>
    <row r="741" spans="1:1">
      <c r="A741" s="24"/>
    </row>
    <row r="742" spans="1:1">
      <c r="A742" s="24"/>
    </row>
    <row r="743" spans="1:1">
      <c r="A743" s="24"/>
    </row>
    <row r="744" spans="1:1">
      <c r="A744" s="24"/>
    </row>
    <row r="745" spans="1:1">
      <c r="A745" s="24"/>
    </row>
    <row r="746" spans="1:1">
      <c r="A746" s="24"/>
    </row>
    <row r="747" spans="1:1">
      <c r="A747" s="24"/>
    </row>
    <row r="748" spans="1:1">
      <c r="A748" s="24"/>
    </row>
    <row r="749" spans="1:1">
      <c r="A749" s="24"/>
    </row>
    <row r="750" spans="1:1">
      <c r="A750" s="24"/>
    </row>
    <row r="751" spans="1:1">
      <c r="A751" s="24"/>
    </row>
    <row r="752" spans="1:1">
      <c r="A752" s="24"/>
    </row>
    <row r="753" spans="1:1">
      <c r="A753" s="24"/>
    </row>
    <row r="754" spans="1:1">
      <c r="A754" s="24"/>
    </row>
    <row r="755" spans="1:1">
      <c r="A755" s="24"/>
    </row>
    <row r="756" spans="1:1">
      <c r="A756" s="24"/>
    </row>
    <row r="757" spans="1:1">
      <c r="A757" s="24"/>
    </row>
    <row r="758" spans="1:1">
      <c r="A758" s="24"/>
    </row>
    <row r="759" spans="1:1">
      <c r="A759" s="24"/>
    </row>
    <row r="760" spans="1:1">
      <c r="A760" s="24"/>
    </row>
    <row r="761" spans="1:1">
      <c r="A761" s="24"/>
    </row>
    <row r="762" spans="1:1">
      <c r="A762" s="24"/>
    </row>
    <row r="763" spans="1:1">
      <c r="A763" s="24"/>
    </row>
    <row r="764" spans="1:1">
      <c r="A764" s="24"/>
    </row>
    <row r="765" spans="1:1">
      <c r="A765" s="24"/>
    </row>
    <row r="766" spans="1:1">
      <c r="A766" s="24"/>
    </row>
    <row r="767" spans="1:1">
      <c r="A767" s="24"/>
    </row>
    <row r="768" spans="1:1">
      <c r="A768" s="24"/>
    </row>
    <row r="769" spans="1:1">
      <c r="A769" s="24"/>
    </row>
    <row r="770" spans="1:1">
      <c r="A770" s="24"/>
    </row>
    <row r="771" spans="1:1">
      <c r="A771" s="24"/>
    </row>
    <row r="772" spans="1:1">
      <c r="A772" s="24"/>
    </row>
    <row r="773" spans="1:1">
      <c r="A773" s="24"/>
    </row>
    <row r="774" spans="1:1">
      <c r="A774" s="24"/>
    </row>
    <row r="775" spans="1:1">
      <c r="A775" s="24"/>
    </row>
    <row r="776" spans="1:1">
      <c r="A776" s="24"/>
    </row>
    <row r="777" spans="1:1">
      <c r="A777" s="24"/>
    </row>
    <row r="778" spans="1:1">
      <c r="A778" s="24"/>
    </row>
    <row r="779" spans="1:1">
      <c r="A779" s="24"/>
    </row>
    <row r="780" spans="1:1">
      <c r="A780" s="24"/>
    </row>
    <row r="781" spans="1:1">
      <c r="A781" s="24"/>
    </row>
    <row r="782" spans="1:1">
      <c r="A782" s="24"/>
    </row>
    <row r="783" spans="1:1">
      <c r="A783" s="24"/>
    </row>
    <row r="784" spans="1:1">
      <c r="A784" s="24"/>
    </row>
    <row r="785" spans="1:1">
      <c r="A785" s="24"/>
    </row>
    <row r="786" spans="1:1">
      <c r="A786" s="24"/>
    </row>
    <row r="787" spans="1:1">
      <c r="A787" s="24"/>
    </row>
    <row r="788" spans="1:1">
      <c r="A788" s="24"/>
    </row>
    <row r="789" spans="1:1">
      <c r="A789" s="24"/>
    </row>
    <row r="790" spans="1:1">
      <c r="A790" s="24"/>
    </row>
    <row r="791" spans="1:1">
      <c r="A791" s="24"/>
    </row>
    <row r="792" spans="1:1">
      <c r="A792" s="24"/>
    </row>
    <row r="793" spans="1:1">
      <c r="A793" s="24"/>
    </row>
    <row r="794" spans="1:1">
      <c r="A794" s="24"/>
    </row>
    <row r="795" spans="1:1">
      <c r="A795" s="24"/>
    </row>
    <row r="796" spans="1:1">
      <c r="A796" s="24"/>
    </row>
    <row r="797" spans="1:1">
      <c r="A797" s="24"/>
    </row>
    <row r="798" spans="1:1">
      <c r="A798" s="24"/>
    </row>
    <row r="799" spans="1:1">
      <c r="A799" s="24"/>
    </row>
    <row r="800" spans="1:1">
      <c r="A800" s="24"/>
    </row>
    <row r="801" spans="1:1">
      <c r="A801" s="24"/>
    </row>
    <row r="802" spans="1:1">
      <c r="A802" s="24"/>
    </row>
    <row r="803" spans="1:1">
      <c r="A803" s="24"/>
    </row>
    <row r="804" spans="1:1">
      <c r="A804" s="24"/>
    </row>
    <row r="805" spans="1:1">
      <c r="A805" s="24"/>
    </row>
    <row r="806" spans="1:1">
      <c r="A806" s="24"/>
    </row>
    <row r="807" spans="1:1">
      <c r="A807" s="24"/>
    </row>
    <row r="808" spans="1:1">
      <c r="A808" s="24"/>
    </row>
    <row r="809" spans="1:1">
      <c r="A809" s="24"/>
    </row>
    <row r="810" spans="1:1">
      <c r="A810" s="24"/>
    </row>
    <row r="811" spans="1:1">
      <c r="A811" s="24"/>
    </row>
    <row r="812" spans="1:1">
      <c r="A812" s="24"/>
    </row>
    <row r="813" spans="1:1">
      <c r="A813" s="24"/>
    </row>
    <row r="814" spans="1:1">
      <c r="A814" s="24"/>
    </row>
    <row r="815" spans="1:1">
      <c r="A815" s="24"/>
    </row>
    <row r="816" spans="1:1">
      <c r="A816" s="24"/>
    </row>
    <row r="817" spans="1:1">
      <c r="A817" s="24"/>
    </row>
    <row r="818" spans="1:1">
      <c r="A818" s="24"/>
    </row>
    <row r="819" spans="1:1">
      <c r="A819" s="24"/>
    </row>
    <row r="820" spans="1:1">
      <c r="A820" s="24"/>
    </row>
    <row r="821" spans="1:1">
      <c r="A821" s="24"/>
    </row>
    <row r="822" spans="1:1">
      <c r="A822" s="24"/>
    </row>
    <row r="823" spans="1:1">
      <c r="A823" s="24"/>
    </row>
    <row r="824" spans="1:1">
      <c r="A824" s="24"/>
    </row>
    <row r="825" spans="1:1">
      <c r="A825" s="24"/>
    </row>
    <row r="826" spans="1:1">
      <c r="A826" s="24"/>
    </row>
    <row r="827" spans="1:1">
      <c r="A827" s="24"/>
    </row>
    <row r="828" spans="1:1">
      <c r="A828" s="24"/>
    </row>
    <row r="829" spans="1:1">
      <c r="A829" s="24"/>
    </row>
    <row r="830" spans="1:1">
      <c r="A830" s="24"/>
    </row>
    <row r="831" spans="1:1">
      <c r="A831" s="24"/>
    </row>
    <row r="832" spans="1:1">
      <c r="A832" s="24"/>
    </row>
    <row r="833" spans="1:1">
      <c r="A833" s="24"/>
    </row>
    <row r="834" spans="1:1">
      <c r="A834" s="24"/>
    </row>
    <row r="835" spans="1:1">
      <c r="A835" s="24"/>
    </row>
    <row r="836" spans="1:1">
      <c r="A836" s="24"/>
    </row>
    <row r="837" spans="1:1">
      <c r="A837" s="24"/>
    </row>
    <row r="838" spans="1:1">
      <c r="A838" s="24"/>
    </row>
    <row r="839" spans="1:1">
      <c r="A839" s="24"/>
    </row>
    <row r="840" spans="1:1">
      <c r="A840" s="24"/>
    </row>
    <row r="841" spans="1:1">
      <c r="A841" s="24"/>
    </row>
    <row r="842" spans="1:1">
      <c r="A842" s="24"/>
    </row>
    <row r="843" spans="1:1">
      <c r="A843" s="24"/>
    </row>
    <row r="844" spans="1:1">
      <c r="A844" s="24"/>
    </row>
    <row r="845" spans="1:1">
      <c r="A845" s="24"/>
    </row>
    <row r="846" spans="1:1">
      <c r="A846" s="24"/>
    </row>
    <row r="847" spans="1:1">
      <c r="A847" s="24"/>
    </row>
    <row r="848" spans="1:1">
      <c r="A848" s="24"/>
    </row>
    <row r="849" spans="1:1">
      <c r="A849" s="24"/>
    </row>
    <row r="850" spans="1:1">
      <c r="A850" s="24"/>
    </row>
    <row r="851" spans="1:1">
      <c r="A851" s="24"/>
    </row>
    <row r="852" spans="1:1">
      <c r="A852" s="24"/>
    </row>
    <row r="853" spans="1:1">
      <c r="A853" s="24"/>
    </row>
    <row r="854" spans="1:1">
      <c r="A854" s="24"/>
    </row>
    <row r="855" spans="1:1">
      <c r="A855" s="24"/>
    </row>
    <row r="856" spans="1:1">
      <c r="A856" s="24"/>
    </row>
    <row r="857" spans="1:1">
      <c r="A857" s="24"/>
    </row>
    <row r="858" spans="1:1">
      <c r="A858" s="24"/>
    </row>
    <row r="859" spans="1:1">
      <c r="A859" s="24"/>
    </row>
    <row r="860" spans="1:1">
      <c r="A860" s="24"/>
    </row>
    <row r="861" spans="1:1">
      <c r="A861" s="24"/>
    </row>
    <row r="862" spans="1:1">
      <c r="A862" s="24"/>
    </row>
    <row r="863" spans="1:1">
      <c r="A863" s="24"/>
    </row>
    <row r="864" spans="1:1">
      <c r="A864" s="24"/>
    </row>
    <row r="865" spans="1:1">
      <c r="A865" s="24"/>
    </row>
    <row r="866" spans="1:1">
      <c r="A866" s="24"/>
    </row>
    <row r="867" spans="1:1">
      <c r="A867" s="24"/>
    </row>
    <row r="868" spans="1:1">
      <c r="A868" s="24"/>
    </row>
    <row r="869" spans="1:1">
      <c r="A869" s="24"/>
    </row>
    <row r="870" spans="1:1">
      <c r="A870" s="24"/>
    </row>
    <row r="871" spans="1:1">
      <c r="A871" s="24"/>
    </row>
    <row r="872" spans="1:1">
      <c r="A872" s="24"/>
    </row>
    <row r="873" spans="1:1">
      <c r="A873" s="24"/>
    </row>
    <row r="874" spans="1:1">
      <c r="A874" s="24"/>
    </row>
    <row r="875" spans="1:1">
      <c r="A875" s="24"/>
    </row>
    <row r="876" spans="1:1">
      <c r="A876" s="24"/>
    </row>
    <row r="877" spans="1:1">
      <c r="A877" s="24"/>
    </row>
    <row r="878" spans="1:1">
      <c r="A878" s="24"/>
    </row>
    <row r="879" spans="1:1">
      <c r="A879" s="24"/>
    </row>
    <row r="880" spans="1:1">
      <c r="A880" s="24"/>
    </row>
    <row r="881" spans="1:1">
      <c r="A881" s="24"/>
    </row>
    <row r="882" spans="1:1">
      <c r="A882" s="24"/>
    </row>
    <row r="883" spans="1:1">
      <c r="A883" s="24"/>
    </row>
    <row r="884" spans="1:1">
      <c r="A884" s="24"/>
    </row>
    <row r="885" spans="1:1">
      <c r="A885" s="24"/>
    </row>
    <row r="886" spans="1:1">
      <c r="A886" s="24"/>
    </row>
    <row r="887" spans="1:1">
      <c r="A887" s="24"/>
    </row>
    <row r="888" spans="1:1">
      <c r="A888" s="24"/>
    </row>
    <row r="889" spans="1:1">
      <c r="A889" s="24"/>
    </row>
    <row r="890" spans="1:1">
      <c r="A890" s="24"/>
    </row>
    <row r="891" spans="1:1">
      <c r="A891" s="24"/>
    </row>
    <row r="892" spans="1:1">
      <c r="A892" s="24"/>
    </row>
    <row r="893" spans="1:1">
      <c r="A893" s="24"/>
    </row>
    <row r="894" spans="1:1">
      <c r="A894" s="24"/>
    </row>
    <row r="895" spans="1:1">
      <c r="A895" s="24"/>
    </row>
    <row r="896" spans="1:1">
      <c r="A896" s="24"/>
    </row>
    <row r="897" spans="1:1">
      <c r="A897" s="24"/>
    </row>
    <row r="898" spans="1:1">
      <c r="A898" s="24"/>
    </row>
    <row r="899" spans="1:1">
      <c r="A899" s="24"/>
    </row>
    <row r="900" spans="1:1">
      <c r="A900" s="24"/>
    </row>
    <row r="901" spans="1:1">
      <c r="A901" s="24"/>
    </row>
    <row r="902" spans="1:1">
      <c r="A902" s="24"/>
    </row>
    <row r="903" spans="1:1">
      <c r="A903" s="24"/>
    </row>
    <row r="904" spans="1:1">
      <c r="A904" s="24"/>
    </row>
    <row r="905" spans="1:1">
      <c r="A905" s="24"/>
    </row>
    <row r="906" spans="1:1">
      <c r="A906" s="24"/>
    </row>
    <row r="907" spans="1:1">
      <c r="A907" s="24"/>
    </row>
    <row r="908" spans="1:1">
      <c r="A908" s="24"/>
    </row>
    <row r="909" spans="1:1">
      <c r="A909" s="24"/>
    </row>
    <row r="910" spans="1:1">
      <c r="A910" s="24"/>
    </row>
    <row r="911" spans="1:1">
      <c r="A911" s="24"/>
    </row>
    <row r="912" spans="1:1">
      <c r="A912" s="24"/>
    </row>
    <row r="913" spans="1:1">
      <c r="A913" s="24"/>
    </row>
    <row r="914" spans="1:1">
      <c r="A914" s="24"/>
    </row>
    <row r="915" spans="1:1">
      <c r="A915" s="24"/>
    </row>
    <row r="916" spans="1:1">
      <c r="A916" s="24"/>
    </row>
    <row r="917" spans="1:1">
      <c r="A917" s="24"/>
    </row>
    <row r="918" spans="1:1">
      <c r="A918" s="24"/>
    </row>
    <row r="919" spans="1:1">
      <c r="A919" s="24"/>
    </row>
    <row r="920" spans="1:1">
      <c r="A920" s="24"/>
    </row>
    <row r="921" spans="1:1">
      <c r="A921" s="24"/>
    </row>
    <row r="922" spans="1:1">
      <c r="A922" s="24"/>
    </row>
    <row r="923" spans="1:1">
      <c r="A923" s="24"/>
    </row>
    <row r="924" spans="1:1">
      <c r="A924" s="24"/>
    </row>
    <row r="925" spans="1:1">
      <c r="A925" s="24"/>
    </row>
    <row r="926" spans="1:1">
      <c r="A926" s="24"/>
    </row>
    <row r="927" spans="1:1">
      <c r="A927" s="24"/>
    </row>
    <row r="928" spans="1:1">
      <c r="A928" s="24"/>
    </row>
    <row r="929" spans="1:1">
      <c r="A929" s="24"/>
    </row>
    <row r="930" spans="1:1">
      <c r="A930" s="24"/>
    </row>
    <row r="931" spans="1:1">
      <c r="A931" s="24"/>
    </row>
    <row r="932" spans="1:1">
      <c r="A932" s="24"/>
    </row>
    <row r="933" spans="1:1">
      <c r="A933" s="24"/>
    </row>
    <row r="934" spans="1:1">
      <c r="A934" s="24"/>
    </row>
    <row r="935" spans="1:1">
      <c r="A935" s="24"/>
    </row>
    <row r="936" spans="1:1">
      <c r="A936" s="24"/>
    </row>
    <row r="937" spans="1:1">
      <c r="A937" s="24"/>
    </row>
    <row r="938" spans="1:1">
      <c r="A938" s="24"/>
    </row>
    <row r="939" spans="1:1">
      <c r="A939" s="24"/>
    </row>
    <row r="940" spans="1:1">
      <c r="A940" s="24"/>
    </row>
    <row r="941" spans="1:1">
      <c r="A941" s="24"/>
    </row>
    <row r="942" spans="1:1">
      <c r="A942" s="24"/>
    </row>
    <row r="943" spans="1:1">
      <c r="A943" s="24"/>
    </row>
    <row r="944" spans="1:1">
      <c r="A944" s="24"/>
    </row>
    <row r="945" spans="1:1">
      <c r="A945" s="24"/>
    </row>
    <row r="946" spans="1:1">
      <c r="A946" s="24"/>
    </row>
    <row r="947" spans="1:1">
      <c r="A947" s="24"/>
    </row>
    <row r="948" spans="1:1">
      <c r="A948" s="24"/>
    </row>
    <row r="949" spans="1:1">
      <c r="A949" s="24"/>
    </row>
    <row r="950" spans="1:1">
      <c r="A950" s="24"/>
    </row>
    <row r="951" spans="1:1">
      <c r="A951" s="24"/>
    </row>
    <row r="952" spans="1:1">
      <c r="A952" s="24"/>
    </row>
    <row r="953" spans="1:1">
      <c r="A953" s="24"/>
    </row>
    <row r="954" spans="1:1">
      <c r="A954" s="24"/>
    </row>
    <row r="955" spans="1:1">
      <c r="A955" s="24"/>
    </row>
    <row r="956" spans="1:1">
      <c r="A956" s="24"/>
    </row>
    <row r="957" spans="1:1">
      <c r="A957" s="24"/>
    </row>
    <row r="958" spans="1:1">
      <c r="A958" s="24"/>
    </row>
    <row r="959" spans="1:1">
      <c r="A959" s="24"/>
    </row>
    <row r="960" spans="1:1">
      <c r="A960" s="24"/>
    </row>
    <row r="961" spans="1:1">
      <c r="A961" s="24"/>
    </row>
    <row r="962" spans="1:1">
      <c r="A962" s="24"/>
    </row>
    <row r="963" spans="1:1">
      <c r="A963" s="24"/>
    </row>
    <row r="964" spans="1:1">
      <c r="A964" s="24"/>
    </row>
    <row r="965" spans="1:1">
      <c r="A965" s="24"/>
    </row>
    <row r="966" spans="1:1">
      <c r="A966" s="24"/>
    </row>
    <row r="967" spans="1:1">
      <c r="A967" s="24"/>
    </row>
    <row r="968" spans="1:1">
      <c r="A968" s="24"/>
    </row>
    <row r="969" spans="1:1">
      <c r="A969" s="24"/>
    </row>
    <row r="970" spans="1:1">
      <c r="A970" s="24"/>
    </row>
    <row r="971" spans="1:1">
      <c r="A971" s="24"/>
    </row>
    <row r="972" spans="1:1">
      <c r="A972" s="24"/>
    </row>
    <row r="973" spans="1:1">
      <c r="A973" s="24"/>
    </row>
    <row r="974" spans="1:1">
      <c r="A974" s="24"/>
    </row>
    <row r="975" spans="1:1">
      <c r="A975" s="24"/>
    </row>
    <row r="976" spans="1:1">
      <c r="A976" s="24"/>
    </row>
    <row r="977" spans="1:1">
      <c r="A977" s="24"/>
    </row>
    <row r="978" spans="1:1">
      <c r="A978" s="24"/>
    </row>
    <row r="979" spans="1:1">
      <c r="A979" s="24"/>
    </row>
    <row r="980" spans="1:1">
      <c r="A980" s="24"/>
    </row>
    <row r="981" spans="1:1">
      <c r="A981" s="24"/>
    </row>
    <row r="982" spans="1:1">
      <c r="A982" s="24"/>
    </row>
    <row r="983" spans="1:1">
      <c r="A983" s="24"/>
    </row>
    <row r="984" spans="1:1">
      <c r="A984" s="24"/>
    </row>
    <row r="985" spans="1:1">
      <c r="A985" s="24"/>
    </row>
    <row r="986" spans="1:1">
      <c r="A986" s="24"/>
    </row>
    <row r="987" spans="1:1">
      <c r="A987" s="24"/>
    </row>
    <row r="988" spans="1:1">
      <c r="A988" s="24"/>
    </row>
    <row r="989" spans="1:1">
      <c r="A989" s="24"/>
    </row>
    <row r="990" spans="1:1">
      <c r="A990" s="24"/>
    </row>
    <row r="991" spans="1:1">
      <c r="A991" s="24"/>
    </row>
    <row r="992" spans="1:1">
      <c r="A992" s="24"/>
    </row>
    <row r="993" spans="1:1">
      <c r="A993" s="24"/>
    </row>
    <row r="994" spans="1:1">
      <c r="A994" s="24"/>
    </row>
    <row r="995" spans="1:1">
      <c r="A995" s="24"/>
    </row>
    <row r="996" spans="1:1">
      <c r="A996" s="24"/>
    </row>
    <row r="997" spans="1:1">
      <c r="A997" s="24"/>
    </row>
    <row r="998" spans="1:1">
      <c r="A998" s="24"/>
    </row>
    <row r="999" spans="1:1">
      <c r="A999" s="24"/>
    </row>
    <row r="1000" spans="1:1">
      <c r="A1000" s="24"/>
    </row>
    <row r="1001" spans="1:1">
      <c r="A1001" s="24"/>
    </row>
    <row r="1002" spans="1:1">
      <c r="A1002" s="24"/>
    </row>
    <row r="1003" spans="1:1">
      <c r="A1003" s="24"/>
    </row>
  </sheetData>
  <mergeCells count="4">
    <mergeCell ref="A1:J1"/>
    <mergeCell ref="L1:P1"/>
    <mergeCell ref="H34:J34"/>
    <mergeCell ref="H35:J35"/>
  </mergeCells>
  <phoneticPr fontId="5" type="noConversion"/>
  <dataValidations count="1">
    <dataValidation type="list" allowBlank="1" showErrorMessage="1" sqref="L2" xr:uid="{6DA05DD2-77F5-487D-B256-8167144D8F2C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DE39-95CF-4409-BFFD-AE2BEE5C264E}">
  <sheetPr>
    <outlinePr summaryBelow="0" summaryRight="0"/>
  </sheetPr>
  <dimension ref="A1:Z1003"/>
  <sheetViews>
    <sheetView zoomScaleNormal="100" zoomScaleSheetLayoutView="100" workbookViewId="0">
      <pane ySplit="2" topLeftCell="A3" activePane="bottomLeft" state="frozen"/>
      <selection pane="bottomLeft" activeCell="F3" sqref="F3:F33"/>
      <selection activeCell="D1" sqref="D1"/>
    </sheetView>
  </sheetViews>
  <sheetFormatPr defaultColWidth="12.42578125" defaultRowHeight="15"/>
  <cols>
    <col min="1" max="1" width="13.7109375" style="2" bestFit="1" customWidth="1"/>
    <col min="2" max="3" width="11.28515625" style="2" bestFit="1" customWidth="1"/>
    <col min="4" max="4" width="11.28515625" style="7" bestFit="1" customWidth="1"/>
    <col min="5" max="5" width="11.28515625" style="2" bestFit="1" customWidth="1"/>
    <col min="6" max="6" width="21.85546875" style="2" customWidth="1"/>
    <col min="7" max="7" width="13.7109375" style="2" bestFit="1" customWidth="1"/>
    <col min="8" max="8" width="14.85546875" style="2" bestFit="1" customWidth="1"/>
    <col min="9" max="10" width="12.42578125" style="2" bestFit="1" customWidth="1"/>
    <col min="11" max="16384" width="12.42578125" style="2"/>
  </cols>
  <sheetData>
    <row r="1" spans="1:26" s="8" customFormat="1" ht="23.25">
      <c r="A1" s="68" t="s">
        <v>36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6" ht="16.5">
      <c r="A2" s="62" t="s">
        <v>37</v>
      </c>
      <c r="B2" s="62" t="s">
        <v>38</v>
      </c>
      <c r="C2" s="62" t="s">
        <v>39</v>
      </c>
      <c r="D2" s="62" t="s">
        <v>40</v>
      </c>
      <c r="E2" s="62" t="s">
        <v>41</v>
      </c>
      <c r="F2" s="62" t="s">
        <v>42</v>
      </c>
      <c r="G2" s="75" t="s">
        <v>43</v>
      </c>
      <c r="H2" s="75"/>
      <c r="I2" s="75"/>
      <c r="J2" s="75"/>
      <c r="K2" s="7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3">
        <v>45566</v>
      </c>
      <c r="B3" s="14"/>
      <c r="C3" s="14"/>
      <c r="D3" s="15"/>
      <c r="E3" s="14">
        <f>SUM(B3:D3)</f>
        <v>0</v>
      </c>
      <c r="F3" s="19"/>
      <c r="G3" s="76" t="s">
        <v>44</v>
      </c>
      <c r="H3" s="76"/>
      <c r="I3" s="76"/>
      <c r="J3" s="76"/>
      <c r="K3" s="76"/>
    </row>
    <row r="4" spans="1:26" ht="15.75">
      <c r="A4" s="13">
        <v>45567</v>
      </c>
      <c r="E4" s="14">
        <f t="shared" ref="E4:E32" si="0">SUM(B4:D4)</f>
        <v>0</v>
      </c>
      <c r="G4" s="17"/>
      <c r="H4" s="17"/>
      <c r="I4" s="17"/>
      <c r="J4" s="17"/>
      <c r="K4" s="18"/>
    </row>
    <row r="5" spans="1:26" ht="15.75">
      <c r="A5" s="13">
        <v>45568</v>
      </c>
      <c r="B5" s="14"/>
      <c r="C5" s="14"/>
      <c r="D5" s="15"/>
      <c r="E5" s="14">
        <f t="shared" si="0"/>
        <v>0</v>
      </c>
      <c r="F5" s="16"/>
      <c r="G5" s="38"/>
      <c r="H5" s="38"/>
      <c r="I5" s="17"/>
      <c r="J5" s="17"/>
      <c r="K5" s="18"/>
    </row>
    <row r="6" spans="1:26" ht="15.75">
      <c r="A6" s="13">
        <v>45569</v>
      </c>
      <c r="B6" s="14"/>
      <c r="C6" s="14"/>
      <c r="D6" s="15"/>
      <c r="E6" s="14">
        <f t="shared" si="0"/>
        <v>0</v>
      </c>
      <c r="F6" s="19"/>
      <c r="G6" s="17"/>
      <c r="H6" s="17"/>
      <c r="I6" s="17"/>
      <c r="J6" s="17"/>
      <c r="K6" s="18"/>
    </row>
    <row r="7" spans="1:26" ht="15.75">
      <c r="A7" s="13">
        <v>45570</v>
      </c>
      <c r="B7" s="14"/>
      <c r="C7" s="14"/>
      <c r="D7" s="15"/>
      <c r="E7" s="14">
        <f t="shared" si="0"/>
        <v>0</v>
      </c>
      <c r="F7" s="16"/>
      <c r="G7" s="38"/>
      <c r="H7" s="17"/>
      <c r="I7" s="17"/>
      <c r="J7" s="17"/>
      <c r="K7" s="18"/>
    </row>
    <row r="8" spans="1:26" ht="15.75">
      <c r="A8" s="13">
        <v>45571</v>
      </c>
      <c r="B8" s="14"/>
      <c r="C8" s="14"/>
      <c r="D8" s="15"/>
      <c r="E8" s="14">
        <f t="shared" si="0"/>
        <v>0</v>
      </c>
      <c r="F8" s="19"/>
      <c r="G8" s="17"/>
      <c r="H8" s="17"/>
      <c r="I8" s="17"/>
      <c r="J8" s="17"/>
      <c r="K8" s="18"/>
    </row>
    <row r="9" spans="1:26" ht="15.75">
      <c r="A9" s="13">
        <v>45572</v>
      </c>
      <c r="B9" s="14"/>
      <c r="C9" s="14"/>
      <c r="D9" s="15"/>
      <c r="E9" s="14">
        <f t="shared" si="0"/>
        <v>0</v>
      </c>
      <c r="F9" s="19"/>
      <c r="G9" s="21"/>
      <c r="H9" s="20"/>
      <c r="I9" s="22"/>
      <c r="J9" s="20"/>
      <c r="K9" s="20"/>
    </row>
    <row r="10" spans="1:26" ht="15.75">
      <c r="A10" s="13">
        <v>45573</v>
      </c>
      <c r="B10" s="14"/>
      <c r="C10" s="14"/>
      <c r="D10" s="15"/>
      <c r="E10" s="14">
        <f t="shared" si="0"/>
        <v>0</v>
      </c>
      <c r="F10" s="19"/>
      <c r="G10" s="38"/>
      <c r="H10" s="20"/>
      <c r="I10" s="17"/>
      <c r="J10" s="17"/>
      <c r="K10" s="18"/>
    </row>
    <row r="11" spans="1:26" ht="15.75">
      <c r="A11" s="13">
        <v>45574</v>
      </c>
      <c r="B11" s="14"/>
      <c r="C11" s="14"/>
      <c r="D11" s="15"/>
      <c r="E11" s="14">
        <f t="shared" si="0"/>
        <v>0</v>
      </c>
      <c r="F11" s="19"/>
      <c r="G11" s="38"/>
      <c r="H11" s="17"/>
      <c r="I11" s="17"/>
      <c r="J11" s="17"/>
      <c r="K11" s="18"/>
    </row>
    <row r="12" spans="1:26" ht="15.75">
      <c r="A12" s="13">
        <v>45575</v>
      </c>
      <c r="B12" s="14"/>
      <c r="C12" s="14"/>
      <c r="D12" s="15"/>
      <c r="E12" s="14">
        <f t="shared" si="0"/>
        <v>0</v>
      </c>
      <c r="F12" s="16"/>
      <c r="G12" s="21"/>
      <c r="H12" s="17"/>
      <c r="I12" s="17"/>
      <c r="J12" s="17"/>
      <c r="K12" s="18"/>
    </row>
    <row r="13" spans="1:26" ht="15.75">
      <c r="A13" s="13">
        <v>45576</v>
      </c>
      <c r="B13" s="14"/>
      <c r="C13" s="14"/>
      <c r="D13" s="15"/>
      <c r="E13" s="14">
        <f t="shared" si="0"/>
        <v>0</v>
      </c>
      <c r="F13" s="19"/>
      <c r="G13" s="40"/>
      <c r="H13" s="40"/>
      <c r="I13" s="17"/>
      <c r="J13" s="17"/>
      <c r="K13" s="18"/>
    </row>
    <row r="14" spans="1:26" ht="15.75">
      <c r="A14" s="13">
        <v>45577</v>
      </c>
      <c r="B14" s="14"/>
      <c r="C14" s="14"/>
      <c r="D14" s="15"/>
      <c r="E14" s="14">
        <f t="shared" si="0"/>
        <v>0</v>
      </c>
      <c r="F14" s="19"/>
      <c r="G14" s="40"/>
      <c r="H14" s="40"/>
      <c r="I14" s="17"/>
      <c r="J14" s="17"/>
      <c r="K14" s="18"/>
    </row>
    <row r="15" spans="1:26" ht="15.75">
      <c r="A15" s="13">
        <v>45578</v>
      </c>
      <c r="B15" s="14"/>
      <c r="C15" s="14"/>
      <c r="D15" s="15"/>
      <c r="E15" s="14">
        <f t="shared" si="0"/>
        <v>0</v>
      </c>
      <c r="F15" s="19"/>
      <c r="G15" s="40"/>
      <c r="H15" s="21"/>
      <c r="I15" s="17"/>
      <c r="J15" s="17"/>
      <c r="K15" s="18"/>
    </row>
    <row r="16" spans="1:26" ht="15.75">
      <c r="A16" s="13">
        <v>45579</v>
      </c>
      <c r="B16" s="14"/>
      <c r="C16" s="14"/>
      <c r="D16" s="15"/>
      <c r="E16" s="14">
        <f t="shared" si="0"/>
        <v>0</v>
      </c>
      <c r="F16" s="16"/>
      <c r="G16" s="21"/>
      <c r="H16" s="17"/>
      <c r="I16" s="17"/>
      <c r="J16" s="17"/>
      <c r="K16" s="18"/>
    </row>
    <row r="17" spans="1:11" ht="15.75">
      <c r="A17" s="13">
        <v>45580</v>
      </c>
      <c r="B17" s="14"/>
      <c r="C17" s="14"/>
      <c r="D17" s="15"/>
      <c r="E17" s="14">
        <f t="shared" si="0"/>
        <v>0</v>
      </c>
      <c r="F17" s="39"/>
      <c r="G17" s="40"/>
      <c r="H17" s="40"/>
      <c r="I17" s="23"/>
      <c r="J17" s="17"/>
      <c r="K17" s="18"/>
    </row>
    <row r="18" spans="1:11" ht="15.75">
      <c r="A18" s="13">
        <v>45581</v>
      </c>
      <c r="B18" s="14"/>
      <c r="C18" s="14"/>
      <c r="D18" s="15"/>
      <c r="E18" s="14">
        <f t="shared" si="0"/>
        <v>0</v>
      </c>
      <c r="F18" s="12"/>
      <c r="G18" s="18"/>
      <c r="H18" s="18"/>
      <c r="I18" s="17"/>
      <c r="J18" s="17"/>
      <c r="K18" s="18"/>
    </row>
    <row r="19" spans="1:11" ht="15.75">
      <c r="A19" s="13">
        <v>45582</v>
      </c>
      <c r="B19" s="14"/>
      <c r="C19" s="14"/>
      <c r="D19" s="15"/>
      <c r="E19" s="14">
        <f t="shared" si="0"/>
        <v>0</v>
      </c>
      <c r="F19" s="19"/>
      <c r="G19" s="38"/>
      <c r="H19" s="21"/>
      <c r="I19" s="17"/>
      <c r="J19" s="17"/>
      <c r="K19" s="18"/>
    </row>
    <row r="20" spans="1:11" ht="15.75">
      <c r="A20" s="13">
        <v>45583</v>
      </c>
      <c r="B20" s="14"/>
      <c r="C20" s="14"/>
      <c r="D20" s="15"/>
      <c r="E20" s="14">
        <f t="shared" si="0"/>
        <v>0</v>
      </c>
      <c r="F20" s="19"/>
      <c r="G20" s="40"/>
      <c r="H20" s="17"/>
      <c r="I20" s="17"/>
      <c r="J20" s="17"/>
      <c r="K20" s="18"/>
    </row>
    <row r="21" spans="1:11" ht="15.75">
      <c r="A21" s="13">
        <v>45584</v>
      </c>
      <c r="B21" s="14"/>
      <c r="C21" s="14"/>
      <c r="D21" s="15"/>
      <c r="E21" s="14">
        <f t="shared" si="0"/>
        <v>0</v>
      </c>
      <c r="F21" s="16"/>
      <c r="G21" s="38"/>
      <c r="H21" s="17"/>
      <c r="I21" s="17"/>
      <c r="J21" s="17"/>
      <c r="K21" s="18"/>
    </row>
    <row r="22" spans="1:11" ht="15.75">
      <c r="A22" s="13">
        <v>45585</v>
      </c>
      <c r="B22" s="14"/>
      <c r="C22" s="14"/>
      <c r="D22" s="15"/>
      <c r="E22" s="14">
        <f t="shared" si="0"/>
        <v>0</v>
      </c>
      <c r="F22" s="19"/>
      <c r="G22" s="38"/>
      <c r="H22" s="17"/>
      <c r="I22" s="17"/>
      <c r="J22" s="17"/>
      <c r="K22" s="18"/>
    </row>
    <row r="23" spans="1:11" ht="15.75">
      <c r="A23" s="13">
        <v>45586</v>
      </c>
      <c r="B23" s="14"/>
      <c r="C23" s="14"/>
      <c r="D23" s="15"/>
      <c r="E23" s="14">
        <f t="shared" si="0"/>
        <v>0</v>
      </c>
      <c r="F23" s="19"/>
      <c r="G23" s="17"/>
      <c r="H23" s="17"/>
      <c r="I23" s="17"/>
      <c r="J23" s="17"/>
      <c r="K23" s="18"/>
    </row>
    <row r="24" spans="1:11" ht="15.75">
      <c r="A24" s="13">
        <v>45587</v>
      </c>
      <c r="B24" s="14"/>
      <c r="C24" s="14"/>
      <c r="D24" s="15"/>
      <c r="E24" s="14">
        <f t="shared" si="0"/>
        <v>0</v>
      </c>
      <c r="F24" s="19"/>
      <c r="G24" s="40"/>
      <c r="H24" s="40"/>
      <c r="I24" s="40"/>
      <c r="J24" s="17"/>
      <c r="K24" s="18"/>
    </row>
    <row r="25" spans="1:11" ht="15.75">
      <c r="A25" s="13">
        <v>45588</v>
      </c>
      <c r="E25" s="14">
        <f t="shared" si="0"/>
        <v>0</v>
      </c>
      <c r="G25" s="17"/>
      <c r="H25" s="17"/>
      <c r="I25" s="17"/>
      <c r="J25" s="17"/>
      <c r="K25" s="18"/>
    </row>
    <row r="26" spans="1:11" ht="15.75">
      <c r="A26" s="13">
        <v>45589</v>
      </c>
      <c r="B26" s="14"/>
      <c r="C26" s="14"/>
      <c r="D26" s="15"/>
      <c r="E26" s="14">
        <f t="shared" si="0"/>
        <v>0</v>
      </c>
      <c r="F26" s="16"/>
      <c r="G26" s="40"/>
      <c r="H26" s="17"/>
      <c r="I26" s="17"/>
      <c r="J26" s="17"/>
      <c r="K26" s="18"/>
    </row>
    <row r="27" spans="1:11" ht="15.75">
      <c r="A27" s="13">
        <v>45590</v>
      </c>
      <c r="B27" s="14"/>
      <c r="C27" s="14"/>
      <c r="D27" s="15"/>
      <c r="E27" s="14">
        <f t="shared" si="0"/>
        <v>0</v>
      </c>
      <c r="F27" s="19"/>
      <c r="G27" s="17"/>
      <c r="H27" s="17"/>
      <c r="I27" s="17"/>
      <c r="J27" s="17"/>
      <c r="K27" s="18"/>
    </row>
    <row r="28" spans="1:11" ht="15.75">
      <c r="A28" s="13">
        <v>45591</v>
      </c>
      <c r="B28" s="14"/>
      <c r="C28" s="14"/>
      <c r="D28" s="15"/>
      <c r="E28" s="14">
        <f t="shared" si="0"/>
        <v>0</v>
      </c>
      <c r="F28" s="16"/>
      <c r="G28" s="17"/>
      <c r="H28" s="17"/>
      <c r="I28" s="17"/>
      <c r="J28" s="17"/>
      <c r="K28" s="18"/>
    </row>
    <row r="29" spans="1:11" ht="15.75">
      <c r="A29" s="13">
        <v>45592</v>
      </c>
      <c r="B29" s="14"/>
      <c r="C29" s="14"/>
      <c r="D29" s="15"/>
      <c r="E29" s="14">
        <f t="shared" si="0"/>
        <v>0</v>
      </c>
      <c r="F29" s="19"/>
      <c r="G29" s="21"/>
      <c r="H29" s="17"/>
      <c r="I29" s="17"/>
      <c r="J29" s="17"/>
      <c r="K29" s="18"/>
    </row>
    <row r="30" spans="1:11" ht="15.75">
      <c r="A30" s="13">
        <v>45593</v>
      </c>
      <c r="B30" s="14"/>
      <c r="C30" s="14"/>
      <c r="D30" s="15"/>
      <c r="E30" s="14">
        <f t="shared" si="0"/>
        <v>0</v>
      </c>
      <c r="F30" s="19"/>
      <c r="G30" s="21"/>
      <c r="H30" s="17"/>
      <c r="I30" s="17"/>
      <c r="J30" s="17"/>
      <c r="K30" s="18"/>
    </row>
    <row r="31" spans="1:11" ht="15.75">
      <c r="A31" s="13">
        <v>45594</v>
      </c>
      <c r="B31" s="14"/>
      <c r="C31" s="14"/>
      <c r="D31" s="15"/>
      <c r="E31" s="14">
        <f t="shared" si="0"/>
        <v>0</v>
      </c>
      <c r="F31" s="16"/>
      <c r="G31" s="17"/>
      <c r="H31" s="17"/>
      <c r="I31" s="17"/>
      <c r="J31" s="17"/>
      <c r="K31" s="18"/>
    </row>
    <row r="32" spans="1:11" ht="15.75">
      <c r="A32" s="13">
        <v>45595</v>
      </c>
      <c r="B32" s="14"/>
      <c r="C32" s="14"/>
      <c r="D32" s="15"/>
      <c r="E32" s="14">
        <f t="shared" si="0"/>
        <v>0</v>
      </c>
      <c r="F32" s="19"/>
      <c r="G32" s="17"/>
      <c r="H32" s="17"/>
      <c r="I32" s="17"/>
      <c r="J32" s="17"/>
      <c r="K32" s="18"/>
    </row>
    <row r="33" spans="1:11" ht="15.75">
      <c r="A33" s="13">
        <v>45596</v>
      </c>
      <c r="B33" s="14"/>
      <c r="C33" s="14"/>
      <c r="D33" s="15"/>
      <c r="E33" s="14"/>
      <c r="F33" s="19"/>
      <c r="G33" s="17"/>
      <c r="H33" s="17"/>
      <c r="I33" s="17"/>
      <c r="J33" s="17"/>
      <c r="K33" s="18"/>
    </row>
    <row r="34" spans="1:11" ht="15.75">
      <c r="A34" s="13" t="s">
        <v>45</v>
      </c>
      <c r="B34" s="14"/>
      <c r="C34" s="14"/>
      <c r="D34" s="15"/>
      <c r="E34" s="14"/>
      <c r="F34" s="19"/>
      <c r="G34" s="38"/>
      <c r="H34" s="40"/>
      <c r="I34" s="21"/>
      <c r="J34" s="17"/>
      <c r="K34" s="18"/>
    </row>
    <row r="35" spans="1:11" ht="16.5">
      <c r="A35" s="11" t="s">
        <v>35</v>
      </c>
      <c r="B35" s="14"/>
      <c r="C35" s="14"/>
      <c r="D35" s="14"/>
      <c r="E35" s="14">
        <f>SUM(E3:E32)</f>
        <v>0</v>
      </c>
      <c r="F35" s="16"/>
      <c r="G35" s="17"/>
      <c r="H35" s="17"/>
      <c r="I35" s="17"/>
      <c r="J35" s="17"/>
      <c r="K35" s="18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4"/>
      <c r="C38" s="4"/>
      <c r="E38" s="4"/>
      <c r="F38" s="5"/>
      <c r="G38" s="9"/>
      <c r="H38" s="9"/>
      <c r="I38" s="9"/>
      <c r="J38" s="9"/>
      <c r="K38" s="10"/>
    </row>
    <row r="39" spans="1:11">
      <c r="A39" s="3"/>
      <c r="B39" s="4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10月憑證" xr:uid="{69E42EA4-884E-4D30-A6D2-47C193B1DB11}"/>
  </hyperlinks>
  <pageMargins left="0" right="0" top="0" bottom="0" header="0" footer="0"/>
  <pageSetup paperSize="9" scale="74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2649-428F-E446-95CA-0DC78D4C9B2E}">
  <sheetPr>
    <outlinePr summaryBelow="0" summaryRight="0"/>
  </sheetPr>
  <dimension ref="A1:Z1003"/>
  <sheetViews>
    <sheetView zoomScaleNormal="100" zoomScaleSheetLayoutView="100" workbookViewId="0">
      <pane ySplit="2" topLeftCell="F34" activePane="bottomLeft" state="frozen"/>
      <selection pane="bottomLeft" activeCell="F34" sqref="F34"/>
      <selection activeCell="D1" sqref="D1"/>
    </sheetView>
  </sheetViews>
  <sheetFormatPr defaultColWidth="12.42578125" defaultRowHeight="15.95"/>
  <cols>
    <col min="1" max="1" width="13.7109375" style="2" bestFit="1" customWidth="1"/>
    <col min="2" max="3" width="11.28515625" style="2" bestFit="1" customWidth="1"/>
    <col min="4" max="4" width="11.28515625" style="7" bestFit="1" customWidth="1"/>
    <col min="5" max="5" width="11.28515625" style="2" bestFit="1" customWidth="1"/>
    <col min="6" max="6" width="21.85546875" style="2" customWidth="1"/>
    <col min="7" max="7" width="13.7109375" style="2" bestFit="1" customWidth="1"/>
    <col min="8" max="8" width="14.85546875" style="2" bestFit="1" customWidth="1"/>
    <col min="9" max="10" width="12.42578125" style="2" bestFit="1" customWidth="1"/>
    <col min="11" max="16384" width="12.42578125" style="2"/>
  </cols>
  <sheetData>
    <row r="1" spans="1:26" s="8" customFormat="1" ht="26.1">
      <c r="A1" s="68" t="s">
        <v>36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6" ht="18">
      <c r="A2" s="62" t="s">
        <v>37</v>
      </c>
      <c r="B2" s="62" t="s">
        <v>38</v>
      </c>
      <c r="C2" s="62" t="s">
        <v>39</v>
      </c>
      <c r="D2" s="62" t="s">
        <v>40</v>
      </c>
      <c r="E2" s="62" t="s">
        <v>41</v>
      </c>
      <c r="F2" s="62" t="s">
        <v>42</v>
      </c>
      <c r="G2" s="75" t="s">
        <v>43</v>
      </c>
      <c r="H2" s="75"/>
      <c r="I2" s="75"/>
      <c r="J2" s="75"/>
      <c r="K2" s="7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3">
        <v>45566</v>
      </c>
      <c r="B3" s="14"/>
      <c r="C3" s="14"/>
      <c r="D3" s="15"/>
      <c r="E3" s="14">
        <f>SUM(B3:D3)</f>
        <v>0</v>
      </c>
      <c r="F3" s="19"/>
      <c r="G3" s="76" t="s">
        <v>44</v>
      </c>
      <c r="H3" s="76"/>
      <c r="I3" s="76"/>
      <c r="J3" s="76"/>
      <c r="K3" s="76"/>
    </row>
    <row r="4" spans="1:26" ht="18">
      <c r="A4" s="13">
        <v>45567</v>
      </c>
      <c r="E4" s="14">
        <f t="shared" ref="E4:E32" si="0">SUM(B4:D4)</f>
        <v>0</v>
      </c>
      <c r="G4" s="17"/>
      <c r="H4" s="17"/>
      <c r="I4" s="17"/>
      <c r="J4" s="17"/>
      <c r="K4" s="18"/>
    </row>
    <row r="5" spans="1:26" ht="18">
      <c r="A5" s="13">
        <v>45568</v>
      </c>
      <c r="B5" s="14"/>
      <c r="C5" s="14"/>
      <c r="D5" s="15">
        <v>290</v>
      </c>
      <c r="E5" s="14">
        <f t="shared" si="0"/>
        <v>290</v>
      </c>
      <c r="F5" s="16" t="s">
        <v>46</v>
      </c>
      <c r="G5" s="38"/>
      <c r="H5" s="38"/>
      <c r="I5" s="17"/>
      <c r="J5" s="17"/>
      <c r="K5" s="18"/>
    </row>
    <row r="6" spans="1:26" ht="75.95">
      <c r="A6" s="13">
        <v>45569</v>
      </c>
      <c r="B6" s="14">
        <v>750</v>
      </c>
      <c r="C6" s="14">
        <v>36000</v>
      </c>
      <c r="D6" s="15">
        <f>30+262</f>
        <v>292</v>
      </c>
      <c r="E6" s="14">
        <f t="shared" si="0"/>
        <v>37042</v>
      </c>
      <c r="F6" s="19" t="s">
        <v>47</v>
      </c>
      <c r="G6" s="17"/>
      <c r="H6" s="17"/>
      <c r="I6" s="17"/>
      <c r="J6" s="17"/>
      <c r="K6" s="18"/>
    </row>
    <row r="7" spans="1:26" ht="18">
      <c r="A7" s="13">
        <v>45570</v>
      </c>
      <c r="B7" s="14"/>
      <c r="C7" s="14"/>
      <c r="D7" s="15">
        <v>2550</v>
      </c>
      <c r="E7" s="14">
        <f t="shared" si="0"/>
        <v>2550</v>
      </c>
      <c r="F7" s="16" t="s">
        <v>48</v>
      </c>
      <c r="G7" s="38"/>
      <c r="H7" s="17"/>
      <c r="I7" s="17"/>
      <c r="J7" s="17"/>
      <c r="K7" s="18"/>
    </row>
    <row r="8" spans="1:26" ht="75.95">
      <c r="A8" s="13">
        <v>45571</v>
      </c>
      <c r="B8" s="14">
        <f>2800+90</f>
        <v>2890</v>
      </c>
      <c r="C8" s="14"/>
      <c r="D8" s="15">
        <f>238+424</f>
        <v>662</v>
      </c>
      <c r="E8" s="14">
        <f t="shared" si="0"/>
        <v>3552</v>
      </c>
      <c r="F8" s="19" t="s">
        <v>49</v>
      </c>
      <c r="G8" s="17"/>
      <c r="H8" s="17"/>
      <c r="I8" s="17"/>
      <c r="J8" s="17"/>
      <c r="K8" s="18"/>
    </row>
    <row r="9" spans="1:26" ht="18">
      <c r="A9" s="13">
        <v>45572</v>
      </c>
      <c r="B9" s="14"/>
      <c r="C9" s="14"/>
      <c r="D9" s="15"/>
      <c r="E9" s="14">
        <f t="shared" si="0"/>
        <v>0</v>
      </c>
      <c r="F9" s="19"/>
      <c r="G9" s="21"/>
      <c r="H9" s="20"/>
      <c r="I9" s="22"/>
      <c r="J9" s="20"/>
      <c r="K9" s="20"/>
    </row>
    <row r="10" spans="1:26" ht="18.95">
      <c r="A10" s="13">
        <v>45573</v>
      </c>
      <c r="B10" s="14">
        <f>290+820</f>
        <v>1110</v>
      </c>
      <c r="C10" s="14"/>
      <c r="D10" s="15"/>
      <c r="E10" s="14">
        <f t="shared" si="0"/>
        <v>1110</v>
      </c>
      <c r="F10" s="19" t="s">
        <v>50</v>
      </c>
      <c r="G10" s="38"/>
      <c r="H10" s="20"/>
      <c r="I10" s="17"/>
      <c r="J10" s="17"/>
      <c r="K10" s="18"/>
    </row>
    <row r="11" spans="1:26" ht="18.95">
      <c r="A11" s="13">
        <v>45574</v>
      </c>
      <c r="B11" s="14">
        <v>500</v>
      </c>
      <c r="C11" s="14"/>
      <c r="D11" s="15"/>
      <c r="E11" s="14">
        <f t="shared" si="0"/>
        <v>500</v>
      </c>
      <c r="F11" s="19" t="s">
        <v>51</v>
      </c>
      <c r="G11" s="38"/>
      <c r="H11" s="17"/>
      <c r="I11" s="17"/>
      <c r="J11" s="17"/>
      <c r="K11" s="18"/>
    </row>
    <row r="12" spans="1:26" ht="18">
      <c r="A12" s="13">
        <v>45575</v>
      </c>
      <c r="B12" s="14"/>
      <c r="C12" s="14"/>
      <c r="D12" s="15"/>
      <c r="E12" s="14">
        <f t="shared" si="0"/>
        <v>0</v>
      </c>
      <c r="F12" s="16"/>
      <c r="G12" s="21"/>
      <c r="H12" s="17"/>
      <c r="I12" s="17"/>
      <c r="J12" s="17"/>
      <c r="K12" s="18"/>
    </row>
    <row r="13" spans="1:26" ht="18">
      <c r="A13" s="13">
        <v>45576</v>
      </c>
      <c r="B13" s="14"/>
      <c r="C13" s="14"/>
      <c r="D13" s="15"/>
      <c r="E13" s="14">
        <f t="shared" si="0"/>
        <v>0</v>
      </c>
      <c r="F13" s="19"/>
      <c r="G13" s="40"/>
      <c r="H13" s="40"/>
      <c r="I13" s="17"/>
      <c r="J13" s="17"/>
      <c r="K13" s="18"/>
    </row>
    <row r="14" spans="1:26" ht="18">
      <c r="A14" s="13">
        <v>45577</v>
      </c>
      <c r="B14" s="14"/>
      <c r="C14" s="14"/>
      <c r="D14" s="15"/>
      <c r="E14" s="14">
        <f t="shared" si="0"/>
        <v>0</v>
      </c>
      <c r="F14" s="19"/>
      <c r="G14" s="40"/>
      <c r="H14" s="40"/>
      <c r="I14" s="17"/>
      <c r="J14" s="17"/>
      <c r="K14" s="18"/>
    </row>
    <row r="15" spans="1:26" ht="18">
      <c r="A15" s="13">
        <v>45578</v>
      </c>
      <c r="B15" s="14"/>
      <c r="C15" s="14"/>
      <c r="D15" s="15"/>
      <c r="E15" s="14">
        <f t="shared" si="0"/>
        <v>0</v>
      </c>
      <c r="F15" s="19"/>
      <c r="G15" s="40"/>
      <c r="H15" s="21"/>
      <c r="I15" s="17"/>
      <c r="J15" s="17"/>
      <c r="K15" s="18"/>
    </row>
    <row r="16" spans="1:26" ht="18">
      <c r="A16" s="13">
        <v>45579</v>
      </c>
      <c r="B16" s="14">
        <v>235</v>
      </c>
      <c r="C16" s="14"/>
      <c r="D16" s="15"/>
      <c r="E16" s="14">
        <f t="shared" si="0"/>
        <v>235</v>
      </c>
      <c r="F16" s="16" t="s">
        <v>52</v>
      </c>
      <c r="G16" s="21"/>
      <c r="H16" s="17"/>
      <c r="I16" s="17"/>
      <c r="J16" s="17"/>
      <c r="K16" s="18"/>
    </row>
    <row r="17" spans="1:11" ht="57">
      <c r="A17" s="13">
        <v>45580</v>
      </c>
      <c r="B17" s="14">
        <f>1700+1070+750</f>
        <v>3520</v>
      </c>
      <c r="C17" s="14"/>
      <c r="D17" s="15">
        <v>15</v>
      </c>
      <c r="E17" s="14">
        <f t="shared" si="0"/>
        <v>3535</v>
      </c>
      <c r="F17" s="39" t="s">
        <v>53</v>
      </c>
      <c r="G17" s="40"/>
      <c r="H17" s="40"/>
      <c r="I17" s="23"/>
      <c r="J17" s="17"/>
      <c r="K17" s="18"/>
    </row>
    <row r="18" spans="1:11" ht="18">
      <c r="A18" s="13">
        <v>45581</v>
      </c>
      <c r="B18" s="14"/>
      <c r="C18" s="14"/>
      <c r="D18" s="15">
        <v>6070</v>
      </c>
      <c r="E18" s="14">
        <f t="shared" si="0"/>
        <v>6070</v>
      </c>
      <c r="F18" s="12" t="s">
        <v>54</v>
      </c>
      <c r="G18" s="18"/>
      <c r="H18" s="18"/>
      <c r="I18" s="17"/>
      <c r="J18" s="17"/>
      <c r="K18" s="18"/>
    </row>
    <row r="19" spans="1:11" ht="18">
      <c r="A19" s="13">
        <v>45582</v>
      </c>
      <c r="B19" s="14"/>
      <c r="C19" s="14"/>
      <c r="D19" s="15"/>
      <c r="E19" s="14">
        <f t="shared" si="0"/>
        <v>0</v>
      </c>
      <c r="F19" s="19"/>
      <c r="G19" s="38"/>
      <c r="H19" s="21"/>
      <c r="I19" s="17"/>
      <c r="J19" s="17"/>
      <c r="K19" s="18"/>
    </row>
    <row r="20" spans="1:11" ht="18">
      <c r="A20" s="13">
        <v>45583</v>
      </c>
      <c r="B20" s="14"/>
      <c r="C20" s="14"/>
      <c r="D20" s="15"/>
      <c r="E20" s="14">
        <f t="shared" si="0"/>
        <v>0</v>
      </c>
      <c r="F20" s="19"/>
      <c r="G20" s="40"/>
      <c r="H20" s="17"/>
      <c r="I20" s="17"/>
      <c r="J20" s="17"/>
      <c r="K20" s="18"/>
    </row>
    <row r="21" spans="1:11" ht="18">
      <c r="A21" s="13">
        <v>45584</v>
      </c>
      <c r="B21" s="14"/>
      <c r="C21" s="14"/>
      <c r="D21" s="15"/>
      <c r="E21" s="14">
        <f t="shared" si="0"/>
        <v>0</v>
      </c>
      <c r="F21" s="16"/>
      <c r="G21" s="38"/>
      <c r="H21" s="17"/>
      <c r="I21" s="17"/>
      <c r="J21" s="17"/>
      <c r="K21" s="18"/>
    </row>
    <row r="22" spans="1:11" ht="18">
      <c r="A22" s="13">
        <v>45585</v>
      </c>
      <c r="B22" s="14"/>
      <c r="C22" s="14"/>
      <c r="D22" s="15">
        <v>300</v>
      </c>
      <c r="E22" s="14">
        <f t="shared" si="0"/>
        <v>300</v>
      </c>
      <c r="F22" s="19"/>
      <c r="G22" s="38"/>
      <c r="H22" s="17"/>
      <c r="I22" s="17"/>
      <c r="J22" s="17"/>
      <c r="K22" s="18"/>
    </row>
    <row r="23" spans="1:11" ht="75.95">
      <c r="A23" s="13">
        <v>45586</v>
      </c>
      <c r="B23" s="14">
        <v>500</v>
      </c>
      <c r="C23" s="14"/>
      <c r="D23" s="15">
        <f>140+900+30</f>
        <v>1070</v>
      </c>
      <c r="E23" s="14">
        <f t="shared" si="0"/>
        <v>1570</v>
      </c>
      <c r="F23" s="19" t="s">
        <v>55</v>
      </c>
      <c r="G23" s="17"/>
      <c r="H23" s="17"/>
      <c r="I23" s="17"/>
      <c r="J23" s="17"/>
      <c r="K23" s="18"/>
    </row>
    <row r="24" spans="1:11" ht="18">
      <c r="A24" s="13">
        <v>45587</v>
      </c>
      <c r="B24" s="14"/>
      <c r="C24" s="14"/>
      <c r="D24" s="15"/>
      <c r="E24" s="14">
        <f t="shared" si="0"/>
        <v>0</v>
      </c>
      <c r="F24" s="19"/>
      <c r="G24" s="40"/>
      <c r="H24" s="40"/>
      <c r="I24" s="40"/>
      <c r="J24" s="17"/>
      <c r="K24" s="18"/>
    </row>
    <row r="25" spans="1:11" ht="18">
      <c r="A25" s="13">
        <v>45588</v>
      </c>
      <c r="E25" s="14">
        <f t="shared" si="0"/>
        <v>0</v>
      </c>
      <c r="G25" s="17"/>
      <c r="H25" s="17"/>
      <c r="I25" s="17"/>
      <c r="J25" s="17"/>
      <c r="K25" s="18"/>
    </row>
    <row r="26" spans="1:11" ht="18">
      <c r="A26" s="13">
        <v>45589</v>
      </c>
      <c r="B26" s="14"/>
      <c r="C26" s="14"/>
      <c r="D26" s="15"/>
      <c r="E26" s="14">
        <f t="shared" si="0"/>
        <v>0</v>
      </c>
      <c r="F26" s="16"/>
      <c r="G26" s="40"/>
      <c r="H26" s="17"/>
      <c r="I26" s="17"/>
      <c r="J26" s="17"/>
      <c r="K26" s="18"/>
    </row>
    <row r="27" spans="1:11" ht="38.1">
      <c r="A27" s="13">
        <v>45590</v>
      </c>
      <c r="B27" s="14"/>
      <c r="C27" s="14"/>
      <c r="D27" s="15">
        <v>11700</v>
      </c>
      <c r="E27" s="14">
        <f t="shared" si="0"/>
        <v>11700</v>
      </c>
      <c r="F27" s="19" t="s">
        <v>56</v>
      </c>
      <c r="G27" s="17"/>
      <c r="H27" s="17"/>
      <c r="I27" s="17"/>
      <c r="J27" s="17"/>
      <c r="K27" s="18"/>
    </row>
    <row r="28" spans="1:11" ht="18">
      <c r="A28" s="13">
        <v>45591</v>
      </c>
      <c r="B28" s="14"/>
      <c r="C28" s="14"/>
      <c r="D28" s="15"/>
      <c r="E28" s="14">
        <f t="shared" si="0"/>
        <v>0</v>
      </c>
      <c r="F28" s="16"/>
      <c r="G28" s="17"/>
      <c r="H28" s="17"/>
      <c r="I28" s="17"/>
      <c r="J28" s="17"/>
      <c r="K28" s="18"/>
    </row>
    <row r="29" spans="1:11" ht="38.1">
      <c r="A29" s="13">
        <v>45592</v>
      </c>
      <c r="B29" s="14"/>
      <c r="C29" s="14"/>
      <c r="D29" s="15">
        <f>199+513</f>
        <v>712</v>
      </c>
      <c r="E29" s="14">
        <f t="shared" si="0"/>
        <v>712</v>
      </c>
      <c r="F29" s="19" t="s">
        <v>57</v>
      </c>
      <c r="G29" s="21"/>
      <c r="H29" s="17"/>
      <c r="I29" s="17"/>
      <c r="J29" s="17"/>
      <c r="K29" s="18"/>
    </row>
    <row r="30" spans="1:11" ht="18">
      <c r="A30" s="13">
        <v>45593</v>
      </c>
      <c r="B30" s="14"/>
      <c r="C30" s="14"/>
      <c r="D30" s="15"/>
      <c r="E30" s="14">
        <f t="shared" si="0"/>
        <v>0</v>
      </c>
      <c r="F30" s="19"/>
      <c r="G30" s="21"/>
      <c r="H30" s="17"/>
      <c r="I30" s="17"/>
      <c r="J30" s="17"/>
      <c r="K30" s="18"/>
    </row>
    <row r="31" spans="1:11" ht="18">
      <c r="A31" s="13">
        <v>45594</v>
      </c>
      <c r="B31" s="14"/>
      <c r="C31" s="14"/>
      <c r="D31" s="15">
        <v>2400</v>
      </c>
      <c r="E31" s="14">
        <f t="shared" si="0"/>
        <v>2400</v>
      </c>
      <c r="F31" s="16" t="s">
        <v>58</v>
      </c>
      <c r="G31" s="17"/>
      <c r="H31" s="17"/>
      <c r="I31" s="17"/>
      <c r="J31" s="17"/>
      <c r="K31" s="18"/>
    </row>
    <row r="32" spans="1:11" ht="18.95">
      <c r="A32" s="13">
        <v>45595</v>
      </c>
      <c r="B32" s="14">
        <v>900</v>
      </c>
      <c r="C32" s="14"/>
      <c r="D32" s="15">
        <v>15</v>
      </c>
      <c r="E32" s="14">
        <f t="shared" si="0"/>
        <v>915</v>
      </c>
      <c r="F32" s="19" t="s">
        <v>59</v>
      </c>
      <c r="G32" s="17"/>
      <c r="H32" s="17"/>
      <c r="I32" s="17"/>
      <c r="J32" s="17"/>
      <c r="K32" s="18"/>
    </row>
    <row r="33" spans="1:11" ht="18.95">
      <c r="A33" s="13">
        <v>45596</v>
      </c>
      <c r="B33" s="14"/>
      <c r="C33" s="14"/>
      <c r="D33" s="15">
        <v>1757</v>
      </c>
      <c r="E33" s="14"/>
      <c r="F33" s="19" t="s">
        <v>60</v>
      </c>
      <c r="G33" s="17"/>
      <c r="H33" s="17"/>
      <c r="I33" s="17"/>
      <c r="J33" s="17"/>
      <c r="K33" s="18"/>
    </row>
    <row r="34" spans="1:11" ht="18">
      <c r="A34" s="13" t="s">
        <v>45</v>
      </c>
      <c r="B34" s="14"/>
      <c r="C34" s="14"/>
      <c r="D34" s="15"/>
      <c r="E34" s="14"/>
      <c r="F34" s="19"/>
      <c r="G34" s="38"/>
      <c r="H34" s="40"/>
      <c r="I34" s="21"/>
      <c r="J34" s="17"/>
      <c r="K34" s="18"/>
    </row>
    <row r="35" spans="1:11" ht="18">
      <c r="A35" s="11" t="s">
        <v>35</v>
      </c>
      <c r="B35" s="14"/>
      <c r="C35" s="14"/>
      <c r="D35" s="14"/>
      <c r="E35" s="14">
        <f>SUM(E3:E32)</f>
        <v>72481</v>
      </c>
      <c r="F35" s="16"/>
      <c r="G35" s="17"/>
      <c r="H35" s="17"/>
      <c r="I35" s="17"/>
      <c r="J35" s="17"/>
      <c r="K35" s="18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4"/>
      <c r="C38" s="4"/>
      <c r="E38" s="4"/>
      <c r="F38" s="5"/>
      <c r="G38" s="9"/>
      <c r="H38" s="9"/>
      <c r="I38" s="9"/>
      <c r="J38" s="9"/>
      <c r="K38" s="10"/>
    </row>
    <row r="39" spans="1:11">
      <c r="A39" s="3"/>
      <c r="B39" s="4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10月憑證" xr:uid="{ABF7C5D2-7BAC-1C41-925F-82237D7E737B}"/>
  </hyperlinks>
  <pageMargins left="0" right="0" top="0" bottom="0" header="0" footer="0"/>
  <pageSetup paperSize="9" scale="74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372E-F0E7-D84E-9B99-3F082C950906}">
  <sheetPr>
    <outlinePr summaryBelow="0" summaryRight="0"/>
  </sheetPr>
  <dimension ref="A1:AB1003"/>
  <sheetViews>
    <sheetView zoomScale="103" zoomScaleNormal="100" zoomScaleSheetLayoutView="100" workbookViewId="0">
      <pane ySplit="2" topLeftCell="A5" activePane="bottomLeft" state="frozen"/>
      <selection pane="bottomLeft" activeCell="C18" sqref="C18:C19"/>
      <selection activeCell="B1" sqref="B1"/>
    </sheetView>
  </sheetViews>
  <sheetFormatPr defaultColWidth="12.42578125" defaultRowHeight="18"/>
  <cols>
    <col min="1" max="1" width="8.28515625" style="12" bestFit="1" customWidth="1"/>
    <col min="2" max="3" width="10.42578125" style="12" bestFit="1" customWidth="1"/>
    <col min="4" max="4" width="9.42578125" style="12" bestFit="1" customWidth="1"/>
    <col min="5" max="5" width="10.42578125" style="12" bestFit="1" customWidth="1"/>
    <col min="6" max="6" width="13.85546875" style="12" customWidth="1"/>
    <col min="7" max="7" width="11.85546875" style="12" customWidth="1"/>
    <col min="8" max="9" width="10.85546875" style="12" customWidth="1"/>
    <col min="10" max="10" width="12.140625" style="12" customWidth="1"/>
    <col min="11" max="11" width="8.28515625" style="12" customWidth="1"/>
    <col min="12" max="12" width="12.140625" style="12" customWidth="1"/>
    <col min="13" max="13" width="11.42578125" style="12" bestFit="1" customWidth="1"/>
    <col min="14" max="14" width="15.28515625" style="12" bestFit="1" customWidth="1"/>
    <col min="15" max="15" width="15.140625" style="12" customWidth="1"/>
    <col min="16" max="16384" width="12.42578125" style="12"/>
  </cols>
  <sheetData>
    <row r="1" spans="1:28" ht="28.35" customHeight="1" thickBot="1">
      <c r="A1" s="63" t="s">
        <v>0</v>
      </c>
      <c r="B1" s="64"/>
      <c r="C1" s="64"/>
      <c r="D1" s="64"/>
      <c r="E1" s="64"/>
      <c r="F1" s="64"/>
      <c r="G1" s="64"/>
      <c r="H1" s="64"/>
      <c r="I1" s="65"/>
      <c r="J1" s="66"/>
      <c r="L1" s="67" t="s">
        <v>1</v>
      </c>
      <c r="M1" s="68"/>
      <c r="N1" s="68"/>
      <c r="O1" s="68"/>
      <c r="P1" s="68"/>
    </row>
    <row r="2" spans="1:28">
      <c r="A2" s="25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41" t="s">
        <v>10</v>
      </c>
      <c r="J2" s="27" t="s">
        <v>11</v>
      </c>
      <c r="K2" s="28"/>
      <c r="L2" s="42"/>
      <c r="M2" s="43" t="s">
        <v>61</v>
      </c>
      <c r="N2" s="44" t="s">
        <v>62</v>
      </c>
      <c r="O2" s="44" t="s">
        <v>14</v>
      </c>
      <c r="P2" s="45" t="s">
        <v>15</v>
      </c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>
      <c r="A3" s="29">
        <v>45536</v>
      </c>
      <c r="B3" s="30"/>
      <c r="C3" s="30"/>
      <c r="D3" s="30"/>
      <c r="E3" s="30"/>
      <c r="F3" s="30"/>
      <c r="G3" s="30"/>
      <c r="H3" s="30">
        <f>'9月費用明細憑證'!E3</f>
        <v>0</v>
      </c>
      <c r="I3" s="53">
        <f>H3+(F3*0.7)</f>
        <v>0</v>
      </c>
      <c r="J3" s="55">
        <f t="shared" ref="J3:J14" si="0">(B3-C3-D3-E3-G3-I3)</f>
        <v>0</v>
      </c>
      <c r="K3" s="31"/>
      <c r="L3" s="46" t="s">
        <v>16</v>
      </c>
      <c r="M3" s="57">
        <f>SUM(C3:C32)</f>
        <v>51011</v>
      </c>
      <c r="N3" s="60">
        <f>N4</f>
        <v>45084.3</v>
      </c>
      <c r="O3" s="46">
        <f>M3-N3</f>
        <v>5926.6999999999971</v>
      </c>
      <c r="P3" s="47">
        <f>N3</f>
        <v>45084.3</v>
      </c>
    </row>
    <row r="4" spans="1:28">
      <c r="A4" s="29">
        <v>45537</v>
      </c>
      <c r="B4" s="30"/>
      <c r="C4" s="30"/>
      <c r="D4" s="30"/>
      <c r="E4" s="30"/>
      <c r="F4" s="30"/>
      <c r="G4" s="30"/>
      <c r="H4" s="30">
        <f>'9月費用明細憑證'!E4</f>
        <v>0</v>
      </c>
      <c r="I4" s="53">
        <f t="shared" ref="I4:I32" si="1">H4+(F4*0.7)</f>
        <v>0</v>
      </c>
      <c r="J4" s="55">
        <f t="shared" si="0"/>
        <v>0</v>
      </c>
      <c r="K4" s="31"/>
      <c r="L4" s="46" t="s">
        <v>17</v>
      </c>
      <c r="M4" s="57">
        <f>SUM(C3:C33)+M9</f>
        <v>71011</v>
      </c>
      <c r="N4" s="60">
        <f>M7+O7</f>
        <v>45084.3</v>
      </c>
      <c r="O4" s="57">
        <f>M4-N4</f>
        <v>25926.699999999997</v>
      </c>
      <c r="P4" s="47"/>
    </row>
    <row r="5" spans="1:28">
      <c r="A5" s="29">
        <v>45538</v>
      </c>
      <c r="B5" s="30"/>
      <c r="C5" s="30"/>
      <c r="D5" s="30"/>
      <c r="E5" s="30"/>
      <c r="F5" s="30"/>
      <c r="G5" s="30"/>
      <c r="H5" s="30">
        <f>'9月費用明細憑證'!E5</f>
        <v>0</v>
      </c>
      <c r="I5" s="53">
        <f t="shared" si="1"/>
        <v>0</v>
      </c>
      <c r="J5" s="55">
        <f t="shared" si="0"/>
        <v>0</v>
      </c>
      <c r="K5" s="31"/>
      <c r="L5" s="46" t="s">
        <v>18</v>
      </c>
      <c r="M5" s="57">
        <v>76</v>
      </c>
      <c r="N5" s="46"/>
      <c r="O5" s="46">
        <f>M5-N5</f>
        <v>76</v>
      </c>
      <c r="P5" s="48">
        <f>M5-N5</f>
        <v>76</v>
      </c>
    </row>
    <row r="6" spans="1:28">
      <c r="A6" s="29">
        <v>45539</v>
      </c>
      <c r="B6" s="30"/>
      <c r="C6" s="30"/>
      <c r="D6" s="30"/>
      <c r="E6" s="30"/>
      <c r="F6" s="30"/>
      <c r="G6" s="30"/>
      <c r="H6" s="30">
        <f>'9月費用明細憑證'!E6</f>
        <v>0</v>
      </c>
      <c r="I6" s="53">
        <f t="shared" si="1"/>
        <v>0</v>
      </c>
      <c r="J6" s="55">
        <f t="shared" si="0"/>
        <v>0</v>
      </c>
      <c r="K6" s="31"/>
      <c r="L6" s="46" t="s">
        <v>19</v>
      </c>
      <c r="M6" s="57">
        <f>M10+M9</f>
        <v>25926.699999999997</v>
      </c>
      <c r="N6" s="46"/>
      <c r="O6" s="46">
        <f>M6-N6</f>
        <v>25926.699999999997</v>
      </c>
      <c r="P6" s="46"/>
    </row>
    <row r="7" spans="1:28">
      <c r="A7" s="29">
        <v>45540</v>
      </c>
      <c r="B7" s="30"/>
      <c r="C7" s="30"/>
      <c r="D7" s="30"/>
      <c r="E7" s="30"/>
      <c r="F7" s="30"/>
      <c r="G7" s="30"/>
      <c r="H7" s="30">
        <f>'9月費用明細憑證'!E7</f>
        <v>0</v>
      </c>
      <c r="I7" s="53">
        <f t="shared" si="1"/>
        <v>0</v>
      </c>
      <c r="J7" s="55">
        <f t="shared" si="0"/>
        <v>0</v>
      </c>
      <c r="K7" s="31"/>
      <c r="L7" s="32" t="s">
        <v>20</v>
      </c>
      <c r="M7" s="58">
        <f>C35</f>
        <v>41179</v>
      </c>
      <c r="N7" s="32" t="s">
        <v>21</v>
      </c>
      <c r="O7" s="58">
        <f>F35</f>
        <v>3905.2999999999997</v>
      </c>
      <c r="P7" s="32"/>
    </row>
    <row r="8" spans="1:28">
      <c r="A8" s="29">
        <v>45541</v>
      </c>
      <c r="B8" s="30"/>
      <c r="C8" s="30"/>
      <c r="D8" s="30"/>
      <c r="E8" s="30"/>
      <c r="F8" s="30"/>
      <c r="G8" s="30"/>
      <c r="H8" s="30">
        <f>'9月費用明細憑證'!E8</f>
        <v>0</v>
      </c>
      <c r="I8" s="53">
        <f t="shared" si="1"/>
        <v>0</v>
      </c>
      <c r="J8" s="55">
        <f t="shared" si="0"/>
        <v>0</v>
      </c>
      <c r="K8" s="31"/>
      <c r="L8" s="46"/>
      <c r="M8" s="57"/>
      <c r="N8" s="46"/>
      <c r="O8" s="46"/>
      <c r="P8" s="46"/>
    </row>
    <row r="9" spans="1:28">
      <c r="A9" s="29">
        <v>45542</v>
      </c>
      <c r="B9" s="30"/>
      <c r="C9" s="30"/>
      <c r="D9" s="30"/>
      <c r="E9" s="30"/>
      <c r="F9" s="30"/>
      <c r="G9" s="30"/>
      <c r="H9" s="30">
        <f>'9月費用明細憑證'!E9</f>
        <v>0</v>
      </c>
      <c r="I9" s="53">
        <f t="shared" si="1"/>
        <v>0</v>
      </c>
      <c r="J9" s="55">
        <f t="shared" si="0"/>
        <v>0</v>
      </c>
      <c r="K9" s="31"/>
      <c r="L9" s="46" t="s">
        <v>22</v>
      </c>
      <c r="M9" s="57">
        <v>20000</v>
      </c>
      <c r="N9" s="46"/>
      <c r="O9" s="46"/>
      <c r="P9" s="46"/>
    </row>
    <row r="10" spans="1:28">
      <c r="A10" s="29">
        <v>45543</v>
      </c>
      <c r="B10" s="32"/>
      <c r="C10" s="32"/>
      <c r="D10" s="32"/>
      <c r="E10" s="32"/>
      <c r="F10" s="32"/>
      <c r="G10" s="32"/>
      <c r="H10" s="30">
        <f>'9月費用明細憑證'!E10</f>
        <v>0</v>
      </c>
      <c r="I10" s="53">
        <f t="shared" si="1"/>
        <v>0</v>
      </c>
      <c r="J10" s="55">
        <f t="shared" si="0"/>
        <v>0</v>
      </c>
      <c r="K10" s="31"/>
      <c r="L10" s="46" t="s">
        <v>23</v>
      </c>
      <c r="M10" s="57">
        <f>O3</f>
        <v>5926.6999999999971</v>
      </c>
      <c r="N10" s="46"/>
      <c r="O10" s="46"/>
      <c r="P10" s="46"/>
    </row>
    <row r="11" spans="1:28">
      <c r="A11" s="29">
        <v>45544</v>
      </c>
      <c r="B11" s="32"/>
      <c r="C11" s="32"/>
      <c r="D11" s="32"/>
      <c r="E11" s="32"/>
      <c r="F11" s="32"/>
      <c r="G11" s="32"/>
      <c r="H11" s="30">
        <f>'9月費用明細憑證'!E11</f>
        <v>0</v>
      </c>
      <c r="I11" s="53">
        <f t="shared" si="1"/>
        <v>0</v>
      </c>
      <c r="J11" s="55">
        <f t="shared" si="0"/>
        <v>0</v>
      </c>
      <c r="K11" s="31"/>
      <c r="L11" s="32" t="s">
        <v>24</v>
      </c>
      <c r="M11" s="58">
        <v>0</v>
      </c>
      <c r="N11" s="32"/>
      <c r="O11" s="32"/>
      <c r="P11" s="32"/>
    </row>
    <row r="12" spans="1:28">
      <c r="A12" s="29">
        <v>45545</v>
      </c>
      <c r="B12" s="32"/>
      <c r="C12" s="32"/>
      <c r="D12" s="32"/>
      <c r="E12" s="32"/>
      <c r="F12" s="32"/>
      <c r="G12" s="32"/>
      <c r="H12" s="30">
        <f>'9月費用明細憑證'!E12</f>
        <v>0</v>
      </c>
      <c r="I12" s="53">
        <f t="shared" si="1"/>
        <v>0</v>
      </c>
      <c r="J12" s="55">
        <f t="shared" si="0"/>
        <v>0</v>
      </c>
      <c r="K12" s="31"/>
      <c r="L12" s="32" t="s">
        <v>25</v>
      </c>
      <c r="M12" s="58">
        <f>M10-M11</f>
        <v>5926.6999999999971</v>
      </c>
      <c r="N12" s="32"/>
      <c r="O12" s="32"/>
      <c r="P12" s="32"/>
    </row>
    <row r="13" spans="1:28">
      <c r="A13" s="29">
        <v>45546</v>
      </c>
      <c r="B13" s="32"/>
      <c r="C13" s="32"/>
      <c r="D13" s="32"/>
      <c r="E13" s="32"/>
      <c r="F13" s="32"/>
      <c r="G13" s="32"/>
      <c r="H13" s="30">
        <f>'9月費用明細憑證'!E13</f>
        <v>0</v>
      </c>
      <c r="I13" s="53">
        <f t="shared" si="1"/>
        <v>0</v>
      </c>
      <c r="J13" s="55">
        <f t="shared" si="0"/>
        <v>0</v>
      </c>
      <c r="K13" s="31"/>
    </row>
    <row r="14" spans="1:28">
      <c r="A14" s="29">
        <v>45547</v>
      </c>
      <c r="B14" s="32"/>
      <c r="C14" s="32"/>
      <c r="D14" s="32"/>
      <c r="E14" s="32"/>
      <c r="F14" s="32"/>
      <c r="G14" s="32"/>
      <c r="H14" s="30">
        <f>'9月費用明細憑證'!E14</f>
        <v>0</v>
      </c>
      <c r="I14" s="53">
        <f t="shared" si="1"/>
        <v>0</v>
      </c>
      <c r="J14" s="55">
        <f t="shared" si="0"/>
        <v>0</v>
      </c>
      <c r="K14" s="31"/>
    </row>
    <row r="15" spans="1:28">
      <c r="A15" s="29">
        <v>45548</v>
      </c>
      <c r="B15" s="32"/>
      <c r="C15" s="32"/>
      <c r="D15" s="32"/>
      <c r="E15" s="32"/>
      <c r="F15" s="32"/>
      <c r="G15" s="32"/>
      <c r="H15" s="30">
        <f>'9月費用明細憑證'!E15</f>
        <v>1585</v>
      </c>
      <c r="I15" s="53">
        <f t="shared" si="1"/>
        <v>1585</v>
      </c>
      <c r="J15" s="55">
        <f>(B15-C15-D15-E15-G15)</f>
        <v>0</v>
      </c>
      <c r="K15" s="31"/>
    </row>
    <row r="16" spans="1:28">
      <c r="A16" s="29">
        <v>45549</v>
      </c>
      <c r="B16" s="32">
        <v>6906</v>
      </c>
      <c r="C16" s="32">
        <v>7001</v>
      </c>
      <c r="D16" s="32"/>
      <c r="E16" s="32"/>
      <c r="F16" s="32">
        <v>250</v>
      </c>
      <c r="G16" s="32"/>
      <c r="H16" s="30">
        <f>'9月費用明細憑證'!E16</f>
        <v>0</v>
      </c>
      <c r="I16" s="53">
        <f t="shared" si="1"/>
        <v>175</v>
      </c>
      <c r="J16" s="55">
        <f t="shared" ref="J16:J32" si="2">(B16-C16-D16-E16-G16)</f>
        <v>-95</v>
      </c>
      <c r="K16" s="31"/>
      <c r="L16" s="59" t="s">
        <v>26</v>
      </c>
    </row>
    <row r="17" spans="1:12">
      <c r="A17" s="29">
        <v>45550</v>
      </c>
      <c r="B17" s="32">
        <v>1632</v>
      </c>
      <c r="C17" s="32">
        <f>2947-780</f>
        <v>2167</v>
      </c>
      <c r="D17" s="32"/>
      <c r="E17" s="32"/>
      <c r="F17" s="32">
        <v>140</v>
      </c>
      <c r="G17" s="32"/>
      <c r="H17" s="30">
        <f>'9月費用明細憑證'!E17</f>
        <v>0</v>
      </c>
      <c r="I17" s="53">
        <f t="shared" si="1"/>
        <v>98</v>
      </c>
      <c r="J17" s="55">
        <f t="shared" si="2"/>
        <v>-535</v>
      </c>
      <c r="K17" s="31"/>
      <c r="L17" s="12" t="s">
        <v>27</v>
      </c>
    </row>
    <row r="18" spans="1:12">
      <c r="A18" s="29">
        <v>45551</v>
      </c>
      <c r="B18" s="32">
        <v>2767</v>
      </c>
      <c r="C18" s="32">
        <v>3100</v>
      </c>
      <c r="D18" s="32"/>
      <c r="E18" s="32"/>
      <c r="F18" s="32">
        <v>170</v>
      </c>
      <c r="G18" s="32"/>
      <c r="H18" s="30">
        <f>'9月費用明細憑證'!E18</f>
        <v>0</v>
      </c>
      <c r="I18" s="53">
        <f t="shared" si="1"/>
        <v>118.99999999999999</v>
      </c>
      <c r="J18" s="55">
        <f t="shared" si="2"/>
        <v>-333</v>
      </c>
    </row>
    <row r="19" spans="1:12">
      <c r="A19" s="29">
        <v>45552</v>
      </c>
      <c r="B19" s="32">
        <v>3703</v>
      </c>
      <c r="C19" s="32">
        <f>2300+1265</f>
        <v>3565</v>
      </c>
      <c r="D19" s="32"/>
      <c r="E19" s="32"/>
      <c r="F19" s="32">
        <v>60</v>
      </c>
      <c r="G19" s="32"/>
      <c r="H19" s="30">
        <f>'9月費用明細憑證'!E19</f>
        <v>1265</v>
      </c>
      <c r="I19" s="53">
        <f>H19+(F19*0.7)</f>
        <v>1307</v>
      </c>
      <c r="J19" s="55">
        <f t="shared" si="2"/>
        <v>138</v>
      </c>
    </row>
    <row r="20" spans="1:12">
      <c r="A20" s="29">
        <v>45553</v>
      </c>
      <c r="B20" s="32">
        <v>2296</v>
      </c>
      <c r="C20" s="32">
        <v>2515</v>
      </c>
      <c r="D20" s="32"/>
      <c r="E20" s="32"/>
      <c r="F20" s="32">
        <v>30</v>
      </c>
      <c r="G20" s="32"/>
      <c r="H20" s="30">
        <f>'9月費用明細憑證'!E20</f>
        <v>3515</v>
      </c>
      <c r="I20" s="53">
        <f>H20+(F20*0.7)</f>
        <v>3536</v>
      </c>
      <c r="J20" s="55">
        <f t="shared" si="2"/>
        <v>-219</v>
      </c>
    </row>
    <row r="21" spans="1:12">
      <c r="A21" s="29">
        <v>45554</v>
      </c>
      <c r="B21" s="32">
        <v>2415</v>
      </c>
      <c r="C21" s="32">
        <v>2353</v>
      </c>
      <c r="D21" s="32"/>
      <c r="E21" s="32"/>
      <c r="F21" s="32">
        <v>370</v>
      </c>
      <c r="G21" s="32"/>
      <c r="H21" s="30">
        <f>'9月費用明細憑證'!E21</f>
        <v>4540</v>
      </c>
      <c r="I21" s="53">
        <f t="shared" si="1"/>
        <v>4799</v>
      </c>
      <c r="J21" s="55">
        <f t="shared" si="2"/>
        <v>62</v>
      </c>
    </row>
    <row r="22" spans="1:12">
      <c r="A22" s="29">
        <v>45555</v>
      </c>
      <c r="B22" s="32">
        <v>2732</v>
      </c>
      <c r="C22" s="32">
        <v>2300</v>
      </c>
      <c r="D22" s="32"/>
      <c r="E22" s="32"/>
      <c r="F22" s="32">
        <v>0</v>
      </c>
      <c r="G22" s="32"/>
      <c r="H22" s="30">
        <f>'9月費用明細憑證'!E22</f>
        <v>11284</v>
      </c>
      <c r="I22" s="53">
        <f t="shared" si="1"/>
        <v>11284</v>
      </c>
      <c r="J22" s="55">
        <f t="shared" si="2"/>
        <v>432</v>
      </c>
    </row>
    <row r="23" spans="1:12">
      <c r="A23" s="29">
        <v>45556</v>
      </c>
      <c r="B23" s="32">
        <v>2598</v>
      </c>
      <c r="C23" s="32">
        <v>2600</v>
      </c>
      <c r="D23" s="32"/>
      <c r="E23" s="32"/>
      <c r="F23" s="32">
        <v>405</v>
      </c>
      <c r="G23" s="32"/>
      <c r="H23" s="30">
        <f>'9月費用明細憑證'!E23</f>
        <v>250</v>
      </c>
      <c r="I23" s="53">
        <f t="shared" si="1"/>
        <v>533.5</v>
      </c>
      <c r="J23" s="55">
        <f t="shared" si="2"/>
        <v>-2</v>
      </c>
    </row>
    <row r="24" spans="1:12">
      <c r="A24" s="29">
        <v>45557</v>
      </c>
      <c r="B24" s="32">
        <v>2456</v>
      </c>
      <c r="C24" s="32">
        <v>3012</v>
      </c>
      <c r="D24" s="32"/>
      <c r="E24" s="32"/>
      <c r="F24" s="32">
        <v>824</v>
      </c>
      <c r="G24" s="32"/>
      <c r="H24" s="30">
        <f>'9月費用明細憑證'!E24</f>
        <v>880</v>
      </c>
      <c r="I24" s="53">
        <f>H24+(F24*0.7)</f>
        <v>1456.8</v>
      </c>
      <c r="J24" s="55">
        <f t="shared" si="2"/>
        <v>-556</v>
      </c>
    </row>
    <row r="25" spans="1:12">
      <c r="A25" s="29">
        <v>45558</v>
      </c>
      <c r="B25" s="32">
        <v>2426</v>
      </c>
      <c r="C25" s="32">
        <v>3023</v>
      </c>
      <c r="D25" s="32"/>
      <c r="E25" s="32"/>
      <c r="F25" s="32">
        <v>900</v>
      </c>
      <c r="G25" s="32"/>
      <c r="H25" s="30">
        <f>'9月費用明細憑證'!E25</f>
        <v>6905</v>
      </c>
      <c r="I25" s="53">
        <f t="shared" si="1"/>
        <v>7535</v>
      </c>
      <c r="J25" s="55">
        <f t="shared" si="2"/>
        <v>-597</v>
      </c>
    </row>
    <row r="26" spans="1:12">
      <c r="A26" s="29">
        <v>45559</v>
      </c>
      <c r="B26" s="32">
        <v>2340</v>
      </c>
      <c r="C26" s="32">
        <v>2800</v>
      </c>
      <c r="D26" s="32"/>
      <c r="E26" s="32"/>
      <c r="F26" s="32">
        <v>255</v>
      </c>
      <c r="G26" s="32"/>
      <c r="H26" s="30">
        <f>'9月費用明細憑證'!E26</f>
        <v>0</v>
      </c>
      <c r="I26" s="53">
        <f t="shared" si="1"/>
        <v>178.5</v>
      </c>
      <c r="J26" s="55">
        <f t="shared" si="2"/>
        <v>-460</v>
      </c>
    </row>
    <row r="27" spans="1:12">
      <c r="A27" s="29">
        <v>45560</v>
      </c>
      <c r="B27" s="32">
        <v>2252</v>
      </c>
      <c r="C27" s="32">
        <v>2867</v>
      </c>
      <c r="D27" s="32"/>
      <c r="E27" s="32"/>
      <c r="F27" s="32">
        <f>270+120</f>
        <v>390</v>
      </c>
      <c r="G27" s="32"/>
      <c r="H27" s="30">
        <f>'9月費用明細憑證'!E27</f>
        <v>935</v>
      </c>
      <c r="I27" s="53">
        <f t="shared" si="1"/>
        <v>1208</v>
      </c>
      <c r="J27" s="55">
        <f t="shared" si="2"/>
        <v>-615</v>
      </c>
    </row>
    <row r="28" spans="1:12">
      <c r="A28" s="29">
        <v>45561</v>
      </c>
      <c r="B28" s="32">
        <v>3353</v>
      </c>
      <c r="C28" s="32">
        <v>2842</v>
      </c>
      <c r="D28" s="32"/>
      <c r="E28" s="32"/>
      <c r="F28" s="32">
        <f>200+120+40</f>
        <v>360</v>
      </c>
      <c r="G28" s="32"/>
      <c r="H28" s="30">
        <f>'9月費用明細憑證'!E28</f>
        <v>880</v>
      </c>
      <c r="I28" s="53">
        <f t="shared" si="1"/>
        <v>1132</v>
      </c>
      <c r="J28" s="55">
        <f t="shared" si="2"/>
        <v>511</v>
      </c>
    </row>
    <row r="29" spans="1:12">
      <c r="A29" s="29">
        <v>45562</v>
      </c>
      <c r="B29" s="32">
        <v>3056</v>
      </c>
      <c r="C29" s="32">
        <v>3200</v>
      </c>
      <c r="D29" s="32"/>
      <c r="E29" s="32"/>
      <c r="F29" s="32">
        <f>180+50</f>
        <v>230</v>
      </c>
      <c r="G29" s="32"/>
      <c r="H29" s="30">
        <f>'9月費用明細憑證'!E29</f>
        <v>0</v>
      </c>
      <c r="I29" s="53">
        <f t="shared" si="1"/>
        <v>161</v>
      </c>
      <c r="J29" s="55">
        <f t="shared" si="2"/>
        <v>-144</v>
      </c>
    </row>
    <row r="30" spans="1:12">
      <c r="A30" s="29">
        <v>45563</v>
      </c>
      <c r="B30" s="32">
        <v>3081</v>
      </c>
      <c r="C30" s="32">
        <v>3300</v>
      </c>
      <c r="D30" s="32"/>
      <c r="E30" s="32"/>
      <c r="F30" s="32">
        <f>345+50</f>
        <v>395</v>
      </c>
      <c r="G30" s="32"/>
      <c r="H30" s="30">
        <f>'9月費用明細憑證'!E30</f>
        <v>5486</v>
      </c>
      <c r="I30" s="53">
        <f t="shared" si="1"/>
        <v>5762.5</v>
      </c>
      <c r="J30" s="55">
        <f t="shared" si="2"/>
        <v>-219</v>
      </c>
    </row>
    <row r="31" spans="1:12">
      <c r="A31" s="29">
        <v>45564</v>
      </c>
      <c r="B31" s="32">
        <v>1550</v>
      </c>
      <c r="C31" s="32">
        <v>1666</v>
      </c>
      <c r="D31" s="32"/>
      <c r="E31" s="32"/>
      <c r="F31" s="32">
        <v>520</v>
      </c>
      <c r="G31" s="32"/>
      <c r="H31" s="30">
        <f>'9月費用明細憑證'!E31</f>
        <v>0</v>
      </c>
      <c r="I31" s="53">
        <f t="shared" si="1"/>
        <v>364</v>
      </c>
      <c r="J31" s="55">
        <f t="shared" si="2"/>
        <v>-116</v>
      </c>
    </row>
    <row r="32" spans="1:12">
      <c r="A32" s="29">
        <v>45565</v>
      </c>
      <c r="B32" s="32">
        <v>2445</v>
      </c>
      <c r="C32" s="32">
        <v>2700</v>
      </c>
      <c r="D32" s="32"/>
      <c r="E32" s="32"/>
      <c r="F32" s="32">
        <f>240+40</f>
        <v>280</v>
      </c>
      <c r="G32" s="32"/>
      <c r="H32" s="30">
        <f>'9月費用明細憑證'!E32</f>
        <v>3654</v>
      </c>
      <c r="I32" s="53">
        <f t="shared" si="1"/>
        <v>3850</v>
      </c>
      <c r="J32" s="55">
        <f t="shared" si="2"/>
        <v>-255</v>
      </c>
    </row>
    <row r="33" spans="1:11" ht="18.95" thickBot="1">
      <c r="A33" s="29"/>
      <c r="B33" s="33"/>
      <c r="C33" s="33"/>
      <c r="D33" s="33"/>
      <c r="E33" s="51"/>
      <c r="F33" s="51"/>
      <c r="G33" s="33"/>
      <c r="H33" s="30"/>
      <c r="I33" s="53"/>
      <c r="J33" s="55"/>
    </row>
    <row r="34" spans="1:11">
      <c r="A34" s="34" t="s">
        <v>28</v>
      </c>
      <c r="B34" s="35" t="s">
        <v>29</v>
      </c>
      <c r="C34" s="35" t="s">
        <v>30</v>
      </c>
      <c r="D34" s="35" t="s">
        <v>31</v>
      </c>
      <c r="E34" s="50"/>
      <c r="F34" s="52" t="s">
        <v>32</v>
      </c>
      <c r="G34" s="35" t="s">
        <v>33</v>
      </c>
      <c r="H34" s="69" t="s">
        <v>34</v>
      </c>
      <c r="I34" s="70"/>
      <c r="J34" s="71"/>
      <c r="K34" s="31"/>
    </row>
    <row r="35" spans="1:11" ht="18.95" thickBot="1">
      <c r="A35" s="36" t="s">
        <v>35</v>
      </c>
      <c r="B35" s="37">
        <f>SUM(B3:B33)</f>
        <v>48008</v>
      </c>
      <c r="C35" s="37">
        <f>SUM(H3:H33)</f>
        <v>41179</v>
      </c>
      <c r="D35" s="37">
        <f>B35-C35</f>
        <v>6829</v>
      </c>
      <c r="E35" s="49"/>
      <c r="F35" s="54">
        <f>SUM(F3:F33)*0.7</f>
        <v>3905.2999999999997</v>
      </c>
      <c r="G35" s="56">
        <f>SUM(J3:J33)</f>
        <v>-3003</v>
      </c>
      <c r="H35" s="72">
        <f>O8/3</f>
        <v>0</v>
      </c>
      <c r="I35" s="73"/>
      <c r="J35" s="74"/>
      <c r="K35" s="31"/>
    </row>
    <row r="36" spans="1:11">
      <c r="A36" s="24"/>
    </row>
    <row r="37" spans="1:11">
      <c r="A37" s="24"/>
    </row>
    <row r="38" spans="1:11">
      <c r="A38" s="24"/>
    </row>
    <row r="39" spans="1:11">
      <c r="A39" s="24"/>
    </row>
    <row r="40" spans="1:11">
      <c r="A40" s="24"/>
    </row>
    <row r="41" spans="1:11">
      <c r="A41" s="24"/>
    </row>
    <row r="42" spans="1:11">
      <c r="A42" s="24"/>
    </row>
    <row r="43" spans="1:11">
      <c r="A43" s="24"/>
    </row>
    <row r="44" spans="1:11">
      <c r="A44" s="24"/>
    </row>
    <row r="45" spans="1:11">
      <c r="A45" s="24"/>
    </row>
    <row r="46" spans="1:11">
      <c r="A46" s="24"/>
    </row>
    <row r="47" spans="1:11">
      <c r="A47" s="24"/>
    </row>
    <row r="48" spans="1:11">
      <c r="A48" s="24"/>
    </row>
    <row r="49" spans="1:1">
      <c r="A49" s="24"/>
    </row>
    <row r="50" spans="1:1">
      <c r="A50" s="24"/>
    </row>
    <row r="51" spans="1:1">
      <c r="A51" s="24"/>
    </row>
    <row r="52" spans="1:1">
      <c r="A52" s="24"/>
    </row>
    <row r="53" spans="1:1">
      <c r="A53" s="24"/>
    </row>
    <row r="54" spans="1:1">
      <c r="A54" s="24"/>
    </row>
    <row r="55" spans="1:1">
      <c r="A55" s="24"/>
    </row>
    <row r="56" spans="1:1">
      <c r="A56" s="24"/>
    </row>
    <row r="57" spans="1:1">
      <c r="A57" s="24"/>
    </row>
    <row r="58" spans="1:1">
      <c r="A58" s="24"/>
    </row>
    <row r="59" spans="1:1">
      <c r="A59" s="24"/>
    </row>
    <row r="60" spans="1:1">
      <c r="A60" s="24"/>
    </row>
    <row r="61" spans="1:1">
      <c r="A61" s="24"/>
    </row>
    <row r="62" spans="1:1">
      <c r="A62" s="24"/>
    </row>
    <row r="63" spans="1:1">
      <c r="A63" s="24"/>
    </row>
    <row r="64" spans="1:1">
      <c r="A64" s="24"/>
    </row>
    <row r="65" spans="1:1">
      <c r="A65" s="24"/>
    </row>
    <row r="66" spans="1:1">
      <c r="A66" s="24"/>
    </row>
    <row r="67" spans="1:1">
      <c r="A67" s="24"/>
    </row>
    <row r="68" spans="1:1">
      <c r="A68" s="24"/>
    </row>
    <row r="69" spans="1:1">
      <c r="A69" s="24"/>
    </row>
    <row r="70" spans="1:1">
      <c r="A70" s="24"/>
    </row>
    <row r="71" spans="1:1">
      <c r="A71" s="24"/>
    </row>
    <row r="72" spans="1:1">
      <c r="A72" s="24"/>
    </row>
    <row r="73" spans="1:1">
      <c r="A73" s="24"/>
    </row>
    <row r="74" spans="1:1">
      <c r="A74" s="24"/>
    </row>
    <row r="75" spans="1:1">
      <c r="A75" s="24"/>
    </row>
    <row r="76" spans="1:1">
      <c r="A76" s="24"/>
    </row>
    <row r="77" spans="1:1">
      <c r="A77" s="24"/>
    </row>
    <row r="78" spans="1:1">
      <c r="A78" s="24"/>
    </row>
    <row r="79" spans="1:1">
      <c r="A79" s="24"/>
    </row>
    <row r="80" spans="1:1">
      <c r="A80" s="24"/>
    </row>
    <row r="81" spans="1:1">
      <c r="A81" s="24"/>
    </row>
    <row r="82" spans="1:1">
      <c r="A82" s="24"/>
    </row>
    <row r="83" spans="1:1">
      <c r="A83" s="24"/>
    </row>
    <row r="84" spans="1:1">
      <c r="A84" s="24"/>
    </row>
    <row r="85" spans="1:1">
      <c r="A85" s="24"/>
    </row>
    <row r="86" spans="1:1">
      <c r="A86" s="24"/>
    </row>
    <row r="87" spans="1:1">
      <c r="A87" s="24"/>
    </row>
    <row r="88" spans="1:1">
      <c r="A88" s="24"/>
    </row>
    <row r="89" spans="1:1">
      <c r="A89" s="24"/>
    </row>
    <row r="90" spans="1:1">
      <c r="A90" s="24"/>
    </row>
    <row r="91" spans="1:1">
      <c r="A91" s="24"/>
    </row>
    <row r="92" spans="1:1">
      <c r="A92" s="24"/>
    </row>
    <row r="93" spans="1:1">
      <c r="A93" s="24"/>
    </row>
    <row r="94" spans="1:1">
      <c r="A94" s="24"/>
    </row>
    <row r="95" spans="1:1">
      <c r="A95" s="24"/>
    </row>
    <row r="96" spans="1:1">
      <c r="A96" s="24"/>
    </row>
    <row r="97" spans="1:1">
      <c r="A97" s="24"/>
    </row>
    <row r="98" spans="1:1">
      <c r="A98" s="24"/>
    </row>
    <row r="99" spans="1:1">
      <c r="A99" s="24"/>
    </row>
    <row r="100" spans="1:1">
      <c r="A100" s="24"/>
    </row>
    <row r="101" spans="1:1">
      <c r="A101" s="24"/>
    </row>
    <row r="102" spans="1:1">
      <c r="A102" s="24"/>
    </row>
    <row r="103" spans="1:1">
      <c r="A103" s="24"/>
    </row>
    <row r="104" spans="1:1">
      <c r="A104" s="24"/>
    </row>
    <row r="105" spans="1:1">
      <c r="A105" s="24"/>
    </row>
    <row r="106" spans="1:1">
      <c r="A106" s="24"/>
    </row>
    <row r="107" spans="1:1">
      <c r="A107" s="24"/>
    </row>
    <row r="108" spans="1:1">
      <c r="A108" s="24"/>
    </row>
    <row r="109" spans="1:1">
      <c r="A109" s="24"/>
    </row>
    <row r="110" spans="1:1">
      <c r="A110" s="24"/>
    </row>
    <row r="111" spans="1:1">
      <c r="A111" s="24"/>
    </row>
    <row r="112" spans="1:1">
      <c r="A112" s="24"/>
    </row>
    <row r="113" spans="1:1">
      <c r="A113" s="24"/>
    </row>
    <row r="114" spans="1:1">
      <c r="A114" s="24"/>
    </row>
    <row r="115" spans="1:1">
      <c r="A115" s="24"/>
    </row>
    <row r="116" spans="1:1">
      <c r="A116" s="24"/>
    </row>
    <row r="117" spans="1:1">
      <c r="A117" s="24"/>
    </row>
    <row r="118" spans="1:1">
      <c r="A118" s="24"/>
    </row>
    <row r="119" spans="1:1">
      <c r="A119" s="24"/>
    </row>
    <row r="120" spans="1:1">
      <c r="A120" s="24"/>
    </row>
    <row r="121" spans="1:1">
      <c r="A121" s="24"/>
    </row>
    <row r="122" spans="1:1">
      <c r="A122" s="24"/>
    </row>
    <row r="123" spans="1:1">
      <c r="A123" s="24"/>
    </row>
    <row r="124" spans="1:1">
      <c r="A124" s="24"/>
    </row>
    <row r="125" spans="1:1">
      <c r="A125" s="24"/>
    </row>
    <row r="126" spans="1:1">
      <c r="A126" s="24"/>
    </row>
    <row r="127" spans="1:1">
      <c r="A127" s="24"/>
    </row>
    <row r="128" spans="1:1">
      <c r="A128" s="24"/>
    </row>
    <row r="129" spans="1:1">
      <c r="A129" s="24"/>
    </row>
    <row r="130" spans="1:1">
      <c r="A130" s="24"/>
    </row>
    <row r="131" spans="1:1">
      <c r="A131" s="24"/>
    </row>
    <row r="132" spans="1:1">
      <c r="A132" s="24"/>
    </row>
    <row r="133" spans="1:1">
      <c r="A133" s="24"/>
    </row>
    <row r="134" spans="1:1">
      <c r="A134" s="24"/>
    </row>
    <row r="135" spans="1:1">
      <c r="A135" s="24"/>
    </row>
    <row r="136" spans="1:1">
      <c r="A136" s="24"/>
    </row>
    <row r="137" spans="1:1">
      <c r="A137" s="24"/>
    </row>
    <row r="138" spans="1:1">
      <c r="A138" s="24"/>
    </row>
    <row r="139" spans="1:1">
      <c r="A139" s="24"/>
    </row>
    <row r="140" spans="1:1">
      <c r="A140" s="24"/>
    </row>
    <row r="141" spans="1:1">
      <c r="A141" s="24"/>
    </row>
    <row r="142" spans="1:1">
      <c r="A142" s="24"/>
    </row>
    <row r="143" spans="1:1">
      <c r="A143" s="24"/>
    </row>
    <row r="144" spans="1:1">
      <c r="A144" s="24"/>
    </row>
    <row r="145" spans="1:1">
      <c r="A145" s="24"/>
    </row>
    <row r="146" spans="1:1">
      <c r="A146" s="24"/>
    </row>
    <row r="147" spans="1:1">
      <c r="A147" s="24"/>
    </row>
    <row r="148" spans="1:1">
      <c r="A148" s="24"/>
    </row>
    <row r="149" spans="1:1">
      <c r="A149" s="24"/>
    </row>
    <row r="150" spans="1:1">
      <c r="A150" s="24"/>
    </row>
    <row r="151" spans="1:1">
      <c r="A151" s="24"/>
    </row>
    <row r="152" spans="1:1">
      <c r="A152" s="24"/>
    </row>
    <row r="153" spans="1:1">
      <c r="A153" s="24"/>
    </row>
    <row r="154" spans="1:1">
      <c r="A154" s="24"/>
    </row>
    <row r="155" spans="1:1">
      <c r="A155" s="24"/>
    </row>
    <row r="156" spans="1:1">
      <c r="A156" s="24"/>
    </row>
    <row r="157" spans="1:1">
      <c r="A157" s="24"/>
    </row>
    <row r="158" spans="1:1">
      <c r="A158" s="24"/>
    </row>
    <row r="159" spans="1:1">
      <c r="A159" s="24"/>
    </row>
    <row r="160" spans="1:1">
      <c r="A160" s="24"/>
    </row>
    <row r="161" spans="1:1">
      <c r="A161" s="24"/>
    </row>
    <row r="162" spans="1:1">
      <c r="A162" s="24"/>
    </row>
    <row r="163" spans="1:1">
      <c r="A163" s="24"/>
    </row>
    <row r="164" spans="1:1">
      <c r="A164" s="24"/>
    </row>
    <row r="165" spans="1:1">
      <c r="A165" s="24"/>
    </row>
    <row r="166" spans="1:1">
      <c r="A166" s="24"/>
    </row>
    <row r="167" spans="1:1">
      <c r="A167" s="24"/>
    </row>
    <row r="168" spans="1:1">
      <c r="A168" s="24"/>
    </row>
    <row r="169" spans="1:1">
      <c r="A169" s="24"/>
    </row>
    <row r="170" spans="1:1">
      <c r="A170" s="24"/>
    </row>
    <row r="171" spans="1:1">
      <c r="A171" s="24"/>
    </row>
    <row r="172" spans="1:1">
      <c r="A172" s="24"/>
    </row>
    <row r="173" spans="1:1">
      <c r="A173" s="24"/>
    </row>
    <row r="174" spans="1:1">
      <c r="A174" s="24"/>
    </row>
    <row r="175" spans="1:1">
      <c r="A175" s="24"/>
    </row>
    <row r="176" spans="1:1">
      <c r="A176" s="24"/>
    </row>
    <row r="177" spans="1:1">
      <c r="A177" s="24"/>
    </row>
    <row r="178" spans="1:1">
      <c r="A178" s="24"/>
    </row>
    <row r="179" spans="1:1">
      <c r="A179" s="24"/>
    </row>
    <row r="180" spans="1:1">
      <c r="A180" s="24"/>
    </row>
    <row r="181" spans="1:1">
      <c r="A181" s="24"/>
    </row>
    <row r="182" spans="1:1">
      <c r="A182" s="24"/>
    </row>
    <row r="183" spans="1:1">
      <c r="A183" s="24"/>
    </row>
    <row r="184" spans="1:1">
      <c r="A184" s="24"/>
    </row>
    <row r="185" spans="1:1">
      <c r="A185" s="24"/>
    </row>
    <row r="186" spans="1:1">
      <c r="A186" s="24"/>
    </row>
    <row r="187" spans="1:1">
      <c r="A187" s="24"/>
    </row>
    <row r="188" spans="1:1">
      <c r="A188" s="24"/>
    </row>
    <row r="189" spans="1:1">
      <c r="A189" s="24"/>
    </row>
    <row r="190" spans="1:1">
      <c r="A190" s="24"/>
    </row>
    <row r="191" spans="1:1">
      <c r="A191" s="24"/>
    </row>
    <row r="192" spans="1:1">
      <c r="A192" s="24"/>
    </row>
    <row r="193" spans="1:1">
      <c r="A193" s="24"/>
    </row>
    <row r="194" spans="1:1">
      <c r="A194" s="24"/>
    </row>
    <row r="195" spans="1:1">
      <c r="A195" s="24"/>
    </row>
    <row r="196" spans="1:1">
      <c r="A196" s="24"/>
    </row>
    <row r="197" spans="1:1">
      <c r="A197" s="24"/>
    </row>
    <row r="198" spans="1:1">
      <c r="A198" s="24"/>
    </row>
    <row r="199" spans="1:1">
      <c r="A199" s="24"/>
    </row>
    <row r="200" spans="1:1">
      <c r="A200" s="24"/>
    </row>
    <row r="201" spans="1:1">
      <c r="A201" s="24"/>
    </row>
    <row r="202" spans="1:1">
      <c r="A202" s="24"/>
    </row>
    <row r="203" spans="1:1">
      <c r="A203" s="24"/>
    </row>
    <row r="204" spans="1:1">
      <c r="A204" s="24"/>
    </row>
    <row r="205" spans="1:1">
      <c r="A205" s="24"/>
    </row>
    <row r="206" spans="1:1">
      <c r="A206" s="24"/>
    </row>
    <row r="207" spans="1:1">
      <c r="A207" s="24"/>
    </row>
    <row r="208" spans="1:1">
      <c r="A208" s="24"/>
    </row>
    <row r="209" spans="1:1">
      <c r="A209" s="24"/>
    </row>
    <row r="210" spans="1:1">
      <c r="A210" s="24"/>
    </row>
    <row r="211" spans="1:1">
      <c r="A211" s="24"/>
    </row>
    <row r="212" spans="1:1">
      <c r="A212" s="24"/>
    </row>
    <row r="213" spans="1:1">
      <c r="A213" s="24"/>
    </row>
    <row r="214" spans="1:1">
      <c r="A214" s="24"/>
    </row>
    <row r="215" spans="1:1">
      <c r="A215" s="24"/>
    </row>
    <row r="216" spans="1:1">
      <c r="A216" s="24"/>
    </row>
    <row r="217" spans="1:1">
      <c r="A217" s="24"/>
    </row>
    <row r="218" spans="1:1">
      <c r="A218" s="24"/>
    </row>
    <row r="219" spans="1:1">
      <c r="A219" s="24"/>
    </row>
    <row r="220" spans="1:1">
      <c r="A220" s="24"/>
    </row>
    <row r="221" spans="1:1">
      <c r="A221" s="24"/>
    </row>
    <row r="222" spans="1:1">
      <c r="A222" s="24"/>
    </row>
    <row r="223" spans="1:1">
      <c r="A223" s="24"/>
    </row>
    <row r="224" spans="1:1">
      <c r="A224" s="24"/>
    </row>
    <row r="225" spans="1:1">
      <c r="A225" s="24"/>
    </row>
    <row r="226" spans="1:1">
      <c r="A226" s="24"/>
    </row>
    <row r="227" spans="1:1">
      <c r="A227" s="24"/>
    </row>
    <row r="228" spans="1:1">
      <c r="A228" s="24"/>
    </row>
    <row r="229" spans="1:1">
      <c r="A229" s="24"/>
    </row>
    <row r="230" spans="1:1">
      <c r="A230" s="24"/>
    </row>
    <row r="231" spans="1:1">
      <c r="A231" s="24"/>
    </row>
    <row r="232" spans="1:1">
      <c r="A232" s="24"/>
    </row>
    <row r="233" spans="1:1">
      <c r="A233" s="24"/>
    </row>
    <row r="234" spans="1:1">
      <c r="A234" s="24"/>
    </row>
    <row r="235" spans="1:1">
      <c r="A235" s="24"/>
    </row>
    <row r="236" spans="1:1">
      <c r="A236" s="24"/>
    </row>
    <row r="237" spans="1:1">
      <c r="A237" s="24"/>
    </row>
    <row r="238" spans="1:1">
      <c r="A238" s="24"/>
    </row>
    <row r="239" spans="1:1">
      <c r="A239" s="24"/>
    </row>
    <row r="240" spans="1:1">
      <c r="A240" s="24"/>
    </row>
    <row r="241" spans="1:1">
      <c r="A241" s="24"/>
    </row>
    <row r="242" spans="1:1">
      <c r="A242" s="24"/>
    </row>
    <row r="243" spans="1:1">
      <c r="A243" s="24"/>
    </row>
    <row r="244" spans="1:1">
      <c r="A244" s="24"/>
    </row>
    <row r="245" spans="1:1">
      <c r="A245" s="24"/>
    </row>
    <row r="246" spans="1:1">
      <c r="A246" s="24"/>
    </row>
    <row r="247" spans="1:1">
      <c r="A247" s="24"/>
    </row>
    <row r="248" spans="1:1">
      <c r="A248" s="24"/>
    </row>
    <row r="249" spans="1:1">
      <c r="A249" s="24"/>
    </row>
    <row r="250" spans="1:1">
      <c r="A250" s="24"/>
    </row>
    <row r="251" spans="1:1">
      <c r="A251" s="24"/>
    </row>
    <row r="252" spans="1:1">
      <c r="A252" s="24"/>
    </row>
    <row r="253" spans="1:1">
      <c r="A253" s="24"/>
    </row>
    <row r="254" spans="1:1">
      <c r="A254" s="24"/>
    </row>
    <row r="255" spans="1:1">
      <c r="A255" s="24"/>
    </row>
    <row r="256" spans="1:1">
      <c r="A256" s="24"/>
    </row>
    <row r="257" spans="1:1">
      <c r="A257" s="24"/>
    </row>
    <row r="258" spans="1:1">
      <c r="A258" s="24"/>
    </row>
    <row r="259" spans="1:1">
      <c r="A259" s="24"/>
    </row>
    <row r="260" spans="1:1">
      <c r="A260" s="24"/>
    </row>
    <row r="261" spans="1:1">
      <c r="A261" s="24"/>
    </row>
    <row r="262" spans="1:1">
      <c r="A262" s="24"/>
    </row>
    <row r="263" spans="1:1">
      <c r="A263" s="24"/>
    </row>
    <row r="264" spans="1:1">
      <c r="A264" s="24"/>
    </row>
    <row r="265" spans="1:1">
      <c r="A265" s="24"/>
    </row>
    <row r="266" spans="1:1">
      <c r="A266" s="24"/>
    </row>
    <row r="267" spans="1:1">
      <c r="A267" s="24"/>
    </row>
    <row r="268" spans="1:1">
      <c r="A268" s="24"/>
    </row>
    <row r="269" spans="1:1">
      <c r="A269" s="24"/>
    </row>
    <row r="270" spans="1:1">
      <c r="A270" s="24"/>
    </row>
    <row r="271" spans="1:1">
      <c r="A271" s="24"/>
    </row>
    <row r="272" spans="1:1">
      <c r="A272" s="24"/>
    </row>
    <row r="273" spans="1:1">
      <c r="A273" s="24"/>
    </row>
    <row r="274" spans="1:1">
      <c r="A274" s="24"/>
    </row>
    <row r="275" spans="1:1">
      <c r="A275" s="24"/>
    </row>
    <row r="276" spans="1:1">
      <c r="A276" s="24"/>
    </row>
    <row r="277" spans="1:1">
      <c r="A277" s="24"/>
    </row>
    <row r="278" spans="1:1">
      <c r="A278" s="24"/>
    </row>
    <row r="279" spans="1:1">
      <c r="A279" s="24"/>
    </row>
    <row r="280" spans="1:1">
      <c r="A280" s="24"/>
    </row>
    <row r="281" spans="1:1">
      <c r="A281" s="24"/>
    </row>
    <row r="282" spans="1:1">
      <c r="A282" s="24"/>
    </row>
    <row r="283" spans="1:1">
      <c r="A283" s="24"/>
    </row>
    <row r="284" spans="1:1">
      <c r="A284" s="24"/>
    </row>
    <row r="285" spans="1:1">
      <c r="A285" s="24"/>
    </row>
    <row r="286" spans="1:1">
      <c r="A286" s="24"/>
    </row>
    <row r="287" spans="1:1">
      <c r="A287" s="24"/>
    </row>
    <row r="288" spans="1:1">
      <c r="A288" s="24"/>
    </row>
    <row r="289" spans="1:1">
      <c r="A289" s="24"/>
    </row>
    <row r="290" spans="1:1">
      <c r="A290" s="24"/>
    </row>
    <row r="291" spans="1:1">
      <c r="A291" s="24"/>
    </row>
    <row r="292" spans="1:1">
      <c r="A292" s="24"/>
    </row>
    <row r="293" spans="1:1">
      <c r="A293" s="24"/>
    </row>
    <row r="294" spans="1:1">
      <c r="A294" s="24"/>
    </row>
    <row r="295" spans="1:1">
      <c r="A295" s="24"/>
    </row>
    <row r="296" spans="1:1">
      <c r="A296" s="24"/>
    </row>
    <row r="297" spans="1:1">
      <c r="A297" s="24"/>
    </row>
    <row r="298" spans="1:1">
      <c r="A298" s="24"/>
    </row>
    <row r="299" spans="1:1">
      <c r="A299" s="24"/>
    </row>
    <row r="300" spans="1:1">
      <c r="A300" s="24"/>
    </row>
    <row r="301" spans="1:1">
      <c r="A301" s="24"/>
    </row>
    <row r="302" spans="1:1">
      <c r="A302" s="24"/>
    </row>
    <row r="303" spans="1:1">
      <c r="A303" s="24"/>
    </row>
    <row r="304" spans="1:1">
      <c r="A304" s="24"/>
    </row>
    <row r="305" spans="1:1">
      <c r="A305" s="24"/>
    </row>
    <row r="306" spans="1:1">
      <c r="A306" s="24"/>
    </row>
    <row r="307" spans="1:1">
      <c r="A307" s="24"/>
    </row>
    <row r="308" spans="1:1">
      <c r="A308" s="24"/>
    </row>
    <row r="309" spans="1:1">
      <c r="A309" s="24"/>
    </row>
    <row r="310" spans="1:1">
      <c r="A310" s="24"/>
    </row>
    <row r="311" spans="1:1">
      <c r="A311" s="24"/>
    </row>
    <row r="312" spans="1:1">
      <c r="A312" s="24"/>
    </row>
    <row r="313" spans="1:1">
      <c r="A313" s="24"/>
    </row>
    <row r="314" spans="1:1">
      <c r="A314" s="24"/>
    </row>
    <row r="315" spans="1:1">
      <c r="A315" s="24"/>
    </row>
    <row r="316" spans="1:1">
      <c r="A316" s="24"/>
    </row>
    <row r="317" spans="1:1">
      <c r="A317" s="24"/>
    </row>
    <row r="318" spans="1:1">
      <c r="A318" s="24"/>
    </row>
    <row r="319" spans="1:1">
      <c r="A319" s="24"/>
    </row>
    <row r="320" spans="1:1">
      <c r="A320" s="24"/>
    </row>
    <row r="321" spans="1:1">
      <c r="A321" s="24"/>
    </row>
    <row r="322" spans="1:1">
      <c r="A322" s="24"/>
    </row>
    <row r="323" spans="1:1">
      <c r="A323" s="24"/>
    </row>
    <row r="324" spans="1:1">
      <c r="A324" s="24"/>
    </row>
    <row r="325" spans="1:1">
      <c r="A325" s="24"/>
    </row>
    <row r="326" spans="1:1">
      <c r="A326" s="24"/>
    </row>
    <row r="327" spans="1:1">
      <c r="A327" s="24"/>
    </row>
    <row r="328" spans="1:1">
      <c r="A328" s="24"/>
    </row>
    <row r="329" spans="1:1">
      <c r="A329" s="24"/>
    </row>
    <row r="330" spans="1:1">
      <c r="A330" s="24"/>
    </row>
    <row r="331" spans="1:1">
      <c r="A331" s="24"/>
    </row>
    <row r="332" spans="1:1">
      <c r="A332" s="24"/>
    </row>
    <row r="333" spans="1:1">
      <c r="A333" s="24"/>
    </row>
    <row r="334" spans="1:1">
      <c r="A334" s="24"/>
    </row>
    <row r="335" spans="1:1">
      <c r="A335" s="24"/>
    </row>
    <row r="336" spans="1:1">
      <c r="A336" s="24"/>
    </row>
    <row r="337" spans="1:1">
      <c r="A337" s="24"/>
    </row>
    <row r="338" spans="1:1">
      <c r="A338" s="24"/>
    </row>
    <row r="339" spans="1:1">
      <c r="A339" s="24"/>
    </row>
    <row r="340" spans="1:1">
      <c r="A340" s="24"/>
    </row>
    <row r="341" spans="1:1">
      <c r="A341" s="24"/>
    </row>
    <row r="342" spans="1:1">
      <c r="A342" s="24"/>
    </row>
    <row r="343" spans="1:1">
      <c r="A343" s="24"/>
    </row>
    <row r="344" spans="1:1">
      <c r="A344" s="24"/>
    </row>
    <row r="345" spans="1:1">
      <c r="A345" s="24"/>
    </row>
    <row r="346" spans="1:1">
      <c r="A346" s="24"/>
    </row>
    <row r="347" spans="1:1">
      <c r="A347" s="24"/>
    </row>
    <row r="348" spans="1:1">
      <c r="A348" s="24"/>
    </row>
    <row r="349" spans="1:1">
      <c r="A349" s="24"/>
    </row>
    <row r="350" spans="1:1">
      <c r="A350" s="24"/>
    </row>
    <row r="351" spans="1:1">
      <c r="A351" s="24"/>
    </row>
    <row r="352" spans="1:1">
      <c r="A352" s="24"/>
    </row>
    <row r="353" spans="1:1">
      <c r="A353" s="24"/>
    </row>
    <row r="354" spans="1:1">
      <c r="A354" s="24"/>
    </row>
    <row r="355" spans="1:1">
      <c r="A355" s="24"/>
    </row>
    <row r="356" spans="1:1">
      <c r="A356" s="24"/>
    </row>
    <row r="357" spans="1:1">
      <c r="A357" s="24"/>
    </row>
    <row r="358" spans="1:1">
      <c r="A358" s="24"/>
    </row>
    <row r="359" spans="1:1">
      <c r="A359" s="24"/>
    </row>
    <row r="360" spans="1:1">
      <c r="A360" s="24"/>
    </row>
    <row r="361" spans="1:1">
      <c r="A361" s="24"/>
    </row>
    <row r="362" spans="1:1">
      <c r="A362" s="24"/>
    </row>
    <row r="363" spans="1:1">
      <c r="A363" s="24"/>
    </row>
    <row r="364" spans="1:1">
      <c r="A364" s="24"/>
    </row>
    <row r="365" spans="1:1">
      <c r="A365" s="24"/>
    </row>
    <row r="366" spans="1:1">
      <c r="A366" s="24"/>
    </row>
    <row r="367" spans="1:1">
      <c r="A367" s="24"/>
    </row>
    <row r="368" spans="1:1">
      <c r="A368" s="24"/>
    </row>
    <row r="369" spans="1:1">
      <c r="A369" s="24"/>
    </row>
    <row r="370" spans="1:1">
      <c r="A370" s="24"/>
    </row>
    <row r="371" spans="1:1">
      <c r="A371" s="24"/>
    </row>
    <row r="372" spans="1:1">
      <c r="A372" s="24"/>
    </row>
    <row r="373" spans="1:1">
      <c r="A373" s="24"/>
    </row>
    <row r="374" spans="1:1">
      <c r="A374" s="24"/>
    </row>
    <row r="375" spans="1:1">
      <c r="A375" s="24"/>
    </row>
    <row r="376" spans="1:1">
      <c r="A376" s="24"/>
    </row>
    <row r="377" spans="1:1">
      <c r="A377" s="24"/>
    </row>
    <row r="378" spans="1:1">
      <c r="A378" s="24"/>
    </row>
    <row r="379" spans="1:1">
      <c r="A379" s="24"/>
    </row>
    <row r="380" spans="1:1">
      <c r="A380" s="24"/>
    </row>
    <row r="381" spans="1:1">
      <c r="A381" s="24"/>
    </row>
    <row r="382" spans="1:1">
      <c r="A382" s="24"/>
    </row>
    <row r="383" spans="1:1">
      <c r="A383" s="24"/>
    </row>
    <row r="384" spans="1:1">
      <c r="A384" s="24"/>
    </row>
    <row r="385" spans="1:1">
      <c r="A385" s="24"/>
    </row>
    <row r="386" spans="1:1">
      <c r="A386" s="24"/>
    </row>
    <row r="387" spans="1:1">
      <c r="A387" s="24"/>
    </row>
    <row r="388" spans="1:1">
      <c r="A388" s="24"/>
    </row>
    <row r="389" spans="1:1">
      <c r="A389" s="24"/>
    </row>
    <row r="390" spans="1:1">
      <c r="A390" s="24"/>
    </row>
    <row r="391" spans="1:1">
      <c r="A391" s="24"/>
    </row>
    <row r="392" spans="1:1">
      <c r="A392" s="24"/>
    </row>
    <row r="393" spans="1:1">
      <c r="A393" s="24"/>
    </row>
    <row r="394" spans="1:1">
      <c r="A394" s="24"/>
    </row>
    <row r="395" spans="1:1">
      <c r="A395" s="24"/>
    </row>
    <row r="396" spans="1:1">
      <c r="A396" s="24"/>
    </row>
    <row r="397" spans="1:1">
      <c r="A397" s="24"/>
    </row>
    <row r="398" spans="1:1">
      <c r="A398" s="24"/>
    </row>
    <row r="399" spans="1:1">
      <c r="A399" s="24"/>
    </row>
    <row r="400" spans="1:1">
      <c r="A400" s="24"/>
    </row>
    <row r="401" spans="1:1">
      <c r="A401" s="24"/>
    </row>
    <row r="402" spans="1:1">
      <c r="A402" s="24"/>
    </row>
    <row r="403" spans="1:1">
      <c r="A403" s="24"/>
    </row>
    <row r="404" spans="1:1">
      <c r="A404" s="24"/>
    </row>
    <row r="405" spans="1:1">
      <c r="A405" s="24"/>
    </row>
    <row r="406" spans="1:1">
      <c r="A406" s="24"/>
    </row>
    <row r="407" spans="1:1">
      <c r="A407" s="24"/>
    </row>
    <row r="408" spans="1:1">
      <c r="A408" s="24"/>
    </row>
    <row r="409" spans="1:1">
      <c r="A409" s="24"/>
    </row>
    <row r="410" spans="1:1">
      <c r="A410" s="24"/>
    </row>
    <row r="411" spans="1:1">
      <c r="A411" s="24"/>
    </row>
    <row r="412" spans="1:1">
      <c r="A412" s="24"/>
    </row>
    <row r="413" spans="1:1">
      <c r="A413" s="24"/>
    </row>
    <row r="414" spans="1:1">
      <c r="A414" s="24"/>
    </row>
    <row r="415" spans="1:1">
      <c r="A415" s="24"/>
    </row>
    <row r="416" spans="1:1">
      <c r="A416" s="24"/>
    </row>
    <row r="417" spans="1:1">
      <c r="A417" s="24"/>
    </row>
    <row r="418" spans="1:1">
      <c r="A418" s="24"/>
    </row>
    <row r="419" spans="1:1">
      <c r="A419" s="24"/>
    </row>
    <row r="420" spans="1:1">
      <c r="A420" s="24"/>
    </row>
    <row r="421" spans="1:1">
      <c r="A421" s="24"/>
    </row>
    <row r="422" spans="1:1">
      <c r="A422" s="24"/>
    </row>
    <row r="423" spans="1:1">
      <c r="A423" s="24"/>
    </row>
    <row r="424" spans="1:1">
      <c r="A424" s="24"/>
    </row>
    <row r="425" spans="1:1">
      <c r="A425" s="24"/>
    </row>
    <row r="426" spans="1:1">
      <c r="A426" s="24"/>
    </row>
    <row r="427" spans="1:1">
      <c r="A427" s="24"/>
    </row>
    <row r="428" spans="1:1">
      <c r="A428" s="24"/>
    </row>
    <row r="429" spans="1:1">
      <c r="A429" s="24"/>
    </row>
    <row r="430" spans="1:1">
      <c r="A430" s="24"/>
    </row>
    <row r="431" spans="1:1">
      <c r="A431" s="24"/>
    </row>
    <row r="432" spans="1:1">
      <c r="A432" s="24"/>
    </row>
    <row r="433" spans="1:1">
      <c r="A433" s="24"/>
    </row>
    <row r="434" spans="1:1">
      <c r="A434" s="24"/>
    </row>
    <row r="435" spans="1:1">
      <c r="A435" s="24"/>
    </row>
    <row r="436" spans="1:1">
      <c r="A436" s="24"/>
    </row>
    <row r="437" spans="1:1">
      <c r="A437" s="24"/>
    </row>
    <row r="438" spans="1:1">
      <c r="A438" s="24"/>
    </row>
    <row r="439" spans="1:1">
      <c r="A439" s="24"/>
    </row>
    <row r="440" spans="1:1">
      <c r="A440" s="24"/>
    </row>
    <row r="441" spans="1:1">
      <c r="A441" s="24"/>
    </row>
    <row r="442" spans="1:1">
      <c r="A442" s="24"/>
    </row>
    <row r="443" spans="1:1">
      <c r="A443" s="24"/>
    </row>
    <row r="444" spans="1:1">
      <c r="A444" s="24"/>
    </row>
    <row r="445" spans="1:1">
      <c r="A445" s="24"/>
    </row>
    <row r="446" spans="1:1">
      <c r="A446" s="24"/>
    </row>
    <row r="447" spans="1:1">
      <c r="A447" s="24"/>
    </row>
    <row r="448" spans="1:1">
      <c r="A448" s="24"/>
    </row>
    <row r="449" spans="1:1">
      <c r="A449" s="24"/>
    </row>
    <row r="450" spans="1:1">
      <c r="A450" s="24"/>
    </row>
    <row r="451" spans="1:1">
      <c r="A451" s="24"/>
    </row>
    <row r="452" spans="1:1">
      <c r="A452" s="24"/>
    </row>
    <row r="453" spans="1:1">
      <c r="A453" s="24"/>
    </row>
    <row r="454" spans="1:1">
      <c r="A454" s="24"/>
    </row>
    <row r="455" spans="1:1">
      <c r="A455" s="24"/>
    </row>
    <row r="456" spans="1:1">
      <c r="A456" s="24"/>
    </row>
    <row r="457" spans="1:1">
      <c r="A457" s="24"/>
    </row>
    <row r="458" spans="1:1">
      <c r="A458" s="24"/>
    </row>
    <row r="459" spans="1:1">
      <c r="A459" s="24"/>
    </row>
    <row r="460" spans="1:1">
      <c r="A460" s="24"/>
    </row>
    <row r="461" spans="1:1">
      <c r="A461" s="24"/>
    </row>
    <row r="462" spans="1:1">
      <c r="A462" s="24"/>
    </row>
    <row r="463" spans="1:1">
      <c r="A463" s="24"/>
    </row>
    <row r="464" spans="1:1">
      <c r="A464" s="24"/>
    </row>
    <row r="465" spans="1:1">
      <c r="A465" s="24"/>
    </row>
    <row r="466" spans="1:1">
      <c r="A466" s="24"/>
    </row>
    <row r="467" spans="1:1">
      <c r="A467" s="24"/>
    </row>
    <row r="468" spans="1:1">
      <c r="A468" s="24"/>
    </row>
    <row r="469" spans="1:1">
      <c r="A469" s="24"/>
    </row>
    <row r="470" spans="1:1">
      <c r="A470" s="24"/>
    </row>
    <row r="471" spans="1:1">
      <c r="A471" s="24"/>
    </row>
    <row r="472" spans="1:1">
      <c r="A472" s="24"/>
    </row>
    <row r="473" spans="1:1">
      <c r="A473" s="24"/>
    </row>
    <row r="474" spans="1:1">
      <c r="A474" s="24"/>
    </row>
    <row r="475" spans="1:1">
      <c r="A475" s="24"/>
    </row>
    <row r="476" spans="1:1">
      <c r="A476" s="24"/>
    </row>
    <row r="477" spans="1:1">
      <c r="A477" s="24"/>
    </row>
    <row r="478" spans="1:1">
      <c r="A478" s="24"/>
    </row>
    <row r="479" spans="1:1">
      <c r="A479" s="24"/>
    </row>
    <row r="480" spans="1:1">
      <c r="A480" s="24"/>
    </row>
    <row r="481" spans="1:1">
      <c r="A481" s="24"/>
    </row>
    <row r="482" spans="1:1">
      <c r="A482" s="24"/>
    </row>
    <row r="483" spans="1:1">
      <c r="A483" s="24"/>
    </row>
    <row r="484" spans="1:1">
      <c r="A484" s="24"/>
    </row>
    <row r="485" spans="1:1">
      <c r="A485" s="24"/>
    </row>
    <row r="486" spans="1:1">
      <c r="A486" s="24"/>
    </row>
    <row r="487" spans="1:1">
      <c r="A487" s="24"/>
    </row>
    <row r="488" spans="1:1">
      <c r="A488" s="24"/>
    </row>
    <row r="489" spans="1:1">
      <c r="A489" s="24"/>
    </row>
    <row r="490" spans="1:1">
      <c r="A490" s="24"/>
    </row>
    <row r="491" spans="1:1">
      <c r="A491" s="24"/>
    </row>
    <row r="492" spans="1:1">
      <c r="A492" s="24"/>
    </row>
    <row r="493" spans="1:1">
      <c r="A493" s="24"/>
    </row>
    <row r="494" spans="1:1">
      <c r="A494" s="24"/>
    </row>
    <row r="495" spans="1:1">
      <c r="A495" s="24"/>
    </row>
    <row r="496" spans="1:1">
      <c r="A496" s="24"/>
    </row>
    <row r="497" spans="1:1">
      <c r="A497" s="24"/>
    </row>
    <row r="498" spans="1:1">
      <c r="A498" s="24"/>
    </row>
    <row r="499" spans="1:1">
      <c r="A499" s="24"/>
    </row>
    <row r="500" spans="1:1">
      <c r="A500" s="24"/>
    </row>
    <row r="501" spans="1:1">
      <c r="A501" s="24"/>
    </row>
    <row r="502" spans="1:1">
      <c r="A502" s="24"/>
    </row>
    <row r="503" spans="1:1">
      <c r="A503" s="24"/>
    </row>
    <row r="504" spans="1:1">
      <c r="A504" s="24"/>
    </row>
    <row r="505" spans="1:1">
      <c r="A505" s="24"/>
    </row>
    <row r="506" spans="1:1">
      <c r="A506" s="24"/>
    </row>
    <row r="507" spans="1:1">
      <c r="A507" s="24"/>
    </row>
    <row r="508" spans="1:1">
      <c r="A508" s="24"/>
    </row>
    <row r="509" spans="1:1">
      <c r="A509" s="24"/>
    </row>
    <row r="510" spans="1:1">
      <c r="A510" s="24"/>
    </row>
    <row r="511" spans="1:1">
      <c r="A511" s="24"/>
    </row>
    <row r="512" spans="1:1">
      <c r="A512" s="24"/>
    </row>
    <row r="513" spans="1:1">
      <c r="A513" s="24"/>
    </row>
    <row r="514" spans="1:1">
      <c r="A514" s="24"/>
    </row>
    <row r="515" spans="1:1">
      <c r="A515" s="24"/>
    </row>
    <row r="516" spans="1:1">
      <c r="A516" s="24"/>
    </row>
    <row r="517" spans="1:1">
      <c r="A517" s="24"/>
    </row>
    <row r="518" spans="1:1">
      <c r="A518" s="24"/>
    </row>
    <row r="519" spans="1:1">
      <c r="A519" s="24"/>
    </row>
    <row r="520" spans="1:1">
      <c r="A520" s="24"/>
    </row>
    <row r="521" spans="1:1">
      <c r="A521" s="24"/>
    </row>
    <row r="522" spans="1:1">
      <c r="A522" s="24"/>
    </row>
    <row r="523" spans="1:1">
      <c r="A523" s="24"/>
    </row>
    <row r="524" spans="1:1">
      <c r="A524" s="24"/>
    </row>
    <row r="525" spans="1:1">
      <c r="A525" s="24"/>
    </row>
    <row r="526" spans="1:1">
      <c r="A526" s="24"/>
    </row>
    <row r="527" spans="1:1">
      <c r="A527" s="24"/>
    </row>
    <row r="528" spans="1:1">
      <c r="A528" s="24"/>
    </row>
    <row r="529" spans="1:1">
      <c r="A529" s="24"/>
    </row>
    <row r="530" spans="1:1">
      <c r="A530" s="24"/>
    </row>
    <row r="531" spans="1:1">
      <c r="A531" s="24"/>
    </row>
    <row r="532" spans="1:1">
      <c r="A532" s="24"/>
    </row>
    <row r="533" spans="1:1">
      <c r="A533" s="24"/>
    </row>
    <row r="534" spans="1:1">
      <c r="A534" s="24"/>
    </row>
    <row r="535" spans="1:1">
      <c r="A535" s="24"/>
    </row>
    <row r="536" spans="1:1">
      <c r="A536" s="24"/>
    </row>
    <row r="537" spans="1:1">
      <c r="A537" s="24"/>
    </row>
    <row r="538" spans="1:1">
      <c r="A538" s="24"/>
    </row>
    <row r="539" spans="1:1">
      <c r="A539" s="24"/>
    </row>
    <row r="540" spans="1:1">
      <c r="A540" s="24"/>
    </row>
    <row r="541" spans="1:1">
      <c r="A541" s="24"/>
    </row>
    <row r="542" spans="1:1">
      <c r="A542" s="24"/>
    </row>
    <row r="543" spans="1:1">
      <c r="A543" s="24"/>
    </row>
    <row r="544" spans="1:1">
      <c r="A544" s="24"/>
    </row>
    <row r="545" spans="1:1">
      <c r="A545" s="24"/>
    </row>
    <row r="546" spans="1:1">
      <c r="A546" s="24"/>
    </row>
    <row r="547" spans="1:1">
      <c r="A547" s="24"/>
    </row>
    <row r="548" spans="1:1">
      <c r="A548" s="24"/>
    </row>
    <row r="549" spans="1:1">
      <c r="A549" s="24"/>
    </row>
    <row r="550" spans="1:1">
      <c r="A550" s="24"/>
    </row>
    <row r="551" spans="1:1">
      <c r="A551" s="24"/>
    </row>
    <row r="552" spans="1:1">
      <c r="A552" s="24"/>
    </row>
    <row r="553" spans="1:1">
      <c r="A553" s="24"/>
    </row>
    <row r="554" spans="1:1">
      <c r="A554" s="24"/>
    </row>
    <row r="555" spans="1:1">
      <c r="A555" s="24"/>
    </row>
    <row r="556" spans="1:1">
      <c r="A556" s="24"/>
    </row>
    <row r="557" spans="1:1">
      <c r="A557" s="24"/>
    </row>
    <row r="558" spans="1:1">
      <c r="A558" s="24"/>
    </row>
    <row r="559" spans="1:1">
      <c r="A559" s="24"/>
    </row>
    <row r="560" spans="1:1">
      <c r="A560" s="24"/>
    </row>
    <row r="561" spans="1:1">
      <c r="A561" s="24"/>
    </row>
    <row r="562" spans="1:1">
      <c r="A562" s="24"/>
    </row>
    <row r="563" spans="1:1">
      <c r="A563" s="24"/>
    </row>
    <row r="564" spans="1:1">
      <c r="A564" s="24"/>
    </row>
    <row r="565" spans="1:1">
      <c r="A565" s="24"/>
    </row>
    <row r="566" spans="1:1">
      <c r="A566" s="24"/>
    </row>
    <row r="567" spans="1:1">
      <c r="A567" s="24"/>
    </row>
    <row r="568" spans="1:1">
      <c r="A568" s="24"/>
    </row>
    <row r="569" spans="1:1">
      <c r="A569" s="24"/>
    </row>
    <row r="570" spans="1:1">
      <c r="A570" s="24"/>
    </row>
    <row r="571" spans="1:1">
      <c r="A571" s="24"/>
    </row>
    <row r="572" spans="1:1">
      <c r="A572" s="24"/>
    </row>
    <row r="573" spans="1:1">
      <c r="A573" s="24"/>
    </row>
    <row r="574" spans="1:1">
      <c r="A574" s="24"/>
    </row>
    <row r="575" spans="1:1">
      <c r="A575" s="24"/>
    </row>
    <row r="576" spans="1:1">
      <c r="A576" s="24"/>
    </row>
    <row r="577" spans="1:1">
      <c r="A577" s="24"/>
    </row>
    <row r="578" spans="1:1">
      <c r="A578" s="24"/>
    </row>
    <row r="579" spans="1:1">
      <c r="A579" s="24"/>
    </row>
    <row r="580" spans="1:1">
      <c r="A580" s="24"/>
    </row>
    <row r="581" spans="1:1">
      <c r="A581" s="24"/>
    </row>
    <row r="582" spans="1:1">
      <c r="A582" s="24"/>
    </row>
    <row r="583" spans="1:1">
      <c r="A583" s="24"/>
    </row>
    <row r="584" spans="1:1">
      <c r="A584" s="24"/>
    </row>
    <row r="585" spans="1:1">
      <c r="A585" s="24"/>
    </row>
    <row r="586" spans="1:1">
      <c r="A586" s="24"/>
    </row>
    <row r="587" spans="1:1">
      <c r="A587" s="24"/>
    </row>
    <row r="588" spans="1:1">
      <c r="A588" s="24"/>
    </row>
    <row r="589" spans="1:1">
      <c r="A589" s="24"/>
    </row>
    <row r="590" spans="1:1">
      <c r="A590" s="24"/>
    </row>
    <row r="591" spans="1:1">
      <c r="A591" s="24"/>
    </row>
    <row r="592" spans="1:1">
      <c r="A592" s="24"/>
    </row>
    <row r="593" spans="1:1">
      <c r="A593" s="24"/>
    </row>
    <row r="594" spans="1:1">
      <c r="A594" s="24"/>
    </row>
    <row r="595" spans="1:1">
      <c r="A595" s="24"/>
    </row>
    <row r="596" spans="1:1">
      <c r="A596" s="24"/>
    </row>
    <row r="597" spans="1:1">
      <c r="A597" s="24"/>
    </row>
    <row r="598" spans="1:1">
      <c r="A598" s="24"/>
    </row>
    <row r="599" spans="1:1">
      <c r="A599" s="24"/>
    </row>
    <row r="600" spans="1:1">
      <c r="A600" s="24"/>
    </row>
    <row r="601" spans="1:1">
      <c r="A601" s="24"/>
    </row>
    <row r="602" spans="1:1">
      <c r="A602" s="24"/>
    </row>
    <row r="603" spans="1:1">
      <c r="A603" s="24"/>
    </row>
    <row r="604" spans="1:1">
      <c r="A604" s="24"/>
    </row>
    <row r="605" spans="1:1">
      <c r="A605" s="24"/>
    </row>
    <row r="606" spans="1:1">
      <c r="A606" s="24"/>
    </row>
    <row r="607" spans="1:1">
      <c r="A607" s="24"/>
    </row>
    <row r="608" spans="1:1">
      <c r="A608" s="24"/>
    </row>
    <row r="609" spans="1:1">
      <c r="A609" s="24"/>
    </row>
    <row r="610" spans="1:1">
      <c r="A610" s="24"/>
    </row>
    <row r="611" spans="1:1">
      <c r="A611" s="24"/>
    </row>
    <row r="612" spans="1:1">
      <c r="A612" s="24"/>
    </row>
    <row r="613" spans="1:1">
      <c r="A613" s="24"/>
    </row>
    <row r="614" spans="1:1">
      <c r="A614" s="24"/>
    </row>
    <row r="615" spans="1:1">
      <c r="A615" s="24"/>
    </row>
    <row r="616" spans="1:1">
      <c r="A616" s="24"/>
    </row>
    <row r="617" spans="1:1">
      <c r="A617" s="24"/>
    </row>
    <row r="618" spans="1:1">
      <c r="A618" s="24"/>
    </row>
    <row r="619" spans="1:1">
      <c r="A619" s="24"/>
    </row>
    <row r="620" spans="1:1">
      <c r="A620" s="24"/>
    </row>
    <row r="621" spans="1:1">
      <c r="A621" s="24"/>
    </row>
    <row r="622" spans="1:1">
      <c r="A622" s="24"/>
    </row>
    <row r="623" spans="1:1">
      <c r="A623" s="24"/>
    </row>
    <row r="624" spans="1:1">
      <c r="A624" s="24"/>
    </row>
    <row r="625" spans="1:1">
      <c r="A625" s="24"/>
    </row>
    <row r="626" spans="1:1">
      <c r="A626" s="24"/>
    </row>
    <row r="627" spans="1:1">
      <c r="A627" s="24"/>
    </row>
    <row r="628" spans="1:1">
      <c r="A628" s="24"/>
    </row>
    <row r="629" spans="1:1">
      <c r="A629" s="24"/>
    </row>
    <row r="630" spans="1:1">
      <c r="A630" s="24"/>
    </row>
    <row r="631" spans="1:1">
      <c r="A631" s="24"/>
    </row>
    <row r="632" spans="1:1">
      <c r="A632" s="24"/>
    </row>
    <row r="633" spans="1:1">
      <c r="A633" s="24"/>
    </row>
    <row r="634" spans="1:1">
      <c r="A634" s="24"/>
    </row>
    <row r="635" spans="1:1">
      <c r="A635" s="24"/>
    </row>
    <row r="636" spans="1:1">
      <c r="A636" s="24"/>
    </row>
    <row r="637" spans="1:1">
      <c r="A637" s="24"/>
    </row>
    <row r="638" spans="1:1">
      <c r="A638" s="24"/>
    </row>
    <row r="639" spans="1:1">
      <c r="A639" s="24"/>
    </row>
    <row r="640" spans="1:1">
      <c r="A640" s="24"/>
    </row>
    <row r="641" spans="1:1">
      <c r="A641" s="24"/>
    </row>
    <row r="642" spans="1:1">
      <c r="A642" s="24"/>
    </row>
    <row r="643" spans="1:1">
      <c r="A643" s="24"/>
    </row>
    <row r="644" spans="1:1">
      <c r="A644" s="24"/>
    </row>
    <row r="645" spans="1:1">
      <c r="A645" s="24"/>
    </row>
    <row r="646" spans="1:1">
      <c r="A646" s="24"/>
    </row>
    <row r="647" spans="1:1">
      <c r="A647" s="24"/>
    </row>
    <row r="648" spans="1:1">
      <c r="A648" s="24"/>
    </row>
    <row r="649" spans="1:1">
      <c r="A649" s="24"/>
    </row>
    <row r="650" spans="1:1">
      <c r="A650" s="24"/>
    </row>
    <row r="651" spans="1:1">
      <c r="A651" s="24"/>
    </row>
    <row r="652" spans="1:1">
      <c r="A652" s="24"/>
    </row>
    <row r="653" spans="1:1">
      <c r="A653" s="24"/>
    </row>
    <row r="654" spans="1:1">
      <c r="A654" s="24"/>
    </row>
    <row r="655" spans="1:1">
      <c r="A655" s="24"/>
    </row>
    <row r="656" spans="1:1">
      <c r="A656" s="24"/>
    </row>
    <row r="657" spans="1:1">
      <c r="A657" s="24"/>
    </row>
    <row r="658" spans="1:1">
      <c r="A658" s="24"/>
    </row>
    <row r="659" spans="1:1">
      <c r="A659" s="24"/>
    </row>
    <row r="660" spans="1:1">
      <c r="A660" s="24"/>
    </row>
    <row r="661" spans="1:1">
      <c r="A661" s="24"/>
    </row>
    <row r="662" spans="1:1">
      <c r="A662" s="24"/>
    </row>
    <row r="663" spans="1:1">
      <c r="A663" s="24"/>
    </row>
    <row r="664" spans="1:1">
      <c r="A664" s="24"/>
    </row>
    <row r="665" spans="1:1">
      <c r="A665" s="24"/>
    </row>
    <row r="666" spans="1:1">
      <c r="A666" s="24"/>
    </row>
    <row r="667" spans="1:1">
      <c r="A667" s="24"/>
    </row>
    <row r="668" spans="1:1">
      <c r="A668" s="24"/>
    </row>
    <row r="669" spans="1:1">
      <c r="A669" s="24"/>
    </row>
    <row r="670" spans="1:1">
      <c r="A670" s="24"/>
    </row>
    <row r="671" spans="1:1">
      <c r="A671" s="24"/>
    </row>
    <row r="672" spans="1:1">
      <c r="A672" s="24"/>
    </row>
    <row r="673" spans="1:1">
      <c r="A673" s="24"/>
    </row>
    <row r="674" spans="1:1">
      <c r="A674" s="24"/>
    </row>
    <row r="675" spans="1:1">
      <c r="A675" s="24"/>
    </row>
    <row r="676" spans="1:1">
      <c r="A676" s="24"/>
    </row>
    <row r="677" spans="1:1">
      <c r="A677" s="24"/>
    </row>
    <row r="678" spans="1:1">
      <c r="A678" s="24"/>
    </row>
    <row r="679" spans="1:1">
      <c r="A679" s="24"/>
    </row>
    <row r="680" spans="1:1">
      <c r="A680" s="24"/>
    </row>
    <row r="681" spans="1:1">
      <c r="A681" s="24"/>
    </row>
    <row r="682" spans="1:1">
      <c r="A682" s="24"/>
    </row>
    <row r="683" spans="1:1">
      <c r="A683" s="24"/>
    </row>
    <row r="684" spans="1:1">
      <c r="A684" s="24"/>
    </row>
    <row r="685" spans="1:1">
      <c r="A685" s="24"/>
    </row>
    <row r="686" spans="1:1">
      <c r="A686" s="24"/>
    </row>
    <row r="687" spans="1:1">
      <c r="A687" s="24"/>
    </row>
    <row r="688" spans="1:1">
      <c r="A688" s="24"/>
    </row>
    <row r="689" spans="1:1">
      <c r="A689" s="24"/>
    </row>
    <row r="690" spans="1:1">
      <c r="A690" s="24"/>
    </row>
    <row r="691" spans="1:1">
      <c r="A691" s="24"/>
    </row>
    <row r="692" spans="1:1">
      <c r="A692" s="24"/>
    </row>
    <row r="693" spans="1:1">
      <c r="A693" s="24"/>
    </row>
    <row r="694" spans="1:1">
      <c r="A694" s="24"/>
    </row>
    <row r="695" spans="1:1">
      <c r="A695" s="24"/>
    </row>
    <row r="696" spans="1:1">
      <c r="A696" s="24"/>
    </row>
    <row r="697" spans="1:1">
      <c r="A697" s="24"/>
    </row>
    <row r="698" spans="1:1">
      <c r="A698" s="24"/>
    </row>
    <row r="699" spans="1:1">
      <c r="A699" s="24"/>
    </row>
    <row r="700" spans="1:1">
      <c r="A700" s="24"/>
    </row>
    <row r="701" spans="1:1">
      <c r="A701" s="24"/>
    </row>
    <row r="702" spans="1:1">
      <c r="A702" s="24"/>
    </row>
    <row r="703" spans="1:1">
      <c r="A703" s="24"/>
    </row>
    <row r="704" spans="1:1">
      <c r="A704" s="24"/>
    </row>
    <row r="705" spans="1:1">
      <c r="A705" s="24"/>
    </row>
    <row r="706" spans="1:1">
      <c r="A706" s="24"/>
    </row>
    <row r="707" spans="1:1">
      <c r="A707" s="24"/>
    </row>
    <row r="708" spans="1:1">
      <c r="A708" s="24"/>
    </row>
    <row r="709" spans="1:1">
      <c r="A709" s="24"/>
    </row>
    <row r="710" spans="1:1">
      <c r="A710" s="24"/>
    </row>
    <row r="711" spans="1:1">
      <c r="A711" s="24"/>
    </row>
    <row r="712" spans="1:1">
      <c r="A712" s="24"/>
    </row>
    <row r="713" spans="1:1">
      <c r="A713" s="24"/>
    </row>
    <row r="714" spans="1:1">
      <c r="A714" s="24"/>
    </row>
    <row r="715" spans="1:1">
      <c r="A715" s="24"/>
    </row>
    <row r="716" spans="1:1">
      <c r="A716" s="24"/>
    </row>
    <row r="717" spans="1:1">
      <c r="A717" s="24"/>
    </row>
    <row r="718" spans="1:1">
      <c r="A718" s="24"/>
    </row>
    <row r="719" spans="1:1">
      <c r="A719" s="24"/>
    </row>
    <row r="720" spans="1:1">
      <c r="A720" s="24"/>
    </row>
    <row r="721" spans="1:1">
      <c r="A721" s="24"/>
    </row>
    <row r="722" spans="1:1">
      <c r="A722" s="24"/>
    </row>
    <row r="723" spans="1:1">
      <c r="A723" s="24"/>
    </row>
    <row r="724" spans="1:1">
      <c r="A724" s="24"/>
    </row>
    <row r="725" spans="1:1">
      <c r="A725" s="24"/>
    </row>
    <row r="726" spans="1:1">
      <c r="A726" s="24"/>
    </row>
    <row r="727" spans="1:1">
      <c r="A727" s="24"/>
    </row>
    <row r="728" spans="1:1">
      <c r="A728" s="24"/>
    </row>
    <row r="729" spans="1:1">
      <c r="A729" s="24"/>
    </row>
    <row r="730" spans="1:1">
      <c r="A730" s="24"/>
    </row>
    <row r="731" spans="1:1">
      <c r="A731" s="24"/>
    </row>
    <row r="732" spans="1:1">
      <c r="A732" s="24"/>
    </row>
    <row r="733" spans="1:1">
      <c r="A733" s="24"/>
    </row>
    <row r="734" spans="1:1">
      <c r="A734" s="24"/>
    </row>
    <row r="735" spans="1:1">
      <c r="A735" s="24"/>
    </row>
    <row r="736" spans="1:1">
      <c r="A736" s="24"/>
    </row>
    <row r="737" spans="1:1">
      <c r="A737" s="24"/>
    </row>
    <row r="738" spans="1:1">
      <c r="A738" s="24"/>
    </row>
    <row r="739" spans="1:1">
      <c r="A739" s="24"/>
    </row>
    <row r="740" spans="1:1">
      <c r="A740" s="24"/>
    </row>
    <row r="741" spans="1:1">
      <c r="A741" s="24"/>
    </row>
    <row r="742" spans="1:1">
      <c r="A742" s="24"/>
    </row>
    <row r="743" spans="1:1">
      <c r="A743" s="24"/>
    </row>
    <row r="744" spans="1:1">
      <c r="A744" s="24"/>
    </row>
    <row r="745" spans="1:1">
      <c r="A745" s="24"/>
    </row>
    <row r="746" spans="1:1">
      <c r="A746" s="24"/>
    </row>
    <row r="747" spans="1:1">
      <c r="A747" s="24"/>
    </row>
    <row r="748" spans="1:1">
      <c r="A748" s="24"/>
    </row>
    <row r="749" spans="1:1">
      <c r="A749" s="24"/>
    </row>
    <row r="750" spans="1:1">
      <c r="A750" s="24"/>
    </row>
    <row r="751" spans="1:1">
      <c r="A751" s="24"/>
    </row>
    <row r="752" spans="1:1">
      <c r="A752" s="24"/>
    </row>
    <row r="753" spans="1:1">
      <c r="A753" s="24"/>
    </row>
    <row r="754" spans="1:1">
      <c r="A754" s="24"/>
    </row>
    <row r="755" spans="1:1">
      <c r="A755" s="24"/>
    </row>
    <row r="756" spans="1:1">
      <c r="A756" s="24"/>
    </row>
    <row r="757" spans="1:1">
      <c r="A757" s="24"/>
    </row>
    <row r="758" spans="1:1">
      <c r="A758" s="24"/>
    </row>
    <row r="759" spans="1:1">
      <c r="A759" s="24"/>
    </row>
    <row r="760" spans="1:1">
      <c r="A760" s="24"/>
    </row>
    <row r="761" spans="1:1">
      <c r="A761" s="24"/>
    </row>
    <row r="762" spans="1:1">
      <c r="A762" s="24"/>
    </row>
    <row r="763" spans="1:1">
      <c r="A763" s="24"/>
    </row>
    <row r="764" spans="1:1">
      <c r="A764" s="24"/>
    </row>
    <row r="765" spans="1:1">
      <c r="A765" s="24"/>
    </row>
    <row r="766" spans="1:1">
      <c r="A766" s="24"/>
    </row>
    <row r="767" spans="1:1">
      <c r="A767" s="24"/>
    </row>
    <row r="768" spans="1:1">
      <c r="A768" s="24"/>
    </row>
    <row r="769" spans="1:1">
      <c r="A769" s="24"/>
    </row>
    <row r="770" spans="1:1">
      <c r="A770" s="24"/>
    </row>
    <row r="771" spans="1:1">
      <c r="A771" s="24"/>
    </row>
    <row r="772" spans="1:1">
      <c r="A772" s="24"/>
    </row>
    <row r="773" spans="1:1">
      <c r="A773" s="24"/>
    </row>
    <row r="774" spans="1:1">
      <c r="A774" s="24"/>
    </row>
    <row r="775" spans="1:1">
      <c r="A775" s="24"/>
    </row>
    <row r="776" spans="1:1">
      <c r="A776" s="24"/>
    </row>
    <row r="777" spans="1:1">
      <c r="A777" s="24"/>
    </row>
    <row r="778" spans="1:1">
      <c r="A778" s="24"/>
    </row>
    <row r="779" spans="1:1">
      <c r="A779" s="24"/>
    </row>
    <row r="780" spans="1:1">
      <c r="A780" s="24"/>
    </row>
    <row r="781" spans="1:1">
      <c r="A781" s="24"/>
    </row>
    <row r="782" spans="1:1">
      <c r="A782" s="24"/>
    </row>
    <row r="783" spans="1:1">
      <c r="A783" s="24"/>
    </row>
    <row r="784" spans="1:1">
      <c r="A784" s="24"/>
    </row>
    <row r="785" spans="1:1">
      <c r="A785" s="24"/>
    </row>
    <row r="786" spans="1:1">
      <c r="A786" s="24"/>
    </row>
    <row r="787" spans="1:1">
      <c r="A787" s="24"/>
    </row>
    <row r="788" spans="1:1">
      <c r="A788" s="24"/>
    </row>
    <row r="789" spans="1:1">
      <c r="A789" s="24"/>
    </row>
    <row r="790" spans="1:1">
      <c r="A790" s="24"/>
    </row>
    <row r="791" spans="1:1">
      <c r="A791" s="24"/>
    </row>
    <row r="792" spans="1:1">
      <c r="A792" s="24"/>
    </row>
    <row r="793" spans="1:1">
      <c r="A793" s="24"/>
    </row>
    <row r="794" spans="1:1">
      <c r="A794" s="24"/>
    </row>
    <row r="795" spans="1:1">
      <c r="A795" s="24"/>
    </row>
    <row r="796" spans="1:1">
      <c r="A796" s="24"/>
    </row>
    <row r="797" spans="1:1">
      <c r="A797" s="24"/>
    </row>
    <row r="798" spans="1:1">
      <c r="A798" s="24"/>
    </row>
    <row r="799" spans="1:1">
      <c r="A799" s="24"/>
    </row>
    <row r="800" spans="1:1">
      <c r="A800" s="24"/>
    </row>
    <row r="801" spans="1:1">
      <c r="A801" s="24"/>
    </row>
    <row r="802" spans="1:1">
      <c r="A802" s="24"/>
    </row>
    <row r="803" spans="1:1">
      <c r="A803" s="24"/>
    </row>
    <row r="804" spans="1:1">
      <c r="A804" s="24"/>
    </row>
    <row r="805" spans="1:1">
      <c r="A805" s="24"/>
    </row>
    <row r="806" spans="1:1">
      <c r="A806" s="24"/>
    </row>
    <row r="807" spans="1:1">
      <c r="A807" s="24"/>
    </row>
    <row r="808" spans="1:1">
      <c r="A808" s="24"/>
    </row>
    <row r="809" spans="1:1">
      <c r="A809" s="24"/>
    </row>
    <row r="810" spans="1:1">
      <c r="A810" s="24"/>
    </row>
    <row r="811" spans="1:1">
      <c r="A811" s="24"/>
    </row>
    <row r="812" spans="1:1">
      <c r="A812" s="24"/>
    </row>
    <row r="813" spans="1:1">
      <c r="A813" s="24"/>
    </row>
    <row r="814" spans="1:1">
      <c r="A814" s="24"/>
    </row>
    <row r="815" spans="1:1">
      <c r="A815" s="24"/>
    </row>
    <row r="816" spans="1:1">
      <c r="A816" s="24"/>
    </row>
    <row r="817" spans="1:1">
      <c r="A817" s="24"/>
    </row>
    <row r="818" spans="1:1">
      <c r="A818" s="24"/>
    </row>
    <row r="819" spans="1:1">
      <c r="A819" s="24"/>
    </row>
    <row r="820" spans="1:1">
      <c r="A820" s="24"/>
    </row>
    <row r="821" spans="1:1">
      <c r="A821" s="24"/>
    </row>
    <row r="822" spans="1:1">
      <c r="A822" s="24"/>
    </row>
    <row r="823" spans="1:1">
      <c r="A823" s="24"/>
    </row>
    <row r="824" spans="1:1">
      <c r="A824" s="24"/>
    </row>
    <row r="825" spans="1:1">
      <c r="A825" s="24"/>
    </row>
    <row r="826" spans="1:1">
      <c r="A826" s="24"/>
    </row>
    <row r="827" spans="1:1">
      <c r="A827" s="24"/>
    </row>
    <row r="828" spans="1:1">
      <c r="A828" s="24"/>
    </row>
    <row r="829" spans="1:1">
      <c r="A829" s="24"/>
    </row>
    <row r="830" spans="1:1">
      <c r="A830" s="24"/>
    </row>
    <row r="831" spans="1:1">
      <c r="A831" s="24"/>
    </row>
    <row r="832" spans="1:1">
      <c r="A832" s="24"/>
    </row>
    <row r="833" spans="1:1">
      <c r="A833" s="24"/>
    </row>
    <row r="834" spans="1:1">
      <c r="A834" s="24"/>
    </row>
    <row r="835" spans="1:1">
      <c r="A835" s="24"/>
    </row>
    <row r="836" spans="1:1">
      <c r="A836" s="24"/>
    </row>
    <row r="837" spans="1:1">
      <c r="A837" s="24"/>
    </row>
    <row r="838" spans="1:1">
      <c r="A838" s="24"/>
    </row>
    <row r="839" spans="1:1">
      <c r="A839" s="24"/>
    </row>
    <row r="840" spans="1:1">
      <c r="A840" s="24"/>
    </row>
    <row r="841" spans="1:1">
      <c r="A841" s="24"/>
    </row>
    <row r="842" spans="1:1">
      <c r="A842" s="24"/>
    </row>
    <row r="843" spans="1:1">
      <c r="A843" s="24"/>
    </row>
    <row r="844" spans="1:1">
      <c r="A844" s="24"/>
    </row>
    <row r="845" spans="1:1">
      <c r="A845" s="24"/>
    </row>
    <row r="846" spans="1:1">
      <c r="A846" s="24"/>
    </row>
    <row r="847" spans="1:1">
      <c r="A847" s="24"/>
    </row>
    <row r="848" spans="1:1">
      <c r="A848" s="24"/>
    </row>
    <row r="849" spans="1:1">
      <c r="A849" s="24"/>
    </row>
    <row r="850" spans="1:1">
      <c r="A850" s="24"/>
    </row>
    <row r="851" spans="1:1">
      <c r="A851" s="24"/>
    </row>
    <row r="852" spans="1:1">
      <c r="A852" s="24"/>
    </row>
    <row r="853" spans="1:1">
      <c r="A853" s="24"/>
    </row>
    <row r="854" spans="1:1">
      <c r="A854" s="24"/>
    </row>
    <row r="855" spans="1:1">
      <c r="A855" s="24"/>
    </row>
    <row r="856" spans="1:1">
      <c r="A856" s="24"/>
    </row>
    <row r="857" spans="1:1">
      <c r="A857" s="24"/>
    </row>
    <row r="858" spans="1:1">
      <c r="A858" s="24"/>
    </row>
    <row r="859" spans="1:1">
      <c r="A859" s="24"/>
    </row>
    <row r="860" spans="1:1">
      <c r="A860" s="24"/>
    </row>
    <row r="861" spans="1:1">
      <c r="A861" s="24"/>
    </row>
    <row r="862" spans="1:1">
      <c r="A862" s="24"/>
    </row>
    <row r="863" spans="1:1">
      <c r="A863" s="24"/>
    </row>
    <row r="864" spans="1:1">
      <c r="A864" s="24"/>
    </row>
    <row r="865" spans="1:1">
      <c r="A865" s="24"/>
    </row>
    <row r="866" spans="1:1">
      <c r="A866" s="24"/>
    </row>
    <row r="867" spans="1:1">
      <c r="A867" s="24"/>
    </row>
    <row r="868" spans="1:1">
      <c r="A868" s="24"/>
    </row>
    <row r="869" spans="1:1">
      <c r="A869" s="24"/>
    </row>
    <row r="870" spans="1:1">
      <c r="A870" s="24"/>
    </row>
    <row r="871" spans="1:1">
      <c r="A871" s="24"/>
    </row>
    <row r="872" spans="1:1">
      <c r="A872" s="24"/>
    </row>
    <row r="873" spans="1:1">
      <c r="A873" s="24"/>
    </row>
    <row r="874" spans="1:1">
      <c r="A874" s="24"/>
    </row>
    <row r="875" spans="1:1">
      <c r="A875" s="24"/>
    </row>
    <row r="876" spans="1:1">
      <c r="A876" s="24"/>
    </row>
    <row r="877" spans="1:1">
      <c r="A877" s="24"/>
    </row>
    <row r="878" spans="1:1">
      <c r="A878" s="24"/>
    </row>
    <row r="879" spans="1:1">
      <c r="A879" s="24"/>
    </row>
    <row r="880" spans="1:1">
      <c r="A880" s="24"/>
    </row>
    <row r="881" spans="1:1">
      <c r="A881" s="24"/>
    </row>
    <row r="882" spans="1:1">
      <c r="A882" s="24"/>
    </row>
    <row r="883" spans="1:1">
      <c r="A883" s="24"/>
    </row>
    <row r="884" spans="1:1">
      <c r="A884" s="24"/>
    </row>
    <row r="885" spans="1:1">
      <c r="A885" s="24"/>
    </row>
    <row r="886" spans="1:1">
      <c r="A886" s="24"/>
    </row>
    <row r="887" spans="1:1">
      <c r="A887" s="24"/>
    </row>
    <row r="888" spans="1:1">
      <c r="A888" s="24"/>
    </row>
    <row r="889" spans="1:1">
      <c r="A889" s="24"/>
    </row>
    <row r="890" spans="1:1">
      <c r="A890" s="24"/>
    </row>
    <row r="891" spans="1:1">
      <c r="A891" s="24"/>
    </row>
    <row r="892" spans="1:1">
      <c r="A892" s="24"/>
    </row>
    <row r="893" spans="1:1">
      <c r="A893" s="24"/>
    </row>
    <row r="894" spans="1:1">
      <c r="A894" s="24"/>
    </row>
    <row r="895" spans="1:1">
      <c r="A895" s="24"/>
    </row>
    <row r="896" spans="1:1">
      <c r="A896" s="24"/>
    </row>
    <row r="897" spans="1:1">
      <c r="A897" s="24"/>
    </row>
    <row r="898" spans="1:1">
      <c r="A898" s="24"/>
    </row>
    <row r="899" spans="1:1">
      <c r="A899" s="24"/>
    </row>
    <row r="900" spans="1:1">
      <c r="A900" s="24"/>
    </row>
    <row r="901" spans="1:1">
      <c r="A901" s="24"/>
    </row>
    <row r="902" spans="1:1">
      <c r="A902" s="24"/>
    </row>
    <row r="903" spans="1:1">
      <c r="A903" s="24"/>
    </row>
    <row r="904" spans="1:1">
      <c r="A904" s="24"/>
    </row>
    <row r="905" spans="1:1">
      <c r="A905" s="24"/>
    </row>
    <row r="906" spans="1:1">
      <c r="A906" s="24"/>
    </row>
    <row r="907" spans="1:1">
      <c r="A907" s="24"/>
    </row>
    <row r="908" spans="1:1">
      <c r="A908" s="24"/>
    </row>
    <row r="909" spans="1:1">
      <c r="A909" s="24"/>
    </row>
    <row r="910" spans="1:1">
      <c r="A910" s="24"/>
    </row>
    <row r="911" spans="1:1">
      <c r="A911" s="24"/>
    </row>
    <row r="912" spans="1:1">
      <c r="A912" s="24"/>
    </row>
    <row r="913" spans="1:1">
      <c r="A913" s="24"/>
    </row>
    <row r="914" spans="1:1">
      <c r="A914" s="24"/>
    </row>
    <row r="915" spans="1:1">
      <c r="A915" s="24"/>
    </row>
    <row r="916" spans="1:1">
      <c r="A916" s="24"/>
    </row>
    <row r="917" spans="1:1">
      <c r="A917" s="24"/>
    </row>
    <row r="918" spans="1:1">
      <c r="A918" s="24"/>
    </row>
    <row r="919" spans="1:1">
      <c r="A919" s="24"/>
    </row>
    <row r="920" spans="1:1">
      <c r="A920" s="24"/>
    </row>
    <row r="921" spans="1:1">
      <c r="A921" s="24"/>
    </row>
    <row r="922" spans="1:1">
      <c r="A922" s="24"/>
    </row>
    <row r="923" spans="1:1">
      <c r="A923" s="24"/>
    </row>
    <row r="924" spans="1:1">
      <c r="A924" s="24"/>
    </row>
    <row r="925" spans="1:1">
      <c r="A925" s="24"/>
    </row>
    <row r="926" spans="1:1">
      <c r="A926" s="24"/>
    </row>
    <row r="927" spans="1:1">
      <c r="A927" s="24"/>
    </row>
    <row r="928" spans="1:1">
      <c r="A928" s="24"/>
    </row>
    <row r="929" spans="1:1">
      <c r="A929" s="24"/>
    </row>
    <row r="930" spans="1:1">
      <c r="A930" s="24"/>
    </row>
    <row r="931" spans="1:1">
      <c r="A931" s="24"/>
    </row>
    <row r="932" spans="1:1">
      <c r="A932" s="24"/>
    </row>
    <row r="933" spans="1:1">
      <c r="A933" s="24"/>
    </row>
    <row r="934" spans="1:1">
      <c r="A934" s="24"/>
    </row>
    <row r="935" spans="1:1">
      <c r="A935" s="24"/>
    </row>
    <row r="936" spans="1:1">
      <c r="A936" s="24"/>
    </row>
    <row r="937" spans="1:1">
      <c r="A937" s="24"/>
    </row>
    <row r="938" spans="1:1">
      <c r="A938" s="24"/>
    </row>
    <row r="939" spans="1:1">
      <c r="A939" s="24"/>
    </row>
    <row r="940" spans="1:1">
      <c r="A940" s="24"/>
    </row>
    <row r="941" spans="1:1">
      <c r="A941" s="24"/>
    </row>
    <row r="942" spans="1:1">
      <c r="A942" s="24"/>
    </row>
    <row r="943" spans="1:1">
      <c r="A943" s="24"/>
    </row>
    <row r="944" spans="1:1">
      <c r="A944" s="24"/>
    </row>
    <row r="945" spans="1:1">
      <c r="A945" s="24"/>
    </row>
    <row r="946" spans="1:1">
      <c r="A946" s="24"/>
    </row>
    <row r="947" spans="1:1">
      <c r="A947" s="24"/>
    </row>
    <row r="948" spans="1:1">
      <c r="A948" s="24"/>
    </row>
    <row r="949" spans="1:1">
      <c r="A949" s="24"/>
    </row>
    <row r="950" spans="1:1">
      <c r="A950" s="24"/>
    </row>
    <row r="951" spans="1:1">
      <c r="A951" s="24"/>
    </row>
    <row r="952" spans="1:1">
      <c r="A952" s="24"/>
    </row>
    <row r="953" spans="1:1">
      <c r="A953" s="24"/>
    </row>
    <row r="954" spans="1:1">
      <c r="A954" s="24"/>
    </row>
    <row r="955" spans="1:1">
      <c r="A955" s="24"/>
    </row>
    <row r="956" spans="1:1">
      <c r="A956" s="24"/>
    </row>
    <row r="957" spans="1:1">
      <c r="A957" s="24"/>
    </row>
    <row r="958" spans="1:1">
      <c r="A958" s="24"/>
    </row>
    <row r="959" spans="1:1">
      <c r="A959" s="24"/>
    </row>
    <row r="960" spans="1:1">
      <c r="A960" s="24"/>
    </row>
    <row r="961" spans="1:1">
      <c r="A961" s="24"/>
    </row>
    <row r="962" spans="1:1">
      <c r="A962" s="24"/>
    </row>
    <row r="963" spans="1:1">
      <c r="A963" s="24"/>
    </row>
    <row r="964" spans="1:1">
      <c r="A964" s="24"/>
    </row>
    <row r="965" spans="1:1">
      <c r="A965" s="24"/>
    </row>
    <row r="966" spans="1:1">
      <c r="A966" s="24"/>
    </row>
    <row r="967" spans="1:1">
      <c r="A967" s="24"/>
    </row>
    <row r="968" spans="1:1">
      <c r="A968" s="24"/>
    </row>
    <row r="969" spans="1:1">
      <c r="A969" s="24"/>
    </row>
    <row r="970" spans="1:1">
      <c r="A970" s="24"/>
    </row>
    <row r="971" spans="1:1">
      <c r="A971" s="24"/>
    </row>
    <row r="972" spans="1:1">
      <c r="A972" s="24"/>
    </row>
    <row r="973" spans="1:1">
      <c r="A973" s="24"/>
    </row>
    <row r="974" spans="1:1">
      <c r="A974" s="24"/>
    </row>
    <row r="975" spans="1:1">
      <c r="A975" s="24"/>
    </row>
    <row r="976" spans="1:1">
      <c r="A976" s="24"/>
    </row>
    <row r="977" spans="1:1">
      <c r="A977" s="24"/>
    </row>
    <row r="978" spans="1:1">
      <c r="A978" s="24"/>
    </row>
    <row r="979" spans="1:1">
      <c r="A979" s="24"/>
    </row>
    <row r="980" spans="1:1">
      <c r="A980" s="24"/>
    </row>
    <row r="981" spans="1:1">
      <c r="A981" s="24"/>
    </row>
    <row r="982" spans="1:1">
      <c r="A982" s="24"/>
    </row>
    <row r="983" spans="1:1">
      <c r="A983" s="24"/>
    </row>
    <row r="984" spans="1:1">
      <c r="A984" s="24"/>
    </row>
    <row r="985" spans="1:1">
      <c r="A985" s="24"/>
    </row>
    <row r="986" spans="1:1">
      <c r="A986" s="24"/>
    </row>
    <row r="987" spans="1:1">
      <c r="A987" s="24"/>
    </row>
    <row r="988" spans="1:1">
      <c r="A988" s="24"/>
    </row>
    <row r="989" spans="1:1">
      <c r="A989" s="24"/>
    </row>
    <row r="990" spans="1:1">
      <c r="A990" s="24"/>
    </row>
    <row r="991" spans="1:1">
      <c r="A991" s="24"/>
    </row>
    <row r="992" spans="1:1">
      <c r="A992" s="24"/>
    </row>
    <row r="993" spans="1:1">
      <c r="A993" s="24"/>
    </row>
    <row r="994" spans="1:1">
      <c r="A994" s="24"/>
    </row>
    <row r="995" spans="1:1">
      <c r="A995" s="24"/>
    </row>
    <row r="996" spans="1:1">
      <c r="A996" s="24"/>
    </row>
    <row r="997" spans="1:1">
      <c r="A997" s="24"/>
    </row>
    <row r="998" spans="1:1">
      <c r="A998" s="24"/>
    </row>
    <row r="999" spans="1:1">
      <c r="A999" s="24"/>
    </row>
    <row r="1000" spans="1:1">
      <c r="A1000" s="24"/>
    </row>
    <row r="1001" spans="1:1">
      <c r="A1001" s="24"/>
    </row>
    <row r="1002" spans="1:1">
      <c r="A1002" s="24"/>
    </row>
    <row r="1003" spans="1:1">
      <c r="A1003" s="24"/>
    </row>
  </sheetData>
  <mergeCells count="4">
    <mergeCell ref="A1:J1"/>
    <mergeCell ref="L1:P1"/>
    <mergeCell ref="H34:J34"/>
    <mergeCell ref="H35:J35"/>
  </mergeCells>
  <phoneticPr fontId="5" type="noConversion"/>
  <dataValidations count="1">
    <dataValidation type="list" allowBlank="1" showErrorMessage="1" sqref="L2" xr:uid="{B938FF42-6E14-B14D-A122-F08494B00C50}">
      <formula1>"江政隆,吳献堂,林權松"</formula1>
    </dataValidation>
  </dataValidations>
  <pageMargins left="0" right="0" top="0" bottom="0" header="0" footer="0"/>
  <pageSetup paperSize="9" scale="75" orientation="portrait" r:id="rId1"/>
  <ignoredErrors>
    <ignoredError sqref="J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6813-D687-824A-8F25-222427693803}">
  <sheetPr>
    <outlinePr summaryBelow="0" summaryRight="0"/>
  </sheetPr>
  <dimension ref="A1:Z1002"/>
  <sheetViews>
    <sheetView zoomScaleNormal="100" zoomScaleSheetLayoutView="100" workbookViewId="0">
      <pane ySplit="2" topLeftCell="A16" activePane="bottomLeft" state="frozen"/>
      <selection pane="bottomLeft" activeCell="F30" sqref="F30"/>
      <selection activeCell="D1" sqref="D1"/>
    </sheetView>
  </sheetViews>
  <sheetFormatPr defaultColWidth="12.42578125" defaultRowHeight="15.95"/>
  <cols>
    <col min="1" max="1" width="13.7109375" style="2" bestFit="1" customWidth="1"/>
    <col min="2" max="3" width="11.28515625" style="2" bestFit="1" customWidth="1"/>
    <col min="4" max="4" width="11.28515625" style="7" bestFit="1" customWidth="1"/>
    <col min="5" max="5" width="11.28515625" style="2" bestFit="1" customWidth="1"/>
    <col min="6" max="6" width="21.85546875" style="2" customWidth="1"/>
    <col min="7" max="7" width="13.7109375" style="2" bestFit="1" customWidth="1"/>
    <col min="8" max="8" width="14.85546875" style="2" bestFit="1" customWidth="1"/>
    <col min="9" max="10" width="12.42578125" style="2" bestFit="1" customWidth="1"/>
    <col min="11" max="16384" width="12.42578125" style="2"/>
  </cols>
  <sheetData>
    <row r="1" spans="1:26" s="8" customFormat="1" ht="26.1">
      <c r="A1" s="68" t="s">
        <v>36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6" ht="18">
      <c r="A2" s="62" t="s">
        <v>37</v>
      </c>
      <c r="B2" s="62" t="s">
        <v>38</v>
      </c>
      <c r="C2" s="62" t="s">
        <v>39</v>
      </c>
      <c r="D2" s="62" t="s">
        <v>40</v>
      </c>
      <c r="E2" s="62" t="s">
        <v>41</v>
      </c>
      <c r="F2" s="62" t="s">
        <v>42</v>
      </c>
      <c r="G2" s="75" t="s">
        <v>43</v>
      </c>
      <c r="H2" s="75"/>
      <c r="I2" s="75"/>
      <c r="J2" s="75"/>
      <c r="K2" s="7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3">
        <v>45536</v>
      </c>
      <c r="B3" s="14"/>
      <c r="C3" s="14"/>
      <c r="D3" s="15"/>
      <c r="E3" s="14">
        <f>SUM(B3:D3)</f>
        <v>0</v>
      </c>
      <c r="F3" s="19"/>
      <c r="G3" s="76" t="s">
        <v>63</v>
      </c>
      <c r="H3" s="76"/>
      <c r="I3" s="76"/>
      <c r="J3" s="76"/>
      <c r="K3" s="76"/>
    </row>
    <row r="4" spans="1:26" ht="18">
      <c r="A4" s="13">
        <v>45537</v>
      </c>
      <c r="E4" s="14">
        <f t="shared" ref="E4:E32" si="0">SUM(B4:D4)</f>
        <v>0</v>
      </c>
      <c r="G4" s="17"/>
      <c r="H4" s="17"/>
      <c r="I4" s="17"/>
      <c r="J4" s="17"/>
      <c r="K4" s="18"/>
    </row>
    <row r="5" spans="1:26" ht="18">
      <c r="A5" s="13">
        <v>45538</v>
      </c>
      <c r="B5" s="14"/>
      <c r="C5" s="14"/>
      <c r="D5" s="15"/>
      <c r="E5" s="14">
        <f t="shared" si="0"/>
        <v>0</v>
      </c>
      <c r="F5" s="16"/>
      <c r="G5" s="38"/>
      <c r="H5" s="38"/>
      <c r="I5" s="17"/>
      <c r="J5" s="17"/>
      <c r="K5" s="18"/>
    </row>
    <row r="6" spans="1:26" ht="18">
      <c r="A6" s="13">
        <v>45539</v>
      </c>
      <c r="B6" s="14"/>
      <c r="C6" s="14"/>
      <c r="D6" s="15"/>
      <c r="E6" s="14">
        <f t="shared" si="0"/>
        <v>0</v>
      </c>
      <c r="F6" s="16"/>
      <c r="G6" s="17"/>
      <c r="H6" s="17"/>
      <c r="I6" s="17"/>
      <c r="J6" s="17"/>
      <c r="K6" s="18"/>
    </row>
    <row r="7" spans="1:26" ht="18">
      <c r="A7" s="13">
        <v>45540</v>
      </c>
      <c r="B7" s="14"/>
      <c r="C7" s="14"/>
      <c r="D7" s="15"/>
      <c r="E7" s="14">
        <f t="shared" si="0"/>
        <v>0</v>
      </c>
      <c r="F7" s="16"/>
      <c r="G7" s="38"/>
      <c r="H7" s="17"/>
      <c r="I7" s="17"/>
      <c r="J7" s="17"/>
      <c r="K7" s="18"/>
    </row>
    <row r="8" spans="1:26" ht="18">
      <c r="A8" s="13">
        <v>45541</v>
      </c>
      <c r="B8" s="14"/>
      <c r="C8" s="14"/>
      <c r="D8" s="15"/>
      <c r="E8" s="14">
        <f t="shared" si="0"/>
        <v>0</v>
      </c>
      <c r="F8" s="16"/>
      <c r="G8" s="17"/>
      <c r="H8" s="17"/>
      <c r="I8" s="17"/>
      <c r="J8" s="17"/>
      <c r="K8" s="18"/>
    </row>
    <row r="9" spans="1:26" ht="18">
      <c r="A9" s="13">
        <v>45542</v>
      </c>
      <c r="B9" s="14"/>
      <c r="C9" s="14"/>
      <c r="D9" s="15"/>
      <c r="E9" s="14">
        <f t="shared" si="0"/>
        <v>0</v>
      </c>
      <c r="F9" s="19"/>
      <c r="G9" s="21"/>
      <c r="H9" s="20"/>
      <c r="I9" s="22"/>
      <c r="J9" s="20"/>
      <c r="K9" s="20"/>
    </row>
    <row r="10" spans="1:26" ht="18">
      <c r="A10" s="13">
        <v>45543</v>
      </c>
      <c r="B10" s="14"/>
      <c r="C10" s="14"/>
      <c r="D10" s="15"/>
      <c r="E10" s="14">
        <f t="shared" si="0"/>
        <v>0</v>
      </c>
      <c r="F10" s="19"/>
      <c r="G10" s="38"/>
      <c r="H10" s="20"/>
      <c r="I10" s="17"/>
      <c r="J10" s="17"/>
      <c r="K10" s="18"/>
    </row>
    <row r="11" spans="1:26" ht="18">
      <c r="A11" s="13">
        <v>45544</v>
      </c>
      <c r="B11" s="14"/>
      <c r="C11" s="14"/>
      <c r="D11" s="15"/>
      <c r="E11" s="14">
        <f t="shared" si="0"/>
        <v>0</v>
      </c>
      <c r="F11" s="19"/>
      <c r="G11" s="38"/>
      <c r="H11" s="17"/>
      <c r="I11" s="17"/>
      <c r="J11" s="17"/>
      <c r="K11" s="18"/>
    </row>
    <row r="12" spans="1:26" ht="18">
      <c r="A12" s="13">
        <v>45545</v>
      </c>
      <c r="B12" s="14"/>
      <c r="C12" s="14"/>
      <c r="D12" s="15"/>
      <c r="E12" s="14">
        <f t="shared" si="0"/>
        <v>0</v>
      </c>
      <c r="F12" s="16"/>
      <c r="G12" s="21"/>
      <c r="H12" s="17"/>
      <c r="I12" s="17"/>
      <c r="J12" s="17"/>
      <c r="K12" s="18"/>
    </row>
    <row r="13" spans="1:26" ht="18">
      <c r="A13" s="13">
        <v>45546</v>
      </c>
      <c r="B13" s="14"/>
      <c r="C13" s="14"/>
      <c r="D13" s="15"/>
      <c r="E13" s="14">
        <f t="shared" si="0"/>
        <v>0</v>
      </c>
      <c r="F13" s="19"/>
      <c r="G13" s="40"/>
      <c r="H13" s="40"/>
      <c r="I13" s="17"/>
      <c r="J13" s="17"/>
      <c r="K13" s="18"/>
    </row>
    <row r="14" spans="1:26" ht="18">
      <c r="A14" s="13">
        <v>45547</v>
      </c>
      <c r="B14" s="14"/>
      <c r="C14" s="14"/>
      <c r="D14" s="15"/>
      <c r="E14" s="14">
        <f t="shared" si="0"/>
        <v>0</v>
      </c>
      <c r="F14" s="19"/>
      <c r="G14" s="40"/>
      <c r="H14" s="40"/>
      <c r="I14" s="17"/>
      <c r="J14" s="17"/>
      <c r="K14" s="18"/>
    </row>
    <row r="15" spans="1:26" ht="38.1">
      <c r="A15" s="13">
        <v>45548</v>
      </c>
      <c r="B15" s="14">
        <v>1585</v>
      </c>
      <c r="C15" s="14"/>
      <c r="D15" s="15"/>
      <c r="E15" s="14">
        <f t="shared" si="0"/>
        <v>1585</v>
      </c>
      <c r="F15" s="19" t="s">
        <v>64</v>
      </c>
      <c r="G15" s="40"/>
      <c r="H15" s="21"/>
      <c r="I15" s="17"/>
      <c r="J15" s="17"/>
      <c r="K15" s="18"/>
    </row>
    <row r="16" spans="1:26" ht="18">
      <c r="A16" s="13">
        <v>45549</v>
      </c>
      <c r="B16" s="14"/>
      <c r="C16" s="14"/>
      <c r="D16" s="15"/>
      <c r="E16" s="14">
        <f t="shared" si="0"/>
        <v>0</v>
      </c>
      <c r="F16" s="16"/>
      <c r="G16" s="21"/>
      <c r="H16" s="17"/>
      <c r="I16" s="17"/>
      <c r="J16" s="17"/>
      <c r="K16" s="18"/>
    </row>
    <row r="17" spans="1:11" ht="18">
      <c r="A17" s="13">
        <v>45550</v>
      </c>
      <c r="B17" s="14"/>
      <c r="C17" s="14"/>
      <c r="D17" s="15"/>
      <c r="E17" s="14">
        <f t="shared" si="0"/>
        <v>0</v>
      </c>
      <c r="F17" s="39"/>
      <c r="G17" s="40"/>
      <c r="H17" s="40"/>
      <c r="I17" s="23"/>
      <c r="J17" s="17"/>
      <c r="K17" s="18"/>
    </row>
    <row r="18" spans="1:11" ht="18">
      <c r="A18" s="13">
        <v>45551</v>
      </c>
      <c r="B18" s="14"/>
      <c r="C18" s="14"/>
      <c r="D18" s="15"/>
      <c r="E18" s="14">
        <f t="shared" si="0"/>
        <v>0</v>
      </c>
      <c r="F18" s="12"/>
      <c r="G18" s="18"/>
      <c r="H18" s="18"/>
      <c r="I18" s="17"/>
      <c r="J18" s="17"/>
      <c r="K18" s="18"/>
    </row>
    <row r="19" spans="1:11" ht="38.1">
      <c r="A19" s="13">
        <v>45552</v>
      </c>
      <c r="B19" s="14">
        <v>1265</v>
      </c>
      <c r="C19" s="14"/>
      <c r="D19" s="15"/>
      <c r="E19" s="14">
        <f t="shared" si="0"/>
        <v>1265</v>
      </c>
      <c r="F19" s="19" t="s">
        <v>65</v>
      </c>
      <c r="G19" s="38"/>
      <c r="H19" s="21"/>
      <c r="I19" s="17"/>
      <c r="J19" s="17"/>
      <c r="K19" s="18"/>
    </row>
    <row r="20" spans="1:11" ht="38.1">
      <c r="A20" s="13">
        <v>45553</v>
      </c>
      <c r="B20" s="14">
        <v>3515</v>
      </c>
      <c r="C20" s="14"/>
      <c r="D20" s="15"/>
      <c r="E20" s="14">
        <f t="shared" si="0"/>
        <v>3515</v>
      </c>
      <c r="F20" s="19" t="s">
        <v>66</v>
      </c>
      <c r="G20" s="40"/>
      <c r="H20" s="17"/>
      <c r="I20" s="17"/>
      <c r="J20" s="17"/>
      <c r="K20" s="18"/>
    </row>
    <row r="21" spans="1:11" ht="18">
      <c r="A21" s="13">
        <v>45554</v>
      </c>
      <c r="B21" s="14">
        <v>4540</v>
      </c>
      <c r="C21" s="14"/>
      <c r="D21" s="15"/>
      <c r="E21" s="14">
        <f t="shared" si="0"/>
        <v>4540</v>
      </c>
      <c r="F21" s="16" t="s">
        <v>67</v>
      </c>
      <c r="G21" s="38"/>
      <c r="H21" s="17"/>
      <c r="I21" s="17"/>
      <c r="J21" s="17"/>
      <c r="K21" s="18"/>
    </row>
    <row r="22" spans="1:11" ht="95.1">
      <c r="A22" s="13">
        <v>45555</v>
      </c>
      <c r="B22" s="14">
        <f>8640+1020</f>
        <v>9660</v>
      </c>
      <c r="C22" s="14"/>
      <c r="D22" s="15">
        <f>1550+59+15</f>
        <v>1624</v>
      </c>
      <c r="E22" s="14">
        <f t="shared" si="0"/>
        <v>11284</v>
      </c>
      <c r="F22" s="19" t="s">
        <v>68</v>
      </c>
      <c r="G22" s="38"/>
      <c r="H22" s="17"/>
      <c r="I22" s="17"/>
      <c r="J22" s="17"/>
      <c r="K22" s="18"/>
    </row>
    <row r="23" spans="1:11" ht="38.1">
      <c r="A23" s="13">
        <v>45556</v>
      </c>
      <c r="B23" s="14">
        <v>235</v>
      </c>
      <c r="C23" s="14"/>
      <c r="D23" s="15">
        <v>15</v>
      </c>
      <c r="E23" s="14">
        <f t="shared" si="0"/>
        <v>250</v>
      </c>
      <c r="F23" s="19" t="s">
        <v>69</v>
      </c>
      <c r="G23" s="17"/>
      <c r="H23" s="17"/>
      <c r="I23" s="17"/>
      <c r="J23" s="17"/>
      <c r="K23" s="18"/>
    </row>
    <row r="24" spans="1:11" ht="18.95">
      <c r="A24" s="13">
        <v>45557</v>
      </c>
      <c r="B24" s="14"/>
      <c r="C24" s="14"/>
      <c r="D24" s="15">
        <v>880</v>
      </c>
      <c r="E24" s="14">
        <f t="shared" si="0"/>
        <v>880</v>
      </c>
      <c r="F24" s="19" t="s">
        <v>70</v>
      </c>
      <c r="G24" s="40"/>
      <c r="H24" s="40"/>
      <c r="I24" s="40"/>
      <c r="J24" s="17"/>
      <c r="K24" s="18"/>
    </row>
    <row r="25" spans="1:11" ht="18">
      <c r="A25" s="13">
        <v>45558</v>
      </c>
      <c r="D25" s="7">
        <f>6890+15</f>
        <v>6905</v>
      </c>
      <c r="E25" s="14">
        <f t="shared" si="0"/>
        <v>6905</v>
      </c>
      <c r="F25" s="2" t="s">
        <v>71</v>
      </c>
      <c r="G25" s="17"/>
      <c r="H25" s="17"/>
      <c r="I25" s="17"/>
      <c r="J25" s="17"/>
      <c r="K25" s="18"/>
    </row>
    <row r="26" spans="1:11" ht="18">
      <c r="A26" s="13">
        <v>45559</v>
      </c>
      <c r="B26" s="14"/>
      <c r="C26" s="14"/>
      <c r="D26" s="15"/>
      <c r="E26" s="14">
        <f t="shared" si="0"/>
        <v>0</v>
      </c>
      <c r="F26" s="16"/>
      <c r="G26" s="40"/>
      <c r="H26" s="17"/>
      <c r="I26" s="17"/>
      <c r="J26" s="17"/>
      <c r="K26" s="18"/>
    </row>
    <row r="27" spans="1:11" ht="38.1">
      <c r="A27" s="13">
        <v>45560</v>
      </c>
      <c r="B27" s="14">
        <v>920</v>
      </c>
      <c r="C27" s="14"/>
      <c r="D27" s="15">
        <v>15</v>
      </c>
      <c r="E27" s="14">
        <f t="shared" si="0"/>
        <v>935</v>
      </c>
      <c r="F27" s="19" t="s">
        <v>72</v>
      </c>
      <c r="G27" s="17"/>
      <c r="H27" s="17"/>
      <c r="I27" s="17"/>
      <c r="J27" s="17"/>
      <c r="K27" s="18"/>
    </row>
    <row r="28" spans="1:11" ht="18">
      <c r="A28" s="13">
        <v>45561</v>
      </c>
      <c r="B28" s="14"/>
      <c r="C28" s="14"/>
      <c r="D28" s="15">
        <v>880</v>
      </c>
      <c r="E28" s="14">
        <f t="shared" si="0"/>
        <v>880</v>
      </c>
      <c r="F28" s="16" t="s">
        <v>73</v>
      </c>
      <c r="G28" s="17"/>
      <c r="H28" s="17"/>
      <c r="I28" s="17"/>
      <c r="J28" s="17"/>
      <c r="K28" s="18"/>
    </row>
    <row r="29" spans="1:11" ht="18">
      <c r="A29" s="13">
        <v>45562</v>
      </c>
      <c r="B29" s="14"/>
      <c r="C29" s="14"/>
      <c r="D29" s="15"/>
      <c r="E29" s="14">
        <f t="shared" si="0"/>
        <v>0</v>
      </c>
      <c r="F29" s="16"/>
      <c r="G29" s="21"/>
      <c r="H29" s="17"/>
      <c r="I29" s="17"/>
      <c r="J29" s="17"/>
      <c r="K29" s="18"/>
    </row>
    <row r="30" spans="1:11" ht="75.95">
      <c r="A30" s="13">
        <v>45563</v>
      </c>
      <c r="B30" s="14">
        <v>1000</v>
      </c>
      <c r="C30" s="14"/>
      <c r="D30" s="15">
        <f>2714+1757+15</f>
        <v>4486</v>
      </c>
      <c r="E30" s="14">
        <f t="shared" si="0"/>
        <v>5486</v>
      </c>
      <c r="F30" s="19" t="s">
        <v>74</v>
      </c>
      <c r="G30" s="21"/>
      <c r="H30" s="17"/>
      <c r="I30" s="17"/>
      <c r="J30" s="17"/>
      <c r="K30" s="18"/>
    </row>
    <row r="31" spans="1:11" ht="18">
      <c r="A31" s="13">
        <v>45564</v>
      </c>
      <c r="B31" s="14"/>
      <c r="C31" s="14"/>
      <c r="D31" s="15"/>
      <c r="E31" s="14">
        <f t="shared" si="0"/>
        <v>0</v>
      </c>
      <c r="F31" s="16"/>
      <c r="G31" s="17"/>
      <c r="H31" s="17"/>
      <c r="I31" s="17"/>
      <c r="J31" s="17"/>
      <c r="K31" s="18"/>
    </row>
    <row r="32" spans="1:11" ht="95.1">
      <c r="A32" s="13">
        <v>45565</v>
      </c>
      <c r="B32" s="14">
        <f>895</f>
        <v>895</v>
      </c>
      <c r="C32" s="14"/>
      <c r="D32" s="15">
        <f>790+382+402+45+1140</f>
        <v>2759</v>
      </c>
      <c r="E32" s="14">
        <f t="shared" si="0"/>
        <v>3654</v>
      </c>
      <c r="F32" s="19" t="s">
        <v>75</v>
      </c>
      <c r="G32" s="17"/>
      <c r="H32" s="17"/>
      <c r="I32" s="17"/>
      <c r="J32" s="17"/>
      <c r="K32" s="18"/>
    </row>
    <row r="33" spans="1:11" ht="18">
      <c r="A33" s="13" t="s">
        <v>45</v>
      </c>
      <c r="B33" s="14"/>
      <c r="C33" s="14"/>
      <c r="D33" s="15"/>
      <c r="E33" s="14"/>
      <c r="F33" s="19"/>
      <c r="G33" s="38"/>
      <c r="H33" s="40"/>
      <c r="I33" s="21"/>
      <c r="J33" s="17"/>
      <c r="K33" s="18"/>
    </row>
    <row r="34" spans="1:11" ht="18">
      <c r="A34" s="11" t="s">
        <v>35</v>
      </c>
      <c r="B34" s="14"/>
      <c r="C34" s="14"/>
      <c r="D34" s="14"/>
      <c r="E34" s="14">
        <f>SUM(E3:E32)</f>
        <v>41179</v>
      </c>
      <c r="F34" s="16"/>
      <c r="G34" s="17"/>
      <c r="H34" s="17"/>
      <c r="I34" s="17"/>
      <c r="J34" s="17"/>
      <c r="K34" s="18"/>
    </row>
    <row r="35" spans="1:11">
      <c r="A35" s="3"/>
      <c r="B35" s="4"/>
      <c r="C35" s="4"/>
      <c r="E35" s="4"/>
      <c r="F35" s="5"/>
      <c r="G35" s="9"/>
      <c r="H35" s="9"/>
      <c r="I35" s="9"/>
      <c r="J35" s="9"/>
      <c r="K35" s="10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4"/>
      <c r="C38" s="4"/>
      <c r="E38" s="4"/>
      <c r="F38" s="5"/>
      <c r="G38" s="9"/>
      <c r="H38" s="9"/>
      <c r="I38" s="9"/>
      <c r="J38" s="9"/>
      <c r="K38" s="10"/>
    </row>
    <row r="39" spans="1:11">
      <c r="A39" s="3"/>
      <c r="B39" s="4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6"/>
      <c r="H57" s="6"/>
      <c r="I57" s="6"/>
      <c r="J57" s="6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</sheetData>
  <autoFilter ref="A1:K34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9月憑證" xr:uid="{963B40DF-204E-8D40-8673-BC3C0EBF3CC2}"/>
  </hyperlinks>
  <pageMargins left="0" right="0" top="0" bottom="0" header="0" footer="0"/>
  <pageSetup paperSize="9" scale="74" orientation="portrait" r:id="rId2"/>
  <ignoredErrors>
    <ignoredError sqref="E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江政隆</dc:creator>
  <cp:keywords/>
  <dc:description/>
  <cp:lastModifiedBy>阮氏泉</cp:lastModifiedBy>
  <cp:revision/>
  <dcterms:created xsi:type="dcterms:W3CDTF">2024-05-08T06:49:36Z</dcterms:created>
  <dcterms:modified xsi:type="dcterms:W3CDTF">2024-11-12T11:50:42Z</dcterms:modified>
  <cp:category/>
  <cp:contentStatus/>
</cp:coreProperties>
</file>